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trlProps/ctrlProp16.xml" ContentType="application/vnd.ms-excel.controlproperties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trlProps/ctrlProp17.xml" ContentType="application/vnd.ms-excel.controlproperties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20" yWindow="225" windowWidth="15060" windowHeight="13230" tabRatio="875"/>
  </bookViews>
  <sheets>
    <sheet name="contents" sheetId="4" r:id="rId1"/>
    <sheet name="Fig 1 - single value test" sheetId="2" r:id="rId2"/>
    <sheet name="Fig 2 - 1-sample t test" sheetId="3" r:id="rId3"/>
    <sheet name="Table 1 - One-sample t test" sheetId="11" r:id="rId4"/>
    <sheet name="Fig 3a - t dist" sheetId="9" r:id="rId5"/>
    <sheet name="Fig 3b - t dist P value" sheetId="10" r:id="rId6"/>
    <sheet name="Table 2 - t vs z P value" sheetId="12" r:id="rId7"/>
    <sheet name="Fig 4 - t dist simulation" sheetId="5" r:id="rId8"/>
  </sheets>
  <functionGroups builtInGroupCount="17"/>
  <externalReferences>
    <externalReference r:id="rId9"/>
  </externalReferences>
  <definedNames>
    <definedName name="mu">'Fig 1 - single value test'!$C$7</definedName>
    <definedName name="onevalue">'Fig 1 - single value test'!$C$10</definedName>
    <definedName name="reference" localSheetId="3">'Table 1 - One-sample t test'!$B$14</definedName>
    <definedName name="sample" localSheetId="3">'Table 1 - One-sample t test'!$C$14:$C$63</definedName>
    <definedName name="samplet">'Fig 4 - t dist simulation'!$C$100:$C$65535</definedName>
    <definedName name="sigma">'Fig 1 - single value test'!$C$8</definedName>
    <definedName name="tarea">#REF!</definedName>
    <definedName name="tdist">#REF!</definedName>
    <definedName name="tdomain">#REF!</definedName>
  </definedNames>
  <calcPr calcId="145621" concurrentCalc="0"/>
</workbook>
</file>

<file path=xl/calcChain.xml><?xml version="1.0" encoding="utf-8"?>
<calcChain xmlns="http://schemas.openxmlformats.org/spreadsheetml/2006/main">
  <c r="C14" i="3" l="1"/>
  <c r="D23" i="3"/>
  <c r="C33" i="3"/>
  <c r="C41" i="10"/>
  <c r="T102" i="10"/>
  <c r="S102" i="10"/>
  <c r="D40" i="10"/>
  <c r="T101" i="10"/>
  <c r="S101" i="10"/>
  <c r="C40" i="10"/>
  <c r="T100" i="10"/>
  <c r="S100" i="10"/>
  <c r="C30" i="2"/>
  <c r="C33" i="2"/>
  <c r="Q27" i="2"/>
  <c r="C32" i="2"/>
  <c r="M27" i="2"/>
  <c r="C31" i="2"/>
  <c r="I27" i="2"/>
  <c r="C601" i="2"/>
  <c r="D601" i="2"/>
  <c r="E601" i="2"/>
  <c r="N601" i="2"/>
  <c r="C600" i="2"/>
  <c r="D600" i="2"/>
  <c r="E600" i="2"/>
  <c r="N600" i="2"/>
  <c r="C599" i="2"/>
  <c r="D599" i="2"/>
  <c r="E599" i="2"/>
  <c r="N599" i="2"/>
  <c r="C598" i="2"/>
  <c r="D598" i="2"/>
  <c r="E598" i="2"/>
  <c r="N598" i="2"/>
  <c r="C597" i="2"/>
  <c r="D597" i="2"/>
  <c r="E597" i="2"/>
  <c r="N597" i="2"/>
  <c r="C596" i="2"/>
  <c r="D596" i="2"/>
  <c r="E596" i="2"/>
  <c r="N596" i="2"/>
  <c r="C595" i="2"/>
  <c r="D595" i="2"/>
  <c r="E595" i="2"/>
  <c r="N595" i="2"/>
  <c r="C594" i="2"/>
  <c r="D594" i="2"/>
  <c r="E594" i="2"/>
  <c r="N594" i="2"/>
  <c r="C593" i="2"/>
  <c r="D593" i="2"/>
  <c r="E593" i="2"/>
  <c r="N593" i="2"/>
  <c r="C592" i="2"/>
  <c r="D592" i="2"/>
  <c r="E592" i="2"/>
  <c r="N592" i="2"/>
  <c r="C591" i="2"/>
  <c r="D591" i="2"/>
  <c r="E591" i="2"/>
  <c r="N591" i="2"/>
  <c r="C590" i="2"/>
  <c r="D590" i="2"/>
  <c r="E590" i="2"/>
  <c r="N590" i="2"/>
  <c r="C589" i="2"/>
  <c r="D589" i="2"/>
  <c r="E589" i="2"/>
  <c r="N589" i="2"/>
  <c r="C588" i="2"/>
  <c r="D588" i="2"/>
  <c r="E588" i="2"/>
  <c r="N588" i="2"/>
  <c r="C587" i="2"/>
  <c r="D587" i="2"/>
  <c r="E587" i="2"/>
  <c r="N587" i="2"/>
  <c r="C586" i="2"/>
  <c r="D586" i="2"/>
  <c r="E586" i="2"/>
  <c r="N586" i="2"/>
  <c r="C585" i="2"/>
  <c r="D585" i="2"/>
  <c r="E585" i="2"/>
  <c r="N585" i="2"/>
  <c r="C584" i="2"/>
  <c r="D584" i="2"/>
  <c r="E584" i="2"/>
  <c r="N584" i="2"/>
  <c r="C583" i="2"/>
  <c r="D583" i="2"/>
  <c r="E583" i="2"/>
  <c r="N583" i="2"/>
  <c r="C582" i="2"/>
  <c r="D582" i="2"/>
  <c r="E582" i="2"/>
  <c r="N582" i="2"/>
  <c r="C581" i="2"/>
  <c r="D581" i="2"/>
  <c r="E581" i="2"/>
  <c r="N581" i="2"/>
  <c r="C580" i="2"/>
  <c r="D580" i="2"/>
  <c r="E580" i="2"/>
  <c r="N580" i="2"/>
  <c r="C579" i="2"/>
  <c r="D579" i="2"/>
  <c r="E579" i="2"/>
  <c r="N579" i="2"/>
  <c r="C578" i="2"/>
  <c r="D578" i="2"/>
  <c r="E578" i="2"/>
  <c r="N578" i="2"/>
  <c r="C577" i="2"/>
  <c r="D577" i="2"/>
  <c r="E577" i="2"/>
  <c r="N577" i="2"/>
  <c r="C576" i="2"/>
  <c r="D576" i="2"/>
  <c r="E576" i="2"/>
  <c r="N576" i="2"/>
  <c r="C575" i="2"/>
  <c r="D575" i="2"/>
  <c r="E575" i="2"/>
  <c r="N575" i="2"/>
  <c r="C574" i="2"/>
  <c r="D574" i="2"/>
  <c r="E574" i="2"/>
  <c r="N574" i="2"/>
  <c r="C573" i="2"/>
  <c r="D573" i="2"/>
  <c r="E573" i="2"/>
  <c r="N573" i="2"/>
  <c r="C572" i="2"/>
  <c r="D572" i="2"/>
  <c r="E572" i="2"/>
  <c r="N572" i="2"/>
  <c r="C571" i="2"/>
  <c r="D571" i="2"/>
  <c r="E571" i="2"/>
  <c r="N571" i="2"/>
  <c r="C570" i="2"/>
  <c r="D570" i="2"/>
  <c r="E570" i="2"/>
  <c r="N570" i="2"/>
  <c r="C569" i="2"/>
  <c r="D569" i="2"/>
  <c r="E569" i="2"/>
  <c r="N569" i="2"/>
  <c r="C568" i="2"/>
  <c r="D568" i="2"/>
  <c r="E568" i="2"/>
  <c r="N568" i="2"/>
  <c r="C567" i="2"/>
  <c r="D567" i="2"/>
  <c r="E567" i="2"/>
  <c r="N567" i="2"/>
  <c r="C566" i="2"/>
  <c r="D566" i="2"/>
  <c r="E566" i="2"/>
  <c r="N566" i="2"/>
  <c r="C565" i="2"/>
  <c r="D565" i="2"/>
  <c r="E565" i="2"/>
  <c r="N565" i="2"/>
  <c r="C564" i="2"/>
  <c r="D564" i="2"/>
  <c r="E564" i="2"/>
  <c r="N564" i="2"/>
  <c r="C563" i="2"/>
  <c r="D563" i="2"/>
  <c r="E563" i="2"/>
  <c r="N563" i="2"/>
  <c r="C562" i="2"/>
  <c r="D562" i="2"/>
  <c r="E562" i="2"/>
  <c r="N562" i="2"/>
  <c r="C561" i="2"/>
  <c r="D561" i="2"/>
  <c r="E561" i="2"/>
  <c r="N561" i="2"/>
  <c r="C560" i="2"/>
  <c r="D560" i="2"/>
  <c r="E560" i="2"/>
  <c r="N560" i="2"/>
  <c r="C559" i="2"/>
  <c r="D559" i="2"/>
  <c r="E559" i="2"/>
  <c r="N559" i="2"/>
  <c r="C558" i="2"/>
  <c r="D558" i="2"/>
  <c r="E558" i="2"/>
  <c r="N558" i="2"/>
  <c r="C557" i="2"/>
  <c r="D557" i="2"/>
  <c r="E557" i="2"/>
  <c r="N557" i="2"/>
  <c r="C556" i="2"/>
  <c r="D556" i="2"/>
  <c r="E556" i="2"/>
  <c r="N556" i="2"/>
  <c r="C555" i="2"/>
  <c r="D555" i="2"/>
  <c r="E555" i="2"/>
  <c r="N555" i="2"/>
  <c r="C554" i="2"/>
  <c r="D554" i="2"/>
  <c r="E554" i="2"/>
  <c r="N554" i="2"/>
  <c r="C553" i="2"/>
  <c r="D553" i="2"/>
  <c r="E553" i="2"/>
  <c r="N553" i="2"/>
  <c r="C552" i="2"/>
  <c r="D552" i="2"/>
  <c r="E552" i="2"/>
  <c r="N552" i="2"/>
  <c r="C551" i="2"/>
  <c r="D551" i="2"/>
  <c r="E551" i="2"/>
  <c r="N551" i="2"/>
  <c r="C550" i="2"/>
  <c r="D550" i="2"/>
  <c r="E550" i="2"/>
  <c r="N550" i="2"/>
  <c r="C549" i="2"/>
  <c r="D549" i="2"/>
  <c r="E549" i="2"/>
  <c r="N549" i="2"/>
  <c r="C548" i="2"/>
  <c r="D548" i="2"/>
  <c r="E548" i="2"/>
  <c r="N548" i="2"/>
  <c r="C547" i="2"/>
  <c r="D547" i="2"/>
  <c r="E547" i="2"/>
  <c r="N547" i="2"/>
  <c r="C546" i="2"/>
  <c r="D546" i="2"/>
  <c r="E546" i="2"/>
  <c r="N546" i="2"/>
  <c r="C545" i="2"/>
  <c r="D545" i="2"/>
  <c r="E545" i="2"/>
  <c r="N545" i="2"/>
  <c r="C544" i="2"/>
  <c r="D544" i="2"/>
  <c r="E544" i="2"/>
  <c r="N544" i="2"/>
  <c r="C543" i="2"/>
  <c r="D543" i="2"/>
  <c r="E543" i="2"/>
  <c r="N543" i="2"/>
  <c r="C542" i="2"/>
  <c r="D542" i="2"/>
  <c r="E542" i="2"/>
  <c r="N542" i="2"/>
  <c r="C541" i="2"/>
  <c r="D541" i="2"/>
  <c r="E541" i="2"/>
  <c r="N541" i="2"/>
  <c r="C540" i="2"/>
  <c r="D540" i="2"/>
  <c r="E540" i="2"/>
  <c r="N540" i="2"/>
  <c r="C539" i="2"/>
  <c r="D539" i="2"/>
  <c r="E539" i="2"/>
  <c r="N539" i="2"/>
  <c r="C538" i="2"/>
  <c r="D538" i="2"/>
  <c r="E538" i="2"/>
  <c r="N538" i="2"/>
  <c r="C537" i="2"/>
  <c r="D537" i="2"/>
  <c r="E537" i="2"/>
  <c r="N537" i="2"/>
  <c r="C536" i="2"/>
  <c r="D536" i="2"/>
  <c r="E536" i="2"/>
  <c r="N536" i="2"/>
  <c r="C535" i="2"/>
  <c r="D535" i="2"/>
  <c r="E535" i="2"/>
  <c r="N535" i="2"/>
  <c r="C534" i="2"/>
  <c r="D534" i="2"/>
  <c r="E534" i="2"/>
  <c r="N534" i="2"/>
  <c r="C533" i="2"/>
  <c r="D533" i="2"/>
  <c r="E533" i="2"/>
  <c r="N533" i="2"/>
  <c r="C532" i="2"/>
  <c r="D532" i="2"/>
  <c r="E532" i="2"/>
  <c r="N532" i="2"/>
  <c r="C531" i="2"/>
  <c r="D531" i="2"/>
  <c r="E531" i="2"/>
  <c r="N531" i="2"/>
  <c r="C530" i="2"/>
  <c r="D530" i="2"/>
  <c r="E530" i="2"/>
  <c r="N530" i="2"/>
  <c r="C529" i="2"/>
  <c r="D529" i="2"/>
  <c r="E529" i="2"/>
  <c r="N529" i="2"/>
  <c r="C528" i="2"/>
  <c r="D528" i="2"/>
  <c r="E528" i="2"/>
  <c r="N528" i="2"/>
  <c r="C527" i="2"/>
  <c r="D527" i="2"/>
  <c r="E527" i="2"/>
  <c r="N527" i="2"/>
  <c r="C526" i="2"/>
  <c r="D526" i="2"/>
  <c r="E526" i="2"/>
  <c r="N526" i="2"/>
  <c r="C525" i="2"/>
  <c r="D525" i="2"/>
  <c r="E525" i="2"/>
  <c r="N525" i="2"/>
  <c r="C524" i="2"/>
  <c r="D524" i="2"/>
  <c r="E524" i="2"/>
  <c r="N524" i="2"/>
  <c r="C523" i="2"/>
  <c r="D523" i="2"/>
  <c r="E523" i="2"/>
  <c r="N523" i="2"/>
  <c r="C522" i="2"/>
  <c r="D522" i="2"/>
  <c r="E522" i="2"/>
  <c r="N522" i="2"/>
  <c r="C521" i="2"/>
  <c r="D521" i="2"/>
  <c r="E521" i="2"/>
  <c r="N521" i="2"/>
  <c r="C520" i="2"/>
  <c r="D520" i="2"/>
  <c r="E520" i="2"/>
  <c r="N520" i="2"/>
  <c r="C519" i="2"/>
  <c r="D519" i="2"/>
  <c r="E519" i="2"/>
  <c r="N519" i="2"/>
  <c r="C518" i="2"/>
  <c r="D518" i="2"/>
  <c r="E518" i="2"/>
  <c r="N518" i="2"/>
  <c r="C517" i="2"/>
  <c r="D517" i="2"/>
  <c r="E517" i="2"/>
  <c r="N517" i="2"/>
  <c r="C516" i="2"/>
  <c r="D516" i="2"/>
  <c r="E516" i="2"/>
  <c r="N516" i="2"/>
  <c r="C515" i="2"/>
  <c r="D515" i="2"/>
  <c r="E515" i="2"/>
  <c r="N515" i="2"/>
  <c r="C514" i="2"/>
  <c r="D514" i="2"/>
  <c r="E514" i="2"/>
  <c r="N514" i="2"/>
  <c r="C513" i="2"/>
  <c r="D513" i="2"/>
  <c r="E513" i="2"/>
  <c r="N513" i="2"/>
  <c r="C512" i="2"/>
  <c r="D512" i="2"/>
  <c r="E512" i="2"/>
  <c r="N512" i="2"/>
  <c r="C511" i="2"/>
  <c r="D511" i="2"/>
  <c r="E511" i="2"/>
  <c r="N511" i="2"/>
  <c r="C510" i="2"/>
  <c r="D510" i="2"/>
  <c r="E510" i="2"/>
  <c r="N510" i="2"/>
  <c r="C509" i="2"/>
  <c r="D509" i="2"/>
  <c r="E509" i="2"/>
  <c r="N509" i="2"/>
  <c r="C508" i="2"/>
  <c r="D508" i="2"/>
  <c r="E508" i="2"/>
  <c r="N508" i="2"/>
  <c r="C507" i="2"/>
  <c r="D507" i="2"/>
  <c r="E507" i="2"/>
  <c r="N507" i="2"/>
  <c r="C506" i="2"/>
  <c r="D506" i="2"/>
  <c r="E506" i="2"/>
  <c r="N506" i="2"/>
  <c r="C505" i="2"/>
  <c r="D505" i="2"/>
  <c r="E505" i="2"/>
  <c r="N505" i="2"/>
  <c r="C504" i="2"/>
  <c r="D504" i="2"/>
  <c r="E504" i="2"/>
  <c r="N504" i="2"/>
  <c r="C503" i="2"/>
  <c r="D503" i="2"/>
  <c r="E503" i="2"/>
  <c r="N503" i="2"/>
  <c r="C502" i="2"/>
  <c r="D502" i="2"/>
  <c r="E502" i="2"/>
  <c r="N502" i="2"/>
  <c r="C501" i="2"/>
  <c r="D501" i="2"/>
  <c r="E501" i="2"/>
  <c r="N501" i="2"/>
  <c r="C500" i="2"/>
  <c r="D500" i="2"/>
  <c r="E500" i="2"/>
  <c r="N500" i="2"/>
  <c r="C499" i="2"/>
  <c r="D499" i="2"/>
  <c r="E499" i="2"/>
  <c r="N499" i="2"/>
  <c r="C498" i="2"/>
  <c r="D498" i="2"/>
  <c r="E498" i="2"/>
  <c r="N498" i="2"/>
  <c r="C497" i="2"/>
  <c r="D497" i="2"/>
  <c r="E497" i="2"/>
  <c r="N497" i="2"/>
  <c r="C496" i="2"/>
  <c r="D496" i="2"/>
  <c r="E496" i="2"/>
  <c r="N496" i="2"/>
  <c r="C495" i="2"/>
  <c r="D495" i="2"/>
  <c r="E495" i="2"/>
  <c r="N495" i="2"/>
  <c r="C494" i="2"/>
  <c r="D494" i="2"/>
  <c r="E494" i="2"/>
  <c r="N494" i="2"/>
  <c r="C493" i="2"/>
  <c r="D493" i="2"/>
  <c r="E493" i="2"/>
  <c r="N493" i="2"/>
  <c r="C492" i="2"/>
  <c r="D492" i="2"/>
  <c r="E492" i="2"/>
  <c r="N492" i="2"/>
  <c r="C491" i="2"/>
  <c r="D491" i="2"/>
  <c r="E491" i="2"/>
  <c r="N491" i="2"/>
  <c r="C490" i="2"/>
  <c r="D490" i="2"/>
  <c r="E490" i="2"/>
  <c r="N490" i="2"/>
  <c r="C489" i="2"/>
  <c r="D489" i="2"/>
  <c r="E489" i="2"/>
  <c r="N489" i="2"/>
  <c r="C488" i="2"/>
  <c r="D488" i="2"/>
  <c r="E488" i="2"/>
  <c r="N488" i="2"/>
  <c r="C487" i="2"/>
  <c r="D487" i="2"/>
  <c r="E487" i="2"/>
  <c r="N487" i="2"/>
  <c r="C486" i="2"/>
  <c r="D486" i="2"/>
  <c r="E486" i="2"/>
  <c r="N486" i="2"/>
  <c r="C485" i="2"/>
  <c r="D485" i="2"/>
  <c r="E485" i="2"/>
  <c r="N485" i="2"/>
  <c r="C484" i="2"/>
  <c r="D484" i="2"/>
  <c r="E484" i="2"/>
  <c r="N484" i="2"/>
  <c r="C483" i="2"/>
  <c r="D483" i="2"/>
  <c r="E483" i="2"/>
  <c r="N483" i="2"/>
  <c r="C482" i="2"/>
  <c r="D482" i="2"/>
  <c r="E482" i="2"/>
  <c r="N482" i="2"/>
  <c r="C481" i="2"/>
  <c r="D481" i="2"/>
  <c r="E481" i="2"/>
  <c r="N481" i="2"/>
  <c r="C480" i="2"/>
  <c r="D480" i="2"/>
  <c r="E480" i="2"/>
  <c r="N480" i="2"/>
  <c r="C479" i="2"/>
  <c r="D479" i="2"/>
  <c r="E479" i="2"/>
  <c r="N479" i="2"/>
  <c r="C478" i="2"/>
  <c r="D478" i="2"/>
  <c r="E478" i="2"/>
  <c r="N478" i="2"/>
  <c r="C477" i="2"/>
  <c r="D477" i="2"/>
  <c r="E477" i="2"/>
  <c r="N477" i="2"/>
  <c r="C476" i="2"/>
  <c r="D476" i="2"/>
  <c r="E476" i="2"/>
  <c r="N476" i="2"/>
  <c r="C475" i="2"/>
  <c r="D475" i="2"/>
  <c r="E475" i="2"/>
  <c r="N475" i="2"/>
  <c r="C474" i="2"/>
  <c r="D474" i="2"/>
  <c r="E474" i="2"/>
  <c r="N474" i="2"/>
  <c r="C473" i="2"/>
  <c r="D473" i="2"/>
  <c r="E473" i="2"/>
  <c r="N473" i="2"/>
  <c r="C472" i="2"/>
  <c r="D472" i="2"/>
  <c r="E472" i="2"/>
  <c r="N472" i="2"/>
  <c r="C471" i="2"/>
  <c r="D471" i="2"/>
  <c r="E471" i="2"/>
  <c r="N471" i="2"/>
  <c r="C470" i="2"/>
  <c r="D470" i="2"/>
  <c r="E470" i="2"/>
  <c r="N470" i="2"/>
  <c r="C469" i="2"/>
  <c r="D469" i="2"/>
  <c r="E469" i="2"/>
  <c r="N469" i="2"/>
  <c r="C468" i="2"/>
  <c r="D468" i="2"/>
  <c r="E468" i="2"/>
  <c r="N468" i="2"/>
  <c r="C467" i="2"/>
  <c r="D467" i="2"/>
  <c r="E467" i="2"/>
  <c r="N467" i="2"/>
  <c r="C466" i="2"/>
  <c r="D466" i="2"/>
  <c r="E466" i="2"/>
  <c r="N466" i="2"/>
  <c r="C465" i="2"/>
  <c r="D465" i="2"/>
  <c r="E465" i="2"/>
  <c r="N465" i="2"/>
  <c r="C464" i="2"/>
  <c r="D464" i="2"/>
  <c r="E464" i="2"/>
  <c r="N464" i="2"/>
  <c r="C463" i="2"/>
  <c r="D463" i="2"/>
  <c r="E463" i="2"/>
  <c r="N463" i="2"/>
  <c r="C462" i="2"/>
  <c r="D462" i="2"/>
  <c r="E462" i="2"/>
  <c r="N462" i="2"/>
  <c r="C461" i="2"/>
  <c r="D461" i="2"/>
  <c r="E461" i="2"/>
  <c r="N461" i="2"/>
  <c r="C460" i="2"/>
  <c r="D460" i="2"/>
  <c r="E460" i="2"/>
  <c r="N460" i="2"/>
  <c r="C459" i="2"/>
  <c r="D459" i="2"/>
  <c r="E459" i="2"/>
  <c r="N459" i="2"/>
  <c r="C458" i="2"/>
  <c r="D458" i="2"/>
  <c r="E458" i="2"/>
  <c r="N458" i="2"/>
  <c r="C457" i="2"/>
  <c r="D457" i="2"/>
  <c r="E457" i="2"/>
  <c r="N457" i="2"/>
  <c r="C456" i="2"/>
  <c r="D456" i="2"/>
  <c r="E456" i="2"/>
  <c r="N456" i="2"/>
  <c r="C455" i="2"/>
  <c r="D455" i="2"/>
  <c r="E455" i="2"/>
  <c r="N455" i="2"/>
  <c r="C454" i="2"/>
  <c r="D454" i="2"/>
  <c r="E454" i="2"/>
  <c r="N454" i="2"/>
  <c r="C453" i="2"/>
  <c r="D453" i="2"/>
  <c r="E453" i="2"/>
  <c r="N453" i="2"/>
  <c r="C452" i="2"/>
  <c r="D452" i="2"/>
  <c r="E452" i="2"/>
  <c r="N452" i="2"/>
  <c r="C451" i="2"/>
  <c r="D451" i="2"/>
  <c r="E451" i="2"/>
  <c r="N451" i="2"/>
  <c r="C450" i="2"/>
  <c r="D450" i="2"/>
  <c r="E450" i="2"/>
  <c r="N450" i="2"/>
  <c r="C449" i="2"/>
  <c r="D449" i="2"/>
  <c r="E449" i="2"/>
  <c r="N449" i="2"/>
  <c r="C448" i="2"/>
  <c r="D448" i="2"/>
  <c r="E448" i="2"/>
  <c r="N448" i="2"/>
  <c r="C447" i="2"/>
  <c r="D447" i="2"/>
  <c r="E447" i="2"/>
  <c r="N447" i="2"/>
  <c r="C446" i="2"/>
  <c r="D446" i="2"/>
  <c r="E446" i="2"/>
  <c r="N446" i="2"/>
  <c r="C445" i="2"/>
  <c r="D445" i="2"/>
  <c r="E445" i="2"/>
  <c r="N445" i="2"/>
  <c r="C444" i="2"/>
  <c r="D444" i="2"/>
  <c r="E444" i="2"/>
  <c r="N444" i="2"/>
  <c r="C443" i="2"/>
  <c r="D443" i="2"/>
  <c r="E443" i="2"/>
  <c r="N443" i="2"/>
  <c r="C442" i="2"/>
  <c r="D442" i="2"/>
  <c r="E442" i="2"/>
  <c r="N442" i="2"/>
  <c r="C441" i="2"/>
  <c r="D441" i="2"/>
  <c r="E441" i="2"/>
  <c r="N441" i="2"/>
  <c r="C440" i="2"/>
  <c r="D440" i="2"/>
  <c r="E440" i="2"/>
  <c r="N440" i="2"/>
  <c r="C439" i="2"/>
  <c r="D439" i="2"/>
  <c r="E439" i="2"/>
  <c r="N439" i="2"/>
  <c r="C438" i="2"/>
  <c r="D438" i="2"/>
  <c r="E438" i="2"/>
  <c r="N438" i="2"/>
  <c r="C437" i="2"/>
  <c r="D437" i="2"/>
  <c r="E437" i="2"/>
  <c r="N437" i="2"/>
  <c r="C436" i="2"/>
  <c r="D436" i="2"/>
  <c r="E436" i="2"/>
  <c r="N436" i="2"/>
  <c r="C435" i="2"/>
  <c r="D435" i="2"/>
  <c r="E435" i="2"/>
  <c r="N435" i="2"/>
  <c r="C434" i="2"/>
  <c r="D434" i="2"/>
  <c r="E434" i="2"/>
  <c r="N434" i="2"/>
  <c r="C433" i="2"/>
  <c r="D433" i="2"/>
  <c r="E433" i="2"/>
  <c r="N433" i="2"/>
  <c r="C432" i="2"/>
  <c r="D432" i="2"/>
  <c r="E432" i="2"/>
  <c r="N432" i="2"/>
  <c r="C431" i="2"/>
  <c r="D431" i="2"/>
  <c r="E431" i="2"/>
  <c r="N431" i="2"/>
  <c r="C430" i="2"/>
  <c r="D430" i="2"/>
  <c r="E430" i="2"/>
  <c r="N430" i="2"/>
  <c r="C429" i="2"/>
  <c r="D429" i="2"/>
  <c r="E429" i="2"/>
  <c r="N429" i="2"/>
  <c r="C428" i="2"/>
  <c r="D428" i="2"/>
  <c r="E428" i="2"/>
  <c r="N428" i="2"/>
  <c r="C427" i="2"/>
  <c r="D427" i="2"/>
  <c r="E427" i="2"/>
  <c r="N427" i="2"/>
  <c r="C426" i="2"/>
  <c r="D426" i="2"/>
  <c r="E426" i="2"/>
  <c r="N426" i="2"/>
  <c r="C425" i="2"/>
  <c r="D425" i="2"/>
  <c r="E425" i="2"/>
  <c r="N425" i="2"/>
  <c r="C424" i="2"/>
  <c r="D424" i="2"/>
  <c r="E424" i="2"/>
  <c r="N424" i="2"/>
  <c r="C423" i="2"/>
  <c r="D423" i="2"/>
  <c r="E423" i="2"/>
  <c r="N423" i="2"/>
  <c r="C422" i="2"/>
  <c r="D422" i="2"/>
  <c r="E422" i="2"/>
  <c r="N422" i="2"/>
  <c r="C421" i="2"/>
  <c r="D421" i="2"/>
  <c r="E421" i="2"/>
  <c r="N421" i="2"/>
  <c r="C420" i="2"/>
  <c r="D420" i="2"/>
  <c r="E420" i="2"/>
  <c r="N420" i="2"/>
  <c r="C419" i="2"/>
  <c r="D419" i="2"/>
  <c r="E419" i="2"/>
  <c r="N419" i="2"/>
  <c r="C418" i="2"/>
  <c r="D418" i="2"/>
  <c r="E418" i="2"/>
  <c r="N418" i="2"/>
  <c r="C417" i="2"/>
  <c r="D417" i="2"/>
  <c r="E417" i="2"/>
  <c r="N417" i="2"/>
  <c r="C416" i="2"/>
  <c r="D416" i="2"/>
  <c r="E416" i="2"/>
  <c r="N416" i="2"/>
  <c r="C415" i="2"/>
  <c r="D415" i="2"/>
  <c r="E415" i="2"/>
  <c r="N415" i="2"/>
  <c r="C414" i="2"/>
  <c r="D414" i="2"/>
  <c r="E414" i="2"/>
  <c r="N414" i="2"/>
  <c r="C413" i="2"/>
  <c r="D413" i="2"/>
  <c r="E413" i="2"/>
  <c r="N413" i="2"/>
  <c r="C412" i="2"/>
  <c r="D412" i="2"/>
  <c r="E412" i="2"/>
  <c r="N412" i="2"/>
  <c r="C411" i="2"/>
  <c r="D411" i="2"/>
  <c r="E411" i="2"/>
  <c r="N411" i="2"/>
  <c r="C410" i="2"/>
  <c r="D410" i="2"/>
  <c r="E410" i="2"/>
  <c r="N410" i="2"/>
  <c r="C409" i="2"/>
  <c r="D409" i="2"/>
  <c r="E409" i="2"/>
  <c r="N409" i="2"/>
  <c r="C408" i="2"/>
  <c r="D408" i="2"/>
  <c r="E408" i="2"/>
  <c r="N408" i="2"/>
  <c r="C407" i="2"/>
  <c r="D407" i="2"/>
  <c r="E407" i="2"/>
  <c r="N407" i="2"/>
  <c r="C406" i="2"/>
  <c r="D406" i="2"/>
  <c r="E406" i="2"/>
  <c r="N406" i="2"/>
  <c r="C405" i="2"/>
  <c r="D405" i="2"/>
  <c r="E405" i="2"/>
  <c r="N405" i="2"/>
  <c r="C404" i="2"/>
  <c r="D404" i="2"/>
  <c r="E404" i="2"/>
  <c r="N404" i="2"/>
  <c r="C403" i="2"/>
  <c r="D403" i="2"/>
  <c r="E403" i="2"/>
  <c r="N403" i="2"/>
  <c r="C402" i="2"/>
  <c r="D402" i="2"/>
  <c r="E402" i="2"/>
  <c r="N402" i="2"/>
  <c r="C401" i="2"/>
  <c r="D401" i="2"/>
  <c r="E401" i="2"/>
  <c r="N401" i="2"/>
  <c r="C400" i="2"/>
  <c r="D400" i="2"/>
  <c r="E400" i="2"/>
  <c r="N400" i="2"/>
  <c r="C399" i="2"/>
  <c r="D399" i="2"/>
  <c r="E399" i="2"/>
  <c r="N399" i="2"/>
  <c r="C398" i="2"/>
  <c r="D398" i="2"/>
  <c r="E398" i="2"/>
  <c r="N398" i="2"/>
  <c r="C397" i="2"/>
  <c r="D397" i="2"/>
  <c r="E397" i="2"/>
  <c r="N397" i="2"/>
  <c r="C396" i="2"/>
  <c r="D396" i="2"/>
  <c r="E396" i="2"/>
  <c r="N396" i="2"/>
  <c r="C395" i="2"/>
  <c r="D395" i="2"/>
  <c r="E395" i="2"/>
  <c r="N395" i="2"/>
  <c r="C394" i="2"/>
  <c r="D394" i="2"/>
  <c r="E394" i="2"/>
  <c r="N394" i="2"/>
  <c r="C393" i="2"/>
  <c r="D393" i="2"/>
  <c r="E393" i="2"/>
  <c r="N393" i="2"/>
  <c r="C392" i="2"/>
  <c r="D392" i="2"/>
  <c r="E392" i="2"/>
  <c r="N392" i="2"/>
  <c r="C391" i="2"/>
  <c r="D391" i="2"/>
  <c r="E391" i="2"/>
  <c r="N391" i="2"/>
  <c r="C390" i="2"/>
  <c r="D390" i="2"/>
  <c r="E390" i="2"/>
  <c r="N390" i="2"/>
  <c r="C389" i="2"/>
  <c r="D389" i="2"/>
  <c r="E389" i="2"/>
  <c r="N389" i="2"/>
  <c r="C388" i="2"/>
  <c r="D388" i="2"/>
  <c r="E388" i="2"/>
  <c r="N388" i="2"/>
  <c r="C387" i="2"/>
  <c r="D387" i="2"/>
  <c r="E387" i="2"/>
  <c r="N387" i="2"/>
  <c r="C386" i="2"/>
  <c r="D386" i="2"/>
  <c r="E386" i="2"/>
  <c r="N386" i="2"/>
  <c r="C385" i="2"/>
  <c r="D385" i="2"/>
  <c r="E385" i="2"/>
  <c r="N385" i="2"/>
  <c r="C384" i="2"/>
  <c r="D384" i="2"/>
  <c r="E384" i="2"/>
  <c r="N384" i="2"/>
  <c r="C383" i="2"/>
  <c r="D383" i="2"/>
  <c r="E383" i="2"/>
  <c r="N383" i="2"/>
  <c r="C382" i="2"/>
  <c r="D382" i="2"/>
  <c r="E382" i="2"/>
  <c r="N382" i="2"/>
  <c r="C381" i="2"/>
  <c r="D381" i="2"/>
  <c r="E381" i="2"/>
  <c r="N381" i="2"/>
  <c r="C380" i="2"/>
  <c r="D380" i="2"/>
  <c r="E380" i="2"/>
  <c r="N380" i="2"/>
  <c r="C379" i="2"/>
  <c r="D379" i="2"/>
  <c r="E379" i="2"/>
  <c r="N379" i="2"/>
  <c r="C378" i="2"/>
  <c r="D378" i="2"/>
  <c r="E378" i="2"/>
  <c r="N378" i="2"/>
  <c r="C377" i="2"/>
  <c r="D377" i="2"/>
  <c r="E377" i="2"/>
  <c r="N377" i="2"/>
  <c r="C376" i="2"/>
  <c r="D376" i="2"/>
  <c r="E376" i="2"/>
  <c r="N376" i="2"/>
  <c r="C375" i="2"/>
  <c r="D375" i="2"/>
  <c r="E375" i="2"/>
  <c r="N375" i="2"/>
  <c r="C374" i="2"/>
  <c r="D374" i="2"/>
  <c r="E374" i="2"/>
  <c r="N374" i="2"/>
  <c r="C373" i="2"/>
  <c r="D373" i="2"/>
  <c r="E373" i="2"/>
  <c r="N373" i="2"/>
  <c r="C372" i="2"/>
  <c r="D372" i="2"/>
  <c r="E372" i="2"/>
  <c r="N372" i="2"/>
  <c r="C371" i="2"/>
  <c r="D371" i="2"/>
  <c r="E371" i="2"/>
  <c r="N371" i="2"/>
  <c r="C370" i="2"/>
  <c r="D370" i="2"/>
  <c r="E370" i="2"/>
  <c r="N370" i="2"/>
  <c r="C369" i="2"/>
  <c r="D369" i="2"/>
  <c r="E369" i="2"/>
  <c r="N369" i="2"/>
  <c r="C368" i="2"/>
  <c r="D368" i="2"/>
  <c r="E368" i="2"/>
  <c r="N368" i="2"/>
  <c r="C367" i="2"/>
  <c r="D367" i="2"/>
  <c r="E367" i="2"/>
  <c r="N367" i="2"/>
  <c r="C366" i="2"/>
  <c r="D366" i="2"/>
  <c r="E366" i="2"/>
  <c r="N366" i="2"/>
  <c r="C365" i="2"/>
  <c r="D365" i="2"/>
  <c r="E365" i="2"/>
  <c r="N365" i="2"/>
  <c r="C364" i="2"/>
  <c r="D364" i="2"/>
  <c r="E364" i="2"/>
  <c r="N364" i="2"/>
  <c r="C363" i="2"/>
  <c r="D363" i="2"/>
  <c r="E363" i="2"/>
  <c r="N363" i="2"/>
  <c r="C362" i="2"/>
  <c r="D362" i="2"/>
  <c r="E362" i="2"/>
  <c r="N362" i="2"/>
  <c r="C361" i="2"/>
  <c r="D361" i="2"/>
  <c r="E361" i="2"/>
  <c r="N361" i="2"/>
  <c r="C360" i="2"/>
  <c r="D360" i="2"/>
  <c r="E360" i="2"/>
  <c r="N360" i="2"/>
  <c r="C359" i="2"/>
  <c r="D359" i="2"/>
  <c r="E359" i="2"/>
  <c r="N359" i="2"/>
  <c r="C358" i="2"/>
  <c r="D358" i="2"/>
  <c r="E358" i="2"/>
  <c r="N358" i="2"/>
  <c r="C357" i="2"/>
  <c r="D357" i="2"/>
  <c r="E357" i="2"/>
  <c r="N357" i="2"/>
  <c r="C356" i="2"/>
  <c r="D356" i="2"/>
  <c r="E356" i="2"/>
  <c r="N356" i="2"/>
  <c r="C355" i="2"/>
  <c r="D355" i="2"/>
  <c r="E355" i="2"/>
  <c r="N355" i="2"/>
  <c r="C354" i="2"/>
  <c r="D354" i="2"/>
  <c r="N354" i="2"/>
  <c r="C353" i="2"/>
  <c r="D353" i="2"/>
  <c r="N353" i="2"/>
  <c r="C352" i="2"/>
  <c r="D352" i="2"/>
  <c r="N352" i="2"/>
  <c r="C351" i="2"/>
  <c r="D351" i="2"/>
  <c r="N351" i="2"/>
  <c r="C350" i="2"/>
  <c r="D350" i="2"/>
  <c r="N350" i="2"/>
  <c r="C349" i="2"/>
  <c r="D349" i="2"/>
  <c r="N349" i="2"/>
  <c r="C348" i="2"/>
  <c r="D348" i="2"/>
  <c r="N348" i="2"/>
  <c r="C347" i="2"/>
  <c r="D347" i="2"/>
  <c r="E347" i="2"/>
  <c r="N347" i="2"/>
  <c r="C346" i="2"/>
  <c r="D346" i="2"/>
  <c r="E346" i="2"/>
  <c r="N346" i="2"/>
  <c r="C345" i="2"/>
  <c r="D345" i="2"/>
  <c r="E345" i="2"/>
  <c r="N345" i="2"/>
  <c r="C344" i="2"/>
  <c r="D344" i="2"/>
  <c r="E344" i="2"/>
  <c r="N344" i="2"/>
  <c r="C343" i="2"/>
  <c r="D343" i="2"/>
  <c r="E343" i="2"/>
  <c r="N343" i="2"/>
  <c r="C342" i="2"/>
  <c r="D342" i="2"/>
  <c r="E342" i="2"/>
  <c r="N342" i="2"/>
  <c r="C341" i="2"/>
  <c r="D341" i="2"/>
  <c r="E341" i="2"/>
  <c r="N341" i="2"/>
  <c r="C340" i="2"/>
  <c r="D340" i="2"/>
  <c r="E340" i="2"/>
  <c r="N340" i="2"/>
  <c r="C339" i="2"/>
  <c r="D339" i="2"/>
  <c r="E339" i="2"/>
  <c r="N339" i="2"/>
  <c r="C338" i="2"/>
  <c r="D338" i="2"/>
  <c r="E338" i="2"/>
  <c r="N338" i="2"/>
  <c r="C337" i="2"/>
  <c r="D337" i="2"/>
  <c r="E337" i="2"/>
  <c r="N337" i="2"/>
  <c r="C336" i="2"/>
  <c r="D336" i="2"/>
  <c r="E336" i="2"/>
  <c r="N336" i="2"/>
  <c r="C335" i="2"/>
  <c r="D335" i="2"/>
  <c r="E335" i="2"/>
  <c r="N335" i="2"/>
  <c r="C334" i="2"/>
  <c r="D334" i="2"/>
  <c r="E334" i="2"/>
  <c r="N334" i="2"/>
  <c r="C333" i="2"/>
  <c r="D333" i="2"/>
  <c r="E333" i="2"/>
  <c r="N333" i="2"/>
  <c r="C332" i="2"/>
  <c r="D332" i="2"/>
  <c r="E332" i="2"/>
  <c r="N332" i="2"/>
  <c r="C331" i="2"/>
  <c r="D331" i="2"/>
  <c r="E331" i="2"/>
  <c r="N331" i="2"/>
  <c r="C330" i="2"/>
  <c r="D330" i="2"/>
  <c r="E330" i="2"/>
  <c r="N330" i="2"/>
  <c r="C329" i="2"/>
  <c r="D329" i="2"/>
  <c r="E329" i="2"/>
  <c r="N329" i="2"/>
  <c r="C328" i="2"/>
  <c r="D328" i="2"/>
  <c r="E328" i="2"/>
  <c r="N328" i="2"/>
  <c r="C327" i="2"/>
  <c r="D327" i="2"/>
  <c r="E327" i="2"/>
  <c r="N327" i="2"/>
  <c r="C326" i="2"/>
  <c r="D326" i="2"/>
  <c r="E326" i="2"/>
  <c r="N326" i="2"/>
  <c r="C325" i="2"/>
  <c r="D325" i="2"/>
  <c r="E325" i="2"/>
  <c r="N325" i="2"/>
  <c r="C324" i="2"/>
  <c r="D324" i="2"/>
  <c r="E324" i="2"/>
  <c r="N324" i="2"/>
  <c r="C323" i="2"/>
  <c r="D323" i="2"/>
  <c r="E323" i="2"/>
  <c r="N323" i="2"/>
  <c r="C322" i="2"/>
  <c r="D322" i="2"/>
  <c r="E322" i="2"/>
  <c r="N322" i="2"/>
  <c r="C321" i="2"/>
  <c r="D321" i="2"/>
  <c r="E321" i="2"/>
  <c r="N321" i="2"/>
  <c r="C320" i="2"/>
  <c r="D320" i="2"/>
  <c r="E320" i="2"/>
  <c r="N320" i="2"/>
  <c r="C319" i="2"/>
  <c r="D319" i="2"/>
  <c r="E319" i="2"/>
  <c r="N319" i="2"/>
  <c r="C318" i="2"/>
  <c r="D318" i="2"/>
  <c r="E318" i="2"/>
  <c r="N318" i="2"/>
  <c r="C317" i="2"/>
  <c r="D317" i="2"/>
  <c r="E317" i="2"/>
  <c r="N317" i="2"/>
  <c r="C316" i="2"/>
  <c r="D316" i="2"/>
  <c r="E316" i="2"/>
  <c r="N316" i="2"/>
  <c r="C315" i="2"/>
  <c r="D315" i="2"/>
  <c r="E315" i="2"/>
  <c r="N315" i="2"/>
  <c r="C314" i="2"/>
  <c r="D314" i="2"/>
  <c r="E314" i="2"/>
  <c r="N314" i="2"/>
  <c r="C313" i="2"/>
  <c r="D313" i="2"/>
  <c r="E313" i="2"/>
  <c r="N313" i="2"/>
  <c r="C312" i="2"/>
  <c r="D312" i="2"/>
  <c r="E312" i="2"/>
  <c r="N312" i="2"/>
  <c r="C311" i="2"/>
  <c r="D311" i="2"/>
  <c r="E311" i="2"/>
  <c r="N311" i="2"/>
  <c r="C310" i="2"/>
  <c r="D310" i="2"/>
  <c r="E310" i="2"/>
  <c r="N310" i="2"/>
  <c r="C309" i="2"/>
  <c r="D309" i="2"/>
  <c r="E309" i="2"/>
  <c r="N309" i="2"/>
  <c r="C308" i="2"/>
  <c r="D308" i="2"/>
  <c r="E308" i="2"/>
  <c r="N308" i="2"/>
  <c r="C307" i="2"/>
  <c r="D307" i="2"/>
  <c r="E307" i="2"/>
  <c r="N307" i="2"/>
  <c r="C306" i="2"/>
  <c r="D306" i="2"/>
  <c r="E306" i="2"/>
  <c r="N306" i="2"/>
  <c r="C305" i="2"/>
  <c r="D305" i="2"/>
  <c r="E305" i="2"/>
  <c r="N305" i="2"/>
  <c r="C304" i="2"/>
  <c r="D304" i="2"/>
  <c r="E304" i="2"/>
  <c r="N304" i="2"/>
  <c r="C303" i="2"/>
  <c r="D303" i="2"/>
  <c r="E303" i="2"/>
  <c r="N303" i="2"/>
  <c r="C302" i="2"/>
  <c r="D302" i="2"/>
  <c r="E302" i="2"/>
  <c r="N302" i="2"/>
  <c r="C301" i="2"/>
  <c r="D301" i="2"/>
  <c r="E301" i="2"/>
  <c r="N301" i="2"/>
  <c r="C300" i="2"/>
  <c r="D300" i="2"/>
  <c r="E300" i="2"/>
  <c r="N300" i="2"/>
  <c r="C299" i="2"/>
  <c r="D299" i="2"/>
  <c r="E299" i="2"/>
  <c r="N299" i="2"/>
  <c r="C298" i="2"/>
  <c r="D298" i="2"/>
  <c r="E298" i="2"/>
  <c r="N298" i="2"/>
  <c r="C297" i="2"/>
  <c r="D297" i="2"/>
  <c r="E297" i="2"/>
  <c r="N297" i="2"/>
  <c r="C296" i="2"/>
  <c r="D296" i="2"/>
  <c r="E296" i="2"/>
  <c r="N296" i="2"/>
  <c r="C295" i="2"/>
  <c r="D295" i="2"/>
  <c r="E295" i="2"/>
  <c r="N295" i="2"/>
  <c r="C294" i="2"/>
  <c r="D294" i="2"/>
  <c r="E294" i="2"/>
  <c r="N294" i="2"/>
  <c r="C293" i="2"/>
  <c r="D293" i="2"/>
  <c r="E293" i="2"/>
  <c r="N293" i="2"/>
  <c r="C292" i="2"/>
  <c r="D292" i="2"/>
  <c r="E292" i="2"/>
  <c r="N292" i="2"/>
  <c r="C291" i="2"/>
  <c r="D291" i="2"/>
  <c r="E291" i="2"/>
  <c r="N291" i="2"/>
  <c r="C290" i="2"/>
  <c r="D290" i="2"/>
  <c r="E290" i="2"/>
  <c r="N290" i="2"/>
  <c r="C289" i="2"/>
  <c r="D289" i="2"/>
  <c r="E289" i="2"/>
  <c r="N289" i="2"/>
  <c r="C288" i="2"/>
  <c r="D288" i="2"/>
  <c r="E288" i="2"/>
  <c r="N288" i="2"/>
  <c r="C287" i="2"/>
  <c r="D287" i="2"/>
  <c r="E287" i="2"/>
  <c r="N287" i="2"/>
  <c r="C286" i="2"/>
  <c r="D286" i="2"/>
  <c r="E286" i="2"/>
  <c r="N286" i="2"/>
  <c r="C285" i="2"/>
  <c r="D285" i="2"/>
  <c r="E285" i="2"/>
  <c r="N285" i="2"/>
  <c r="C284" i="2"/>
  <c r="D284" i="2"/>
  <c r="E284" i="2"/>
  <c r="N284" i="2"/>
  <c r="C283" i="2"/>
  <c r="D283" i="2"/>
  <c r="E283" i="2"/>
  <c r="N283" i="2"/>
  <c r="C282" i="2"/>
  <c r="D282" i="2"/>
  <c r="E282" i="2"/>
  <c r="N282" i="2"/>
  <c r="C281" i="2"/>
  <c r="D281" i="2"/>
  <c r="E281" i="2"/>
  <c r="N281" i="2"/>
  <c r="C280" i="2"/>
  <c r="D280" i="2"/>
  <c r="E280" i="2"/>
  <c r="N280" i="2"/>
  <c r="C279" i="2"/>
  <c r="D279" i="2"/>
  <c r="E279" i="2"/>
  <c r="N279" i="2"/>
  <c r="C278" i="2"/>
  <c r="D278" i="2"/>
  <c r="E278" i="2"/>
  <c r="N278" i="2"/>
  <c r="C277" i="2"/>
  <c r="D277" i="2"/>
  <c r="E277" i="2"/>
  <c r="N277" i="2"/>
  <c r="C276" i="2"/>
  <c r="D276" i="2"/>
  <c r="E276" i="2"/>
  <c r="N276" i="2"/>
  <c r="C275" i="2"/>
  <c r="D275" i="2"/>
  <c r="E275" i="2"/>
  <c r="N275" i="2"/>
  <c r="C274" i="2"/>
  <c r="D274" i="2"/>
  <c r="E274" i="2"/>
  <c r="N274" i="2"/>
  <c r="C273" i="2"/>
  <c r="D273" i="2"/>
  <c r="E273" i="2"/>
  <c r="N273" i="2"/>
  <c r="C272" i="2"/>
  <c r="D272" i="2"/>
  <c r="E272" i="2"/>
  <c r="N272" i="2"/>
  <c r="C271" i="2"/>
  <c r="D271" i="2"/>
  <c r="E271" i="2"/>
  <c r="N271" i="2"/>
  <c r="C270" i="2"/>
  <c r="D270" i="2"/>
  <c r="E270" i="2"/>
  <c r="N270" i="2"/>
  <c r="C269" i="2"/>
  <c r="D269" i="2"/>
  <c r="E269" i="2"/>
  <c r="N269" i="2"/>
  <c r="C268" i="2"/>
  <c r="D268" i="2"/>
  <c r="E268" i="2"/>
  <c r="N268" i="2"/>
  <c r="C267" i="2"/>
  <c r="D267" i="2"/>
  <c r="E267" i="2"/>
  <c r="N267" i="2"/>
  <c r="C266" i="2"/>
  <c r="D266" i="2"/>
  <c r="E266" i="2"/>
  <c r="N266" i="2"/>
  <c r="C265" i="2"/>
  <c r="D265" i="2"/>
  <c r="E265" i="2"/>
  <c r="N265" i="2"/>
  <c r="C264" i="2"/>
  <c r="D264" i="2"/>
  <c r="E264" i="2"/>
  <c r="N264" i="2"/>
  <c r="C263" i="2"/>
  <c r="D263" i="2"/>
  <c r="E263" i="2"/>
  <c r="N263" i="2"/>
  <c r="C262" i="2"/>
  <c r="D262" i="2"/>
  <c r="E262" i="2"/>
  <c r="N262" i="2"/>
  <c r="C261" i="2"/>
  <c r="D261" i="2"/>
  <c r="E261" i="2"/>
  <c r="N261" i="2"/>
  <c r="C260" i="2"/>
  <c r="D260" i="2"/>
  <c r="E260" i="2"/>
  <c r="N260" i="2"/>
  <c r="C259" i="2"/>
  <c r="D259" i="2"/>
  <c r="E259" i="2"/>
  <c r="N259" i="2"/>
  <c r="C258" i="2"/>
  <c r="D258" i="2"/>
  <c r="E258" i="2"/>
  <c r="N258" i="2"/>
  <c r="C257" i="2"/>
  <c r="D257" i="2"/>
  <c r="E257" i="2"/>
  <c r="N257" i="2"/>
  <c r="C256" i="2"/>
  <c r="D256" i="2"/>
  <c r="E256" i="2"/>
  <c r="N256" i="2"/>
  <c r="C255" i="2"/>
  <c r="D255" i="2"/>
  <c r="E255" i="2"/>
  <c r="N255" i="2"/>
  <c r="C254" i="2"/>
  <c r="D254" i="2"/>
  <c r="E254" i="2"/>
  <c r="N254" i="2"/>
  <c r="C253" i="2"/>
  <c r="D253" i="2"/>
  <c r="E253" i="2"/>
  <c r="N253" i="2"/>
  <c r="C252" i="2"/>
  <c r="D252" i="2"/>
  <c r="E252" i="2"/>
  <c r="N252" i="2"/>
  <c r="C251" i="2"/>
  <c r="D251" i="2"/>
  <c r="E251" i="2"/>
  <c r="N251" i="2"/>
  <c r="C250" i="2"/>
  <c r="D250" i="2"/>
  <c r="E250" i="2"/>
  <c r="N250" i="2"/>
  <c r="C249" i="2"/>
  <c r="D249" i="2"/>
  <c r="E249" i="2"/>
  <c r="N249" i="2"/>
  <c r="C248" i="2"/>
  <c r="D248" i="2"/>
  <c r="E248" i="2"/>
  <c r="N248" i="2"/>
  <c r="C247" i="2"/>
  <c r="D247" i="2"/>
  <c r="E247" i="2"/>
  <c r="N247" i="2"/>
  <c r="C246" i="2"/>
  <c r="D246" i="2"/>
  <c r="E246" i="2"/>
  <c r="N246" i="2"/>
  <c r="C245" i="2"/>
  <c r="D245" i="2"/>
  <c r="E245" i="2"/>
  <c r="N245" i="2"/>
  <c r="C244" i="2"/>
  <c r="D244" i="2"/>
  <c r="E244" i="2"/>
  <c r="N244" i="2"/>
  <c r="C243" i="2"/>
  <c r="D243" i="2"/>
  <c r="E243" i="2"/>
  <c r="N243" i="2"/>
  <c r="C242" i="2"/>
  <c r="D242" i="2"/>
  <c r="E242" i="2"/>
  <c r="N242" i="2"/>
  <c r="C241" i="2"/>
  <c r="D241" i="2"/>
  <c r="E241" i="2"/>
  <c r="N241" i="2"/>
  <c r="C240" i="2"/>
  <c r="D240" i="2"/>
  <c r="E240" i="2"/>
  <c r="N240" i="2"/>
  <c r="C239" i="2"/>
  <c r="D239" i="2"/>
  <c r="E239" i="2"/>
  <c r="N239" i="2"/>
  <c r="C238" i="2"/>
  <c r="D238" i="2"/>
  <c r="E238" i="2"/>
  <c r="N238" i="2"/>
  <c r="C237" i="2"/>
  <c r="D237" i="2"/>
  <c r="E237" i="2"/>
  <c r="N237" i="2"/>
  <c r="C236" i="2"/>
  <c r="D236" i="2"/>
  <c r="E236" i="2"/>
  <c r="N236" i="2"/>
  <c r="C235" i="2"/>
  <c r="D235" i="2"/>
  <c r="E235" i="2"/>
  <c r="N235" i="2"/>
  <c r="C234" i="2"/>
  <c r="D234" i="2"/>
  <c r="E234" i="2"/>
  <c r="N234" i="2"/>
  <c r="C233" i="2"/>
  <c r="D233" i="2"/>
  <c r="E233" i="2"/>
  <c r="N233" i="2"/>
  <c r="C232" i="2"/>
  <c r="D232" i="2"/>
  <c r="E232" i="2"/>
  <c r="N232" i="2"/>
  <c r="C231" i="2"/>
  <c r="D231" i="2"/>
  <c r="E231" i="2"/>
  <c r="N231" i="2"/>
  <c r="C230" i="2"/>
  <c r="D230" i="2"/>
  <c r="E230" i="2"/>
  <c r="N230" i="2"/>
  <c r="C229" i="2"/>
  <c r="D229" i="2"/>
  <c r="E229" i="2"/>
  <c r="N229" i="2"/>
  <c r="C228" i="2"/>
  <c r="D228" i="2"/>
  <c r="E228" i="2"/>
  <c r="N228" i="2"/>
  <c r="C227" i="2"/>
  <c r="D227" i="2"/>
  <c r="E227" i="2"/>
  <c r="N227" i="2"/>
  <c r="C226" i="2"/>
  <c r="D226" i="2"/>
  <c r="E226" i="2"/>
  <c r="N226" i="2"/>
  <c r="C225" i="2"/>
  <c r="D225" i="2"/>
  <c r="E225" i="2"/>
  <c r="N225" i="2"/>
  <c r="C224" i="2"/>
  <c r="D224" i="2"/>
  <c r="E224" i="2"/>
  <c r="N224" i="2"/>
  <c r="C223" i="2"/>
  <c r="D223" i="2"/>
  <c r="E223" i="2"/>
  <c r="N223" i="2"/>
  <c r="C222" i="2"/>
  <c r="D222" i="2"/>
  <c r="E222" i="2"/>
  <c r="N222" i="2"/>
  <c r="C221" i="2"/>
  <c r="D221" i="2"/>
  <c r="E221" i="2"/>
  <c r="N221" i="2"/>
  <c r="C220" i="2"/>
  <c r="D220" i="2"/>
  <c r="E220" i="2"/>
  <c r="N220" i="2"/>
  <c r="C219" i="2"/>
  <c r="D219" i="2"/>
  <c r="E219" i="2"/>
  <c r="N219" i="2"/>
  <c r="C218" i="2"/>
  <c r="D218" i="2"/>
  <c r="E218" i="2"/>
  <c r="N218" i="2"/>
  <c r="C217" i="2"/>
  <c r="D217" i="2"/>
  <c r="E217" i="2"/>
  <c r="N217" i="2"/>
  <c r="C216" i="2"/>
  <c r="D216" i="2"/>
  <c r="E216" i="2"/>
  <c r="N216" i="2"/>
  <c r="C215" i="2"/>
  <c r="D215" i="2"/>
  <c r="E215" i="2"/>
  <c r="N215" i="2"/>
  <c r="C214" i="2"/>
  <c r="D214" i="2"/>
  <c r="E214" i="2"/>
  <c r="N214" i="2"/>
  <c r="C213" i="2"/>
  <c r="D213" i="2"/>
  <c r="E213" i="2"/>
  <c r="N213" i="2"/>
  <c r="C212" i="2"/>
  <c r="D212" i="2"/>
  <c r="E212" i="2"/>
  <c r="N212" i="2"/>
  <c r="C211" i="2"/>
  <c r="D211" i="2"/>
  <c r="E211" i="2"/>
  <c r="N211" i="2"/>
  <c r="C210" i="2"/>
  <c r="D210" i="2"/>
  <c r="E210" i="2"/>
  <c r="N210" i="2"/>
  <c r="C209" i="2"/>
  <c r="D209" i="2"/>
  <c r="E209" i="2"/>
  <c r="N209" i="2"/>
  <c r="C208" i="2"/>
  <c r="D208" i="2"/>
  <c r="E208" i="2"/>
  <c r="N208" i="2"/>
  <c r="C207" i="2"/>
  <c r="D207" i="2"/>
  <c r="E207" i="2"/>
  <c r="N207" i="2"/>
  <c r="C206" i="2"/>
  <c r="D206" i="2"/>
  <c r="E206" i="2"/>
  <c r="N206" i="2"/>
  <c r="C205" i="2"/>
  <c r="D205" i="2"/>
  <c r="E205" i="2"/>
  <c r="N205" i="2"/>
  <c r="C204" i="2"/>
  <c r="D204" i="2"/>
  <c r="E204" i="2"/>
  <c r="N204" i="2"/>
  <c r="C203" i="2"/>
  <c r="D203" i="2"/>
  <c r="E203" i="2"/>
  <c r="N203" i="2"/>
  <c r="C202" i="2"/>
  <c r="D202" i="2"/>
  <c r="E202" i="2"/>
  <c r="N202" i="2"/>
  <c r="C201" i="2"/>
  <c r="D201" i="2"/>
  <c r="E201" i="2"/>
  <c r="N201" i="2"/>
  <c r="C200" i="2"/>
  <c r="D200" i="2"/>
  <c r="E200" i="2"/>
  <c r="N200" i="2"/>
  <c r="C199" i="2"/>
  <c r="D199" i="2"/>
  <c r="E199" i="2"/>
  <c r="N199" i="2"/>
  <c r="C198" i="2"/>
  <c r="D198" i="2"/>
  <c r="E198" i="2"/>
  <c r="N198" i="2"/>
  <c r="C197" i="2"/>
  <c r="D197" i="2"/>
  <c r="E197" i="2"/>
  <c r="N197" i="2"/>
  <c r="C196" i="2"/>
  <c r="D196" i="2"/>
  <c r="E196" i="2"/>
  <c r="N196" i="2"/>
  <c r="C195" i="2"/>
  <c r="D195" i="2"/>
  <c r="E195" i="2"/>
  <c r="N195" i="2"/>
  <c r="C194" i="2"/>
  <c r="D194" i="2"/>
  <c r="E194" i="2"/>
  <c r="N194" i="2"/>
  <c r="C193" i="2"/>
  <c r="D193" i="2"/>
  <c r="E193" i="2"/>
  <c r="N193" i="2"/>
  <c r="C192" i="2"/>
  <c r="D192" i="2"/>
  <c r="E192" i="2"/>
  <c r="N192" i="2"/>
  <c r="C191" i="2"/>
  <c r="D191" i="2"/>
  <c r="E191" i="2"/>
  <c r="N191" i="2"/>
  <c r="C190" i="2"/>
  <c r="D190" i="2"/>
  <c r="E190" i="2"/>
  <c r="N190" i="2"/>
  <c r="C189" i="2"/>
  <c r="D189" i="2"/>
  <c r="E189" i="2"/>
  <c r="N189" i="2"/>
  <c r="C188" i="2"/>
  <c r="D188" i="2"/>
  <c r="E188" i="2"/>
  <c r="N188" i="2"/>
  <c r="C187" i="2"/>
  <c r="D187" i="2"/>
  <c r="E187" i="2"/>
  <c r="N187" i="2"/>
  <c r="C186" i="2"/>
  <c r="D186" i="2"/>
  <c r="E186" i="2"/>
  <c r="N186" i="2"/>
  <c r="C185" i="2"/>
  <c r="D185" i="2"/>
  <c r="E185" i="2"/>
  <c r="N185" i="2"/>
  <c r="C184" i="2"/>
  <c r="D184" i="2"/>
  <c r="E184" i="2"/>
  <c r="N184" i="2"/>
  <c r="C183" i="2"/>
  <c r="D183" i="2"/>
  <c r="E183" i="2"/>
  <c r="N183" i="2"/>
  <c r="C182" i="2"/>
  <c r="D182" i="2"/>
  <c r="E182" i="2"/>
  <c r="N182" i="2"/>
  <c r="C181" i="2"/>
  <c r="D181" i="2"/>
  <c r="E181" i="2"/>
  <c r="N181" i="2"/>
  <c r="C180" i="2"/>
  <c r="D180" i="2"/>
  <c r="E180" i="2"/>
  <c r="N180" i="2"/>
  <c r="C179" i="2"/>
  <c r="D179" i="2"/>
  <c r="E179" i="2"/>
  <c r="N179" i="2"/>
  <c r="C178" i="2"/>
  <c r="D178" i="2"/>
  <c r="E178" i="2"/>
  <c r="N178" i="2"/>
  <c r="C177" i="2"/>
  <c r="D177" i="2"/>
  <c r="E177" i="2"/>
  <c r="N177" i="2"/>
  <c r="C176" i="2"/>
  <c r="D176" i="2"/>
  <c r="E176" i="2"/>
  <c r="N176" i="2"/>
  <c r="C175" i="2"/>
  <c r="D175" i="2"/>
  <c r="E175" i="2"/>
  <c r="N175" i="2"/>
  <c r="C174" i="2"/>
  <c r="D174" i="2"/>
  <c r="E174" i="2"/>
  <c r="N174" i="2"/>
  <c r="C173" i="2"/>
  <c r="D173" i="2"/>
  <c r="E173" i="2"/>
  <c r="N173" i="2"/>
  <c r="C172" i="2"/>
  <c r="D172" i="2"/>
  <c r="E172" i="2"/>
  <c r="N172" i="2"/>
  <c r="C171" i="2"/>
  <c r="D171" i="2"/>
  <c r="E171" i="2"/>
  <c r="N171" i="2"/>
  <c r="C170" i="2"/>
  <c r="D170" i="2"/>
  <c r="E170" i="2"/>
  <c r="N170" i="2"/>
  <c r="C169" i="2"/>
  <c r="D169" i="2"/>
  <c r="E169" i="2"/>
  <c r="N169" i="2"/>
  <c r="C168" i="2"/>
  <c r="D168" i="2"/>
  <c r="E168" i="2"/>
  <c r="N168" i="2"/>
  <c r="C167" i="2"/>
  <c r="D167" i="2"/>
  <c r="E167" i="2"/>
  <c r="N167" i="2"/>
  <c r="C166" i="2"/>
  <c r="D166" i="2"/>
  <c r="E166" i="2"/>
  <c r="N166" i="2"/>
  <c r="C165" i="2"/>
  <c r="D165" i="2"/>
  <c r="E165" i="2"/>
  <c r="N165" i="2"/>
  <c r="C164" i="2"/>
  <c r="D164" i="2"/>
  <c r="E164" i="2"/>
  <c r="N164" i="2"/>
  <c r="C163" i="2"/>
  <c r="D163" i="2"/>
  <c r="E163" i="2"/>
  <c r="N163" i="2"/>
  <c r="C162" i="2"/>
  <c r="D162" i="2"/>
  <c r="E162" i="2"/>
  <c r="N162" i="2"/>
  <c r="C161" i="2"/>
  <c r="D161" i="2"/>
  <c r="E161" i="2"/>
  <c r="N161" i="2"/>
  <c r="C160" i="2"/>
  <c r="D160" i="2"/>
  <c r="E160" i="2"/>
  <c r="N160" i="2"/>
  <c r="C159" i="2"/>
  <c r="D159" i="2"/>
  <c r="E159" i="2"/>
  <c r="N159" i="2"/>
  <c r="C158" i="2"/>
  <c r="D158" i="2"/>
  <c r="E158" i="2"/>
  <c r="N158" i="2"/>
  <c r="C157" i="2"/>
  <c r="D157" i="2"/>
  <c r="E157" i="2"/>
  <c r="N157" i="2"/>
  <c r="C156" i="2"/>
  <c r="D156" i="2"/>
  <c r="E156" i="2"/>
  <c r="N156" i="2"/>
  <c r="C155" i="2"/>
  <c r="D155" i="2"/>
  <c r="E155" i="2"/>
  <c r="N155" i="2"/>
  <c r="C154" i="2"/>
  <c r="D154" i="2"/>
  <c r="E154" i="2"/>
  <c r="N154" i="2"/>
  <c r="C153" i="2"/>
  <c r="D153" i="2"/>
  <c r="E153" i="2"/>
  <c r="N153" i="2"/>
  <c r="C152" i="2"/>
  <c r="D152" i="2"/>
  <c r="E152" i="2"/>
  <c r="N152" i="2"/>
  <c r="C151" i="2"/>
  <c r="D151" i="2"/>
  <c r="E151" i="2"/>
  <c r="N151" i="2"/>
  <c r="C150" i="2"/>
  <c r="D150" i="2"/>
  <c r="E150" i="2"/>
  <c r="N150" i="2"/>
  <c r="C149" i="2"/>
  <c r="D149" i="2"/>
  <c r="E149" i="2"/>
  <c r="N149" i="2"/>
  <c r="C148" i="2"/>
  <c r="D148" i="2"/>
  <c r="E148" i="2"/>
  <c r="N148" i="2"/>
  <c r="C147" i="2"/>
  <c r="D147" i="2"/>
  <c r="E147" i="2"/>
  <c r="N147" i="2"/>
  <c r="C146" i="2"/>
  <c r="D146" i="2"/>
  <c r="E146" i="2"/>
  <c r="N146" i="2"/>
  <c r="C145" i="2"/>
  <c r="D145" i="2"/>
  <c r="E145" i="2"/>
  <c r="N145" i="2"/>
  <c r="C144" i="2"/>
  <c r="D144" i="2"/>
  <c r="E144" i="2"/>
  <c r="N144" i="2"/>
  <c r="C143" i="2"/>
  <c r="D143" i="2"/>
  <c r="E143" i="2"/>
  <c r="N143" i="2"/>
  <c r="C142" i="2"/>
  <c r="D142" i="2"/>
  <c r="E142" i="2"/>
  <c r="N142" i="2"/>
  <c r="C141" i="2"/>
  <c r="D141" i="2"/>
  <c r="E141" i="2"/>
  <c r="N141" i="2"/>
  <c r="C140" i="2"/>
  <c r="D140" i="2"/>
  <c r="E140" i="2"/>
  <c r="N140" i="2"/>
  <c r="C139" i="2"/>
  <c r="D139" i="2"/>
  <c r="E139" i="2"/>
  <c r="N139" i="2"/>
  <c r="C138" i="2"/>
  <c r="D138" i="2"/>
  <c r="E138" i="2"/>
  <c r="N138" i="2"/>
  <c r="C137" i="2"/>
  <c r="D137" i="2"/>
  <c r="E137" i="2"/>
  <c r="N137" i="2"/>
  <c r="C136" i="2"/>
  <c r="D136" i="2"/>
  <c r="E136" i="2"/>
  <c r="N136" i="2"/>
  <c r="C135" i="2"/>
  <c r="D135" i="2"/>
  <c r="E135" i="2"/>
  <c r="N135" i="2"/>
  <c r="C134" i="2"/>
  <c r="D134" i="2"/>
  <c r="E134" i="2"/>
  <c r="N134" i="2"/>
  <c r="C133" i="2"/>
  <c r="D133" i="2"/>
  <c r="E133" i="2"/>
  <c r="N133" i="2"/>
  <c r="C132" i="2"/>
  <c r="D132" i="2"/>
  <c r="E132" i="2"/>
  <c r="N132" i="2"/>
  <c r="C131" i="2"/>
  <c r="D131" i="2"/>
  <c r="E131" i="2"/>
  <c r="N131" i="2"/>
  <c r="C130" i="2"/>
  <c r="D130" i="2"/>
  <c r="E130" i="2"/>
  <c r="N130" i="2"/>
  <c r="C129" i="2"/>
  <c r="D129" i="2"/>
  <c r="E129" i="2"/>
  <c r="N129" i="2"/>
  <c r="C128" i="2"/>
  <c r="D128" i="2"/>
  <c r="E128" i="2"/>
  <c r="N128" i="2"/>
  <c r="C127" i="2"/>
  <c r="D127" i="2"/>
  <c r="E127" i="2"/>
  <c r="N127" i="2"/>
  <c r="C126" i="2"/>
  <c r="D126" i="2"/>
  <c r="E126" i="2"/>
  <c r="N126" i="2"/>
  <c r="C125" i="2"/>
  <c r="D125" i="2"/>
  <c r="E125" i="2"/>
  <c r="N125" i="2"/>
  <c r="C124" i="2"/>
  <c r="D124" i="2"/>
  <c r="E124" i="2"/>
  <c r="N124" i="2"/>
  <c r="C123" i="2"/>
  <c r="D123" i="2"/>
  <c r="E123" i="2"/>
  <c r="N123" i="2"/>
  <c r="C122" i="2"/>
  <c r="D122" i="2"/>
  <c r="E122" i="2"/>
  <c r="N122" i="2"/>
  <c r="C121" i="2"/>
  <c r="D121" i="2"/>
  <c r="E121" i="2"/>
  <c r="N121" i="2"/>
  <c r="C120" i="2"/>
  <c r="D120" i="2"/>
  <c r="E120" i="2"/>
  <c r="N120" i="2"/>
  <c r="C119" i="2"/>
  <c r="D119" i="2"/>
  <c r="E119" i="2"/>
  <c r="N119" i="2"/>
  <c r="C118" i="2"/>
  <c r="D118" i="2"/>
  <c r="E118" i="2"/>
  <c r="N118" i="2"/>
  <c r="C117" i="2"/>
  <c r="D117" i="2"/>
  <c r="E117" i="2"/>
  <c r="N117" i="2"/>
  <c r="C116" i="2"/>
  <c r="D116" i="2"/>
  <c r="E116" i="2"/>
  <c r="N116" i="2"/>
  <c r="C115" i="2"/>
  <c r="D115" i="2"/>
  <c r="E115" i="2"/>
  <c r="N115" i="2"/>
  <c r="C114" i="2"/>
  <c r="D114" i="2"/>
  <c r="E114" i="2"/>
  <c r="N114" i="2"/>
  <c r="C113" i="2"/>
  <c r="D113" i="2"/>
  <c r="E113" i="2"/>
  <c r="N113" i="2"/>
  <c r="C112" i="2"/>
  <c r="D112" i="2"/>
  <c r="E112" i="2"/>
  <c r="N112" i="2"/>
  <c r="C111" i="2"/>
  <c r="D111" i="2"/>
  <c r="E111" i="2"/>
  <c r="N111" i="2"/>
  <c r="C110" i="2"/>
  <c r="D110" i="2"/>
  <c r="E110" i="2"/>
  <c r="N110" i="2"/>
  <c r="C109" i="2"/>
  <c r="D109" i="2"/>
  <c r="E109" i="2"/>
  <c r="N109" i="2"/>
  <c r="C108" i="2"/>
  <c r="D108" i="2"/>
  <c r="E108" i="2"/>
  <c r="N108" i="2"/>
  <c r="C107" i="2"/>
  <c r="D107" i="2"/>
  <c r="E107" i="2"/>
  <c r="N107" i="2"/>
  <c r="C106" i="2"/>
  <c r="D106" i="2"/>
  <c r="E106" i="2"/>
  <c r="N106" i="2"/>
  <c r="C105" i="2"/>
  <c r="D105" i="2"/>
  <c r="E105" i="2"/>
  <c r="N105" i="2"/>
  <c r="C104" i="2"/>
  <c r="D104" i="2"/>
  <c r="E104" i="2"/>
  <c r="N104" i="2"/>
  <c r="C103" i="2"/>
  <c r="D103" i="2"/>
  <c r="E103" i="2"/>
  <c r="N103" i="2"/>
  <c r="C102" i="2"/>
  <c r="D102" i="2"/>
  <c r="E102" i="2"/>
  <c r="N102" i="2"/>
  <c r="C101" i="2"/>
  <c r="D101" i="2"/>
  <c r="E101" i="2"/>
  <c r="N101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E354" i="2"/>
  <c r="M354" i="2"/>
  <c r="E353" i="2"/>
  <c r="M353" i="2"/>
  <c r="E352" i="2"/>
  <c r="M352" i="2"/>
  <c r="E351" i="2"/>
  <c r="M351" i="2"/>
  <c r="E350" i="2"/>
  <c r="M350" i="2"/>
  <c r="E349" i="2"/>
  <c r="M349" i="2"/>
  <c r="E348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F101" i="2"/>
  <c r="C23" i="12"/>
  <c r="D12" i="12"/>
  <c r="C12" i="12"/>
  <c r="D11" i="12"/>
  <c r="C11" i="12"/>
  <c r="D37" i="2"/>
  <c r="P101" i="10"/>
  <c r="P100" i="10"/>
  <c r="D36" i="2"/>
  <c r="K27" i="11"/>
  <c r="C37" i="2"/>
  <c r="C36" i="2"/>
  <c r="E150" i="5"/>
  <c r="F150" i="5"/>
  <c r="J150" i="5"/>
  <c r="E149" i="5"/>
  <c r="F149" i="5"/>
  <c r="J149" i="5"/>
  <c r="E148" i="5"/>
  <c r="F148" i="5"/>
  <c r="J148" i="5"/>
  <c r="E147" i="5"/>
  <c r="F147" i="5"/>
  <c r="J147" i="5"/>
  <c r="E146" i="5"/>
  <c r="F146" i="5"/>
  <c r="J146" i="5"/>
  <c r="E145" i="5"/>
  <c r="F145" i="5"/>
  <c r="J145" i="5"/>
  <c r="E144" i="5"/>
  <c r="F144" i="5"/>
  <c r="J144" i="5"/>
  <c r="E143" i="5"/>
  <c r="F143" i="5"/>
  <c r="J143" i="5"/>
  <c r="E142" i="5"/>
  <c r="F142" i="5"/>
  <c r="J142" i="5"/>
  <c r="E141" i="5"/>
  <c r="F141" i="5"/>
  <c r="J141" i="5"/>
  <c r="E140" i="5"/>
  <c r="F140" i="5"/>
  <c r="J140" i="5"/>
  <c r="E139" i="5"/>
  <c r="F139" i="5"/>
  <c r="J139" i="5"/>
  <c r="E138" i="5"/>
  <c r="F138" i="5"/>
  <c r="J138" i="5"/>
  <c r="E137" i="5"/>
  <c r="F137" i="5"/>
  <c r="J137" i="5"/>
  <c r="E136" i="5"/>
  <c r="F136" i="5"/>
  <c r="J136" i="5"/>
  <c r="E135" i="5"/>
  <c r="F135" i="5"/>
  <c r="J135" i="5"/>
  <c r="E134" i="5"/>
  <c r="F134" i="5"/>
  <c r="J134" i="5"/>
  <c r="E133" i="5"/>
  <c r="F133" i="5"/>
  <c r="J133" i="5"/>
  <c r="E132" i="5"/>
  <c r="F132" i="5"/>
  <c r="J132" i="5"/>
  <c r="E131" i="5"/>
  <c r="F131" i="5"/>
  <c r="J131" i="5"/>
  <c r="E130" i="5"/>
  <c r="F130" i="5"/>
  <c r="J130" i="5"/>
  <c r="E129" i="5"/>
  <c r="F129" i="5"/>
  <c r="J129" i="5"/>
  <c r="E128" i="5"/>
  <c r="F128" i="5"/>
  <c r="J128" i="5"/>
  <c r="E127" i="5"/>
  <c r="F127" i="5"/>
  <c r="J127" i="5"/>
  <c r="E126" i="5"/>
  <c r="F126" i="5"/>
  <c r="J126" i="5"/>
  <c r="E125" i="5"/>
  <c r="F125" i="5"/>
  <c r="J125" i="5"/>
  <c r="E124" i="5"/>
  <c r="F124" i="5"/>
  <c r="J124" i="5"/>
  <c r="E123" i="5"/>
  <c r="F123" i="5"/>
  <c r="J123" i="5"/>
  <c r="E122" i="5"/>
  <c r="F122" i="5"/>
  <c r="J122" i="5"/>
  <c r="E121" i="5"/>
  <c r="F121" i="5"/>
  <c r="J121" i="5"/>
  <c r="E120" i="5"/>
  <c r="F120" i="5"/>
  <c r="J120" i="5"/>
  <c r="E119" i="5"/>
  <c r="F119" i="5"/>
  <c r="J119" i="5"/>
  <c r="E118" i="5"/>
  <c r="F118" i="5"/>
  <c r="J118" i="5"/>
  <c r="E117" i="5"/>
  <c r="F117" i="5"/>
  <c r="J117" i="5"/>
  <c r="E116" i="5"/>
  <c r="F116" i="5"/>
  <c r="J116" i="5"/>
  <c r="E115" i="5"/>
  <c r="F115" i="5"/>
  <c r="J115" i="5"/>
  <c r="E114" i="5"/>
  <c r="F114" i="5"/>
  <c r="J114" i="5"/>
  <c r="E113" i="5"/>
  <c r="F113" i="5"/>
  <c r="J113" i="5"/>
  <c r="E112" i="5"/>
  <c r="F112" i="5"/>
  <c r="J112" i="5"/>
  <c r="E111" i="5"/>
  <c r="F111" i="5"/>
  <c r="J111" i="5"/>
  <c r="E110" i="5"/>
  <c r="F110" i="5"/>
  <c r="J110" i="5"/>
  <c r="E109" i="5"/>
  <c r="F109" i="5"/>
  <c r="J109" i="5"/>
  <c r="E108" i="5"/>
  <c r="F108" i="5"/>
  <c r="J108" i="5"/>
  <c r="E107" i="5"/>
  <c r="F107" i="5"/>
  <c r="J107" i="5"/>
  <c r="E106" i="5"/>
  <c r="F106" i="5"/>
  <c r="J106" i="5"/>
  <c r="E105" i="5"/>
  <c r="F105" i="5"/>
  <c r="J105" i="5"/>
  <c r="E104" i="5"/>
  <c r="F104" i="5"/>
  <c r="J104" i="5"/>
  <c r="E103" i="5"/>
  <c r="F103" i="5"/>
  <c r="J103" i="5"/>
  <c r="E102" i="5"/>
  <c r="F102" i="5"/>
  <c r="J102" i="5"/>
  <c r="E101" i="5"/>
  <c r="F101" i="5"/>
  <c r="J101" i="5"/>
  <c r="E100" i="5"/>
  <c r="F100" i="5"/>
  <c r="J100" i="5"/>
  <c r="H18" i="11"/>
  <c r="H15" i="11"/>
  <c r="H19" i="11"/>
  <c r="H20" i="11"/>
  <c r="H23" i="11"/>
  <c r="I36" i="11"/>
  <c r="H36" i="11"/>
  <c r="H24" i="11"/>
  <c r="I35" i="11"/>
  <c r="H35" i="11"/>
  <c r="I28" i="11"/>
  <c r="H28" i="11"/>
  <c r="C24" i="12"/>
  <c r="D24" i="12"/>
  <c r="D23" i="12"/>
  <c r="C16" i="10"/>
  <c r="B200" i="10"/>
  <c r="H200" i="10"/>
  <c r="C200" i="10"/>
  <c r="N200" i="10"/>
  <c r="C15" i="10"/>
  <c r="G200" i="10"/>
  <c r="M200" i="10"/>
  <c r="C14" i="10"/>
  <c r="F200" i="10"/>
  <c r="L200" i="10"/>
  <c r="C13" i="10"/>
  <c r="E200" i="10"/>
  <c r="K200" i="10"/>
  <c r="C12" i="10"/>
  <c r="D200" i="10"/>
  <c r="J200" i="10"/>
  <c r="B199" i="10"/>
  <c r="H199" i="10"/>
  <c r="C199" i="10"/>
  <c r="N199" i="10"/>
  <c r="G199" i="10"/>
  <c r="M199" i="10"/>
  <c r="F199" i="10"/>
  <c r="L199" i="10"/>
  <c r="E199" i="10"/>
  <c r="K199" i="10"/>
  <c r="D199" i="10"/>
  <c r="J199" i="10"/>
  <c r="B198" i="10"/>
  <c r="H198" i="10"/>
  <c r="C198" i="10"/>
  <c r="N198" i="10"/>
  <c r="G198" i="10"/>
  <c r="M198" i="10"/>
  <c r="F198" i="10"/>
  <c r="L198" i="10"/>
  <c r="E198" i="10"/>
  <c r="K198" i="10"/>
  <c r="D198" i="10"/>
  <c r="J198" i="10"/>
  <c r="B197" i="10"/>
  <c r="H197" i="10"/>
  <c r="C197" i="10"/>
  <c r="N197" i="10"/>
  <c r="G197" i="10"/>
  <c r="M197" i="10"/>
  <c r="F197" i="10"/>
  <c r="L197" i="10"/>
  <c r="E197" i="10"/>
  <c r="K197" i="10"/>
  <c r="D197" i="10"/>
  <c r="J197" i="10"/>
  <c r="B196" i="10"/>
  <c r="H196" i="10"/>
  <c r="C196" i="10"/>
  <c r="N196" i="10"/>
  <c r="G196" i="10"/>
  <c r="M196" i="10"/>
  <c r="F196" i="10"/>
  <c r="L196" i="10"/>
  <c r="E196" i="10"/>
  <c r="K196" i="10"/>
  <c r="D196" i="10"/>
  <c r="J196" i="10"/>
  <c r="B195" i="10"/>
  <c r="H195" i="10"/>
  <c r="C195" i="10"/>
  <c r="N195" i="10"/>
  <c r="G195" i="10"/>
  <c r="M195" i="10"/>
  <c r="F195" i="10"/>
  <c r="L195" i="10"/>
  <c r="E195" i="10"/>
  <c r="K195" i="10"/>
  <c r="D195" i="10"/>
  <c r="J195" i="10"/>
  <c r="B194" i="10"/>
  <c r="H194" i="10"/>
  <c r="C194" i="10"/>
  <c r="N194" i="10"/>
  <c r="G194" i="10"/>
  <c r="M194" i="10"/>
  <c r="F194" i="10"/>
  <c r="L194" i="10"/>
  <c r="E194" i="10"/>
  <c r="K194" i="10"/>
  <c r="D194" i="10"/>
  <c r="J194" i="10"/>
  <c r="B193" i="10"/>
  <c r="H193" i="10"/>
  <c r="C193" i="10"/>
  <c r="N193" i="10"/>
  <c r="G193" i="10"/>
  <c r="M193" i="10"/>
  <c r="F193" i="10"/>
  <c r="L193" i="10"/>
  <c r="E193" i="10"/>
  <c r="K193" i="10"/>
  <c r="D193" i="10"/>
  <c r="J193" i="10"/>
  <c r="B192" i="10"/>
  <c r="H192" i="10"/>
  <c r="C192" i="10"/>
  <c r="N192" i="10"/>
  <c r="G192" i="10"/>
  <c r="M192" i="10"/>
  <c r="F192" i="10"/>
  <c r="L192" i="10"/>
  <c r="E192" i="10"/>
  <c r="K192" i="10"/>
  <c r="D192" i="10"/>
  <c r="J192" i="10"/>
  <c r="B191" i="10"/>
  <c r="H191" i="10"/>
  <c r="C191" i="10"/>
  <c r="N191" i="10"/>
  <c r="G191" i="10"/>
  <c r="M191" i="10"/>
  <c r="F191" i="10"/>
  <c r="L191" i="10"/>
  <c r="E191" i="10"/>
  <c r="K191" i="10"/>
  <c r="D191" i="10"/>
  <c r="J191" i="10"/>
  <c r="B190" i="10"/>
  <c r="H190" i="10"/>
  <c r="C190" i="10"/>
  <c r="N190" i="10"/>
  <c r="G190" i="10"/>
  <c r="M190" i="10"/>
  <c r="F190" i="10"/>
  <c r="L190" i="10"/>
  <c r="E190" i="10"/>
  <c r="K190" i="10"/>
  <c r="D190" i="10"/>
  <c r="J190" i="10"/>
  <c r="B189" i="10"/>
  <c r="H189" i="10"/>
  <c r="C189" i="10"/>
  <c r="N189" i="10"/>
  <c r="G189" i="10"/>
  <c r="M189" i="10"/>
  <c r="F189" i="10"/>
  <c r="L189" i="10"/>
  <c r="E189" i="10"/>
  <c r="K189" i="10"/>
  <c r="D189" i="10"/>
  <c r="J189" i="10"/>
  <c r="B188" i="10"/>
  <c r="H188" i="10"/>
  <c r="C188" i="10"/>
  <c r="N188" i="10"/>
  <c r="G188" i="10"/>
  <c r="M188" i="10"/>
  <c r="F188" i="10"/>
  <c r="L188" i="10"/>
  <c r="E188" i="10"/>
  <c r="K188" i="10"/>
  <c r="D188" i="10"/>
  <c r="J188" i="10"/>
  <c r="B187" i="10"/>
  <c r="H187" i="10"/>
  <c r="C187" i="10"/>
  <c r="N187" i="10"/>
  <c r="G187" i="10"/>
  <c r="M187" i="10"/>
  <c r="F187" i="10"/>
  <c r="L187" i="10"/>
  <c r="E187" i="10"/>
  <c r="K187" i="10"/>
  <c r="D187" i="10"/>
  <c r="J187" i="10"/>
  <c r="B186" i="10"/>
  <c r="H186" i="10"/>
  <c r="C186" i="10"/>
  <c r="N186" i="10"/>
  <c r="G186" i="10"/>
  <c r="M186" i="10"/>
  <c r="F186" i="10"/>
  <c r="L186" i="10"/>
  <c r="E186" i="10"/>
  <c r="K186" i="10"/>
  <c r="D186" i="10"/>
  <c r="J186" i="10"/>
  <c r="B185" i="10"/>
  <c r="H185" i="10"/>
  <c r="C185" i="10"/>
  <c r="N185" i="10"/>
  <c r="G185" i="10"/>
  <c r="M185" i="10"/>
  <c r="F185" i="10"/>
  <c r="L185" i="10"/>
  <c r="E185" i="10"/>
  <c r="K185" i="10"/>
  <c r="D185" i="10"/>
  <c r="J185" i="10"/>
  <c r="B184" i="10"/>
  <c r="H184" i="10"/>
  <c r="C184" i="10"/>
  <c r="N184" i="10"/>
  <c r="G184" i="10"/>
  <c r="M184" i="10"/>
  <c r="F184" i="10"/>
  <c r="L184" i="10"/>
  <c r="E184" i="10"/>
  <c r="K184" i="10"/>
  <c r="D184" i="10"/>
  <c r="J184" i="10"/>
  <c r="B183" i="10"/>
  <c r="H183" i="10"/>
  <c r="C183" i="10"/>
  <c r="N183" i="10"/>
  <c r="G183" i="10"/>
  <c r="M183" i="10"/>
  <c r="F183" i="10"/>
  <c r="L183" i="10"/>
  <c r="E183" i="10"/>
  <c r="K183" i="10"/>
  <c r="D183" i="10"/>
  <c r="J183" i="10"/>
  <c r="B182" i="10"/>
  <c r="H182" i="10"/>
  <c r="C182" i="10"/>
  <c r="N182" i="10"/>
  <c r="G182" i="10"/>
  <c r="M182" i="10"/>
  <c r="F182" i="10"/>
  <c r="L182" i="10"/>
  <c r="E182" i="10"/>
  <c r="K182" i="10"/>
  <c r="D182" i="10"/>
  <c r="J182" i="10"/>
  <c r="B181" i="10"/>
  <c r="H181" i="10"/>
  <c r="C181" i="10"/>
  <c r="N181" i="10"/>
  <c r="G181" i="10"/>
  <c r="M181" i="10"/>
  <c r="F181" i="10"/>
  <c r="L181" i="10"/>
  <c r="E181" i="10"/>
  <c r="K181" i="10"/>
  <c r="D181" i="10"/>
  <c r="J181" i="10"/>
  <c r="B180" i="10"/>
  <c r="H180" i="10"/>
  <c r="C180" i="10"/>
  <c r="N180" i="10"/>
  <c r="G180" i="10"/>
  <c r="M180" i="10"/>
  <c r="F180" i="10"/>
  <c r="L180" i="10"/>
  <c r="E180" i="10"/>
  <c r="K180" i="10"/>
  <c r="D180" i="10"/>
  <c r="J180" i="10"/>
  <c r="B179" i="10"/>
  <c r="H179" i="10"/>
  <c r="C179" i="10"/>
  <c r="N179" i="10"/>
  <c r="G179" i="10"/>
  <c r="M179" i="10"/>
  <c r="F179" i="10"/>
  <c r="L179" i="10"/>
  <c r="E179" i="10"/>
  <c r="K179" i="10"/>
  <c r="D179" i="10"/>
  <c r="J179" i="10"/>
  <c r="B178" i="10"/>
  <c r="H178" i="10"/>
  <c r="C178" i="10"/>
  <c r="N178" i="10"/>
  <c r="G178" i="10"/>
  <c r="M178" i="10"/>
  <c r="F178" i="10"/>
  <c r="L178" i="10"/>
  <c r="E178" i="10"/>
  <c r="K178" i="10"/>
  <c r="D178" i="10"/>
  <c r="J178" i="10"/>
  <c r="B177" i="10"/>
  <c r="H177" i="10"/>
  <c r="C177" i="10"/>
  <c r="N177" i="10"/>
  <c r="G177" i="10"/>
  <c r="M177" i="10"/>
  <c r="F177" i="10"/>
  <c r="L177" i="10"/>
  <c r="E177" i="10"/>
  <c r="K177" i="10"/>
  <c r="D177" i="10"/>
  <c r="J177" i="10"/>
  <c r="B176" i="10"/>
  <c r="H176" i="10"/>
  <c r="C176" i="10"/>
  <c r="N176" i="10"/>
  <c r="G176" i="10"/>
  <c r="M176" i="10"/>
  <c r="F176" i="10"/>
  <c r="L176" i="10"/>
  <c r="E176" i="10"/>
  <c r="K176" i="10"/>
  <c r="D176" i="10"/>
  <c r="J176" i="10"/>
  <c r="B175" i="10"/>
  <c r="H175" i="10"/>
  <c r="C175" i="10"/>
  <c r="N175" i="10"/>
  <c r="G175" i="10"/>
  <c r="M175" i="10"/>
  <c r="F175" i="10"/>
  <c r="L175" i="10"/>
  <c r="E175" i="10"/>
  <c r="K175" i="10"/>
  <c r="D175" i="10"/>
  <c r="J175" i="10"/>
  <c r="B174" i="10"/>
  <c r="H174" i="10"/>
  <c r="C174" i="10"/>
  <c r="N174" i="10"/>
  <c r="G174" i="10"/>
  <c r="M174" i="10"/>
  <c r="F174" i="10"/>
  <c r="L174" i="10"/>
  <c r="E174" i="10"/>
  <c r="K174" i="10"/>
  <c r="D174" i="10"/>
  <c r="J174" i="10"/>
  <c r="B173" i="10"/>
  <c r="H173" i="10"/>
  <c r="C173" i="10"/>
  <c r="N173" i="10"/>
  <c r="G173" i="10"/>
  <c r="M173" i="10"/>
  <c r="F173" i="10"/>
  <c r="L173" i="10"/>
  <c r="E173" i="10"/>
  <c r="K173" i="10"/>
  <c r="D173" i="10"/>
  <c r="J173" i="10"/>
  <c r="B172" i="10"/>
  <c r="H172" i="10"/>
  <c r="C172" i="10"/>
  <c r="N172" i="10"/>
  <c r="G172" i="10"/>
  <c r="M172" i="10"/>
  <c r="F172" i="10"/>
  <c r="L172" i="10"/>
  <c r="E172" i="10"/>
  <c r="K172" i="10"/>
  <c r="D172" i="10"/>
  <c r="J172" i="10"/>
  <c r="B171" i="10"/>
  <c r="H171" i="10"/>
  <c r="C171" i="10"/>
  <c r="N171" i="10"/>
  <c r="G171" i="10"/>
  <c r="M171" i="10"/>
  <c r="F171" i="10"/>
  <c r="L171" i="10"/>
  <c r="E171" i="10"/>
  <c r="K171" i="10"/>
  <c r="D171" i="10"/>
  <c r="J171" i="10"/>
  <c r="B170" i="10"/>
  <c r="H170" i="10"/>
  <c r="C170" i="10"/>
  <c r="N170" i="10"/>
  <c r="G170" i="10"/>
  <c r="M170" i="10"/>
  <c r="F170" i="10"/>
  <c r="L170" i="10"/>
  <c r="E170" i="10"/>
  <c r="K170" i="10"/>
  <c r="D170" i="10"/>
  <c r="J170" i="10"/>
  <c r="B169" i="10"/>
  <c r="H169" i="10"/>
  <c r="C169" i="10"/>
  <c r="N169" i="10"/>
  <c r="G169" i="10"/>
  <c r="M169" i="10"/>
  <c r="F169" i="10"/>
  <c r="L169" i="10"/>
  <c r="E169" i="10"/>
  <c r="K169" i="10"/>
  <c r="D169" i="10"/>
  <c r="J169" i="10"/>
  <c r="B168" i="10"/>
  <c r="H168" i="10"/>
  <c r="C168" i="10"/>
  <c r="N168" i="10"/>
  <c r="G168" i="10"/>
  <c r="M168" i="10"/>
  <c r="F168" i="10"/>
  <c r="L168" i="10"/>
  <c r="E168" i="10"/>
  <c r="K168" i="10"/>
  <c r="D168" i="10"/>
  <c r="J168" i="10"/>
  <c r="B167" i="10"/>
  <c r="H167" i="10"/>
  <c r="C167" i="10"/>
  <c r="N167" i="10"/>
  <c r="G167" i="10"/>
  <c r="M167" i="10"/>
  <c r="F167" i="10"/>
  <c r="L167" i="10"/>
  <c r="E167" i="10"/>
  <c r="K167" i="10"/>
  <c r="D167" i="10"/>
  <c r="J167" i="10"/>
  <c r="B166" i="10"/>
  <c r="H166" i="10"/>
  <c r="C166" i="10"/>
  <c r="N166" i="10"/>
  <c r="G166" i="10"/>
  <c r="M166" i="10"/>
  <c r="F166" i="10"/>
  <c r="L166" i="10"/>
  <c r="E166" i="10"/>
  <c r="K166" i="10"/>
  <c r="D166" i="10"/>
  <c r="J166" i="10"/>
  <c r="B165" i="10"/>
  <c r="H165" i="10"/>
  <c r="C165" i="10"/>
  <c r="N165" i="10"/>
  <c r="G165" i="10"/>
  <c r="M165" i="10"/>
  <c r="F165" i="10"/>
  <c r="L165" i="10"/>
  <c r="E165" i="10"/>
  <c r="K165" i="10"/>
  <c r="D165" i="10"/>
  <c r="J165" i="10"/>
  <c r="B164" i="10"/>
  <c r="H164" i="10"/>
  <c r="C164" i="10"/>
  <c r="N164" i="10"/>
  <c r="G164" i="10"/>
  <c r="M164" i="10"/>
  <c r="F164" i="10"/>
  <c r="L164" i="10"/>
  <c r="E164" i="10"/>
  <c r="K164" i="10"/>
  <c r="D164" i="10"/>
  <c r="J164" i="10"/>
  <c r="B163" i="10"/>
  <c r="H163" i="10"/>
  <c r="C163" i="10"/>
  <c r="N163" i="10"/>
  <c r="G163" i="10"/>
  <c r="M163" i="10"/>
  <c r="F163" i="10"/>
  <c r="L163" i="10"/>
  <c r="E163" i="10"/>
  <c r="K163" i="10"/>
  <c r="D163" i="10"/>
  <c r="J163" i="10"/>
  <c r="B162" i="10"/>
  <c r="H162" i="10"/>
  <c r="C162" i="10"/>
  <c r="N162" i="10"/>
  <c r="G162" i="10"/>
  <c r="M162" i="10"/>
  <c r="F162" i="10"/>
  <c r="L162" i="10"/>
  <c r="E162" i="10"/>
  <c r="K162" i="10"/>
  <c r="D162" i="10"/>
  <c r="J162" i="10"/>
  <c r="B161" i="10"/>
  <c r="H161" i="10"/>
  <c r="C161" i="10"/>
  <c r="N161" i="10"/>
  <c r="G161" i="10"/>
  <c r="M161" i="10"/>
  <c r="F161" i="10"/>
  <c r="L161" i="10"/>
  <c r="E161" i="10"/>
  <c r="K161" i="10"/>
  <c r="D161" i="10"/>
  <c r="J161" i="10"/>
  <c r="B160" i="10"/>
  <c r="H160" i="10"/>
  <c r="C160" i="10"/>
  <c r="N160" i="10"/>
  <c r="G160" i="10"/>
  <c r="M160" i="10"/>
  <c r="F160" i="10"/>
  <c r="L160" i="10"/>
  <c r="E160" i="10"/>
  <c r="K160" i="10"/>
  <c r="D160" i="10"/>
  <c r="J160" i="10"/>
  <c r="B159" i="10"/>
  <c r="H159" i="10"/>
  <c r="C159" i="10"/>
  <c r="N159" i="10"/>
  <c r="G159" i="10"/>
  <c r="M159" i="10"/>
  <c r="F159" i="10"/>
  <c r="L159" i="10"/>
  <c r="E159" i="10"/>
  <c r="K159" i="10"/>
  <c r="D159" i="10"/>
  <c r="J159" i="10"/>
  <c r="B158" i="10"/>
  <c r="H158" i="10"/>
  <c r="C158" i="10"/>
  <c r="N158" i="10"/>
  <c r="G158" i="10"/>
  <c r="M158" i="10"/>
  <c r="F158" i="10"/>
  <c r="L158" i="10"/>
  <c r="E158" i="10"/>
  <c r="K158" i="10"/>
  <c r="D158" i="10"/>
  <c r="J158" i="10"/>
  <c r="B157" i="10"/>
  <c r="H157" i="10"/>
  <c r="C157" i="10"/>
  <c r="N157" i="10"/>
  <c r="G157" i="10"/>
  <c r="M157" i="10"/>
  <c r="F157" i="10"/>
  <c r="L157" i="10"/>
  <c r="E157" i="10"/>
  <c r="K157" i="10"/>
  <c r="D157" i="10"/>
  <c r="J157" i="10"/>
  <c r="B156" i="10"/>
  <c r="H156" i="10"/>
  <c r="C156" i="10"/>
  <c r="N156" i="10"/>
  <c r="G156" i="10"/>
  <c r="M156" i="10"/>
  <c r="F156" i="10"/>
  <c r="L156" i="10"/>
  <c r="E156" i="10"/>
  <c r="K156" i="10"/>
  <c r="D156" i="10"/>
  <c r="J156" i="10"/>
  <c r="B155" i="10"/>
  <c r="H155" i="10"/>
  <c r="C155" i="10"/>
  <c r="N155" i="10"/>
  <c r="G155" i="10"/>
  <c r="M155" i="10"/>
  <c r="F155" i="10"/>
  <c r="L155" i="10"/>
  <c r="E155" i="10"/>
  <c r="K155" i="10"/>
  <c r="D155" i="10"/>
  <c r="J155" i="10"/>
  <c r="B154" i="10"/>
  <c r="H154" i="10"/>
  <c r="C154" i="10"/>
  <c r="N154" i="10"/>
  <c r="G154" i="10"/>
  <c r="M154" i="10"/>
  <c r="F154" i="10"/>
  <c r="L154" i="10"/>
  <c r="E154" i="10"/>
  <c r="K154" i="10"/>
  <c r="D154" i="10"/>
  <c r="J154" i="10"/>
  <c r="B153" i="10"/>
  <c r="H153" i="10"/>
  <c r="C153" i="10"/>
  <c r="N153" i="10"/>
  <c r="G153" i="10"/>
  <c r="M153" i="10"/>
  <c r="F153" i="10"/>
  <c r="L153" i="10"/>
  <c r="E153" i="10"/>
  <c r="K153" i="10"/>
  <c r="D153" i="10"/>
  <c r="J153" i="10"/>
  <c r="B152" i="10"/>
  <c r="H152" i="10"/>
  <c r="C152" i="10"/>
  <c r="N152" i="10"/>
  <c r="G152" i="10"/>
  <c r="M152" i="10"/>
  <c r="F152" i="10"/>
  <c r="L152" i="10"/>
  <c r="E152" i="10"/>
  <c r="K152" i="10"/>
  <c r="D152" i="10"/>
  <c r="J152" i="10"/>
  <c r="B151" i="10"/>
  <c r="H151" i="10"/>
  <c r="C151" i="10"/>
  <c r="N151" i="10"/>
  <c r="G151" i="10"/>
  <c r="M151" i="10"/>
  <c r="F151" i="10"/>
  <c r="L151" i="10"/>
  <c r="E151" i="10"/>
  <c r="K151" i="10"/>
  <c r="D151" i="10"/>
  <c r="J151" i="10"/>
  <c r="B150" i="10"/>
  <c r="H150" i="10"/>
  <c r="C150" i="10"/>
  <c r="N150" i="10"/>
  <c r="G150" i="10"/>
  <c r="M150" i="10"/>
  <c r="F150" i="10"/>
  <c r="L150" i="10"/>
  <c r="E150" i="10"/>
  <c r="K150" i="10"/>
  <c r="D150" i="10"/>
  <c r="J150" i="10"/>
  <c r="B149" i="10"/>
  <c r="H149" i="10"/>
  <c r="C149" i="10"/>
  <c r="N149" i="10"/>
  <c r="G149" i="10"/>
  <c r="M149" i="10"/>
  <c r="F149" i="10"/>
  <c r="L149" i="10"/>
  <c r="E149" i="10"/>
  <c r="K149" i="10"/>
  <c r="D149" i="10"/>
  <c r="J149" i="10"/>
  <c r="B148" i="10"/>
  <c r="H148" i="10"/>
  <c r="C148" i="10"/>
  <c r="N148" i="10"/>
  <c r="G148" i="10"/>
  <c r="M148" i="10"/>
  <c r="F148" i="10"/>
  <c r="L148" i="10"/>
  <c r="E148" i="10"/>
  <c r="K148" i="10"/>
  <c r="D148" i="10"/>
  <c r="J148" i="10"/>
  <c r="B147" i="10"/>
  <c r="H147" i="10"/>
  <c r="C147" i="10"/>
  <c r="N147" i="10"/>
  <c r="G147" i="10"/>
  <c r="M147" i="10"/>
  <c r="F147" i="10"/>
  <c r="L147" i="10"/>
  <c r="E147" i="10"/>
  <c r="K147" i="10"/>
  <c r="D147" i="10"/>
  <c r="J147" i="10"/>
  <c r="B146" i="10"/>
  <c r="H146" i="10"/>
  <c r="C146" i="10"/>
  <c r="N146" i="10"/>
  <c r="G146" i="10"/>
  <c r="M146" i="10"/>
  <c r="F146" i="10"/>
  <c r="L146" i="10"/>
  <c r="E146" i="10"/>
  <c r="K146" i="10"/>
  <c r="D146" i="10"/>
  <c r="J146" i="10"/>
  <c r="B145" i="10"/>
  <c r="H145" i="10"/>
  <c r="C145" i="10"/>
  <c r="N145" i="10"/>
  <c r="G145" i="10"/>
  <c r="M145" i="10"/>
  <c r="F145" i="10"/>
  <c r="L145" i="10"/>
  <c r="E145" i="10"/>
  <c r="K145" i="10"/>
  <c r="D145" i="10"/>
  <c r="J145" i="10"/>
  <c r="B144" i="10"/>
  <c r="H144" i="10"/>
  <c r="C144" i="10"/>
  <c r="N144" i="10"/>
  <c r="G144" i="10"/>
  <c r="M144" i="10"/>
  <c r="F144" i="10"/>
  <c r="L144" i="10"/>
  <c r="E144" i="10"/>
  <c r="K144" i="10"/>
  <c r="D144" i="10"/>
  <c r="J144" i="10"/>
  <c r="B143" i="10"/>
  <c r="H143" i="10"/>
  <c r="C143" i="10"/>
  <c r="N143" i="10"/>
  <c r="G143" i="10"/>
  <c r="M143" i="10"/>
  <c r="F143" i="10"/>
  <c r="L143" i="10"/>
  <c r="E143" i="10"/>
  <c r="K143" i="10"/>
  <c r="D143" i="10"/>
  <c r="J143" i="10"/>
  <c r="B142" i="10"/>
  <c r="H142" i="10"/>
  <c r="C142" i="10"/>
  <c r="N142" i="10"/>
  <c r="G142" i="10"/>
  <c r="M142" i="10"/>
  <c r="F142" i="10"/>
  <c r="L142" i="10"/>
  <c r="E142" i="10"/>
  <c r="K142" i="10"/>
  <c r="D142" i="10"/>
  <c r="J142" i="10"/>
  <c r="B141" i="10"/>
  <c r="H141" i="10"/>
  <c r="C141" i="10"/>
  <c r="N141" i="10"/>
  <c r="G141" i="10"/>
  <c r="M141" i="10"/>
  <c r="F141" i="10"/>
  <c r="L141" i="10"/>
  <c r="E141" i="10"/>
  <c r="K141" i="10"/>
  <c r="D141" i="10"/>
  <c r="J141" i="10"/>
  <c r="B140" i="10"/>
  <c r="H140" i="10"/>
  <c r="C140" i="10"/>
  <c r="N140" i="10"/>
  <c r="G140" i="10"/>
  <c r="M140" i="10"/>
  <c r="F140" i="10"/>
  <c r="L140" i="10"/>
  <c r="E140" i="10"/>
  <c r="K140" i="10"/>
  <c r="D140" i="10"/>
  <c r="J140" i="10"/>
  <c r="B139" i="10"/>
  <c r="H139" i="10"/>
  <c r="C139" i="10"/>
  <c r="N139" i="10"/>
  <c r="G139" i="10"/>
  <c r="M139" i="10"/>
  <c r="F139" i="10"/>
  <c r="L139" i="10"/>
  <c r="E139" i="10"/>
  <c r="K139" i="10"/>
  <c r="D139" i="10"/>
  <c r="J139" i="10"/>
  <c r="B138" i="10"/>
  <c r="H138" i="10"/>
  <c r="C138" i="10"/>
  <c r="N138" i="10"/>
  <c r="G138" i="10"/>
  <c r="M138" i="10"/>
  <c r="F138" i="10"/>
  <c r="L138" i="10"/>
  <c r="E138" i="10"/>
  <c r="K138" i="10"/>
  <c r="D138" i="10"/>
  <c r="J138" i="10"/>
  <c r="B137" i="10"/>
  <c r="H137" i="10"/>
  <c r="C137" i="10"/>
  <c r="N137" i="10"/>
  <c r="G137" i="10"/>
  <c r="M137" i="10"/>
  <c r="F137" i="10"/>
  <c r="L137" i="10"/>
  <c r="E137" i="10"/>
  <c r="K137" i="10"/>
  <c r="D137" i="10"/>
  <c r="J137" i="10"/>
  <c r="B136" i="10"/>
  <c r="H136" i="10"/>
  <c r="C136" i="10"/>
  <c r="N136" i="10"/>
  <c r="G136" i="10"/>
  <c r="M136" i="10"/>
  <c r="F136" i="10"/>
  <c r="L136" i="10"/>
  <c r="E136" i="10"/>
  <c r="K136" i="10"/>
  <c r="D136" i="10"/>
  <c r="J136" i="10"/>
  <c r="B135" i="10"/>
  <c r="H135" i="10"/>
  <c r="C135" i="10"/>
  <c r="N135" i="10"/>
  <c r="G135" i="10"/>
  <c r="M135" i="10"/>
  <c r="F135" i="10"/>
  <c r="L135" i="10"/>
  <c r="E135" i="10"/>
  <c r="K135" i="10"/>
  <c r="D135" i="10"/>
  <c r="J135" i="10"/>
  <c r="B134" i="10"/>
  <c r="H134" i="10"/>
  <c r="C134" i="10"/>
  <c r="N134" i="10"/>
  <c r="G134" i="10"/>
  <c r="M134" i="10"/>
  <c r="F134" i="10"/>
  <c r="L134" i="10"/>
  <c r="E134" i="10"/>
  <c r="K134" i="10"/>
  <c r="D134" i="10"/>
  <c r="J134" i="10"/>
  <c r="B133" i="10"/>
  <c r="H133" i="10"/>
  <c r="C133" i="10"/>
  <c r="N133" i="10"/>
  <c r="G133" i="10"/>
  <c r="M133" i="10"/>
  <c r="F133" i="10"/>
  <c r="L133" i="10"/>
  <c r="E133" i="10"/>
  <c r="K133" i="10"/>
  <c r="D133" i="10"/>
  <c r="J133" i="10"/>
  <c r="B132" i="10"/>
  <c r="H132" i="10"/>
  <c r="C132" i="10"/>
  <c r="N132" i="10"/>
  <c r="G132" i="10"/>
  <c r="M132" i="10"/>
  <c r="F132" i="10"/>
  <c r="L132" i="10"/>
  <c r="E132" i="10"/>
  <c r="K132" i="10"/>
  <c r="D132" i="10"/>
  <c r="J132" i="10"/>
  <c r="B131" i="10"/>
  <c r="H131" i="10"/>
  <c r="C131" i="10"/>
  <c r="N131" i="10"/>
  <c r="G131" i="10"/>
  <c r="M131" i="10"/>
  <c r="F131" i="10"/>
  <c r="L131" i="10"/>
  <c r="E131" i="10"/>
  <c r="K131" i="10"/>
  <c r="D131" i="10"/>
  <c r="J131" i="10"/>
  <c r="B130" i="10"/>
  <c r="H130" i="10"/>
  <c r="C130" i="10"/>
  <c r="N130" i="10"/>
  <c r="G130" i="10"/>
  <c r="M130" i="10"/>
  <c r="F130" i="10"/>
  <c r="L130" i="10"/>
  <c r="E130" i="10"/>
  <c r="K130" i="10"/>
  <c r="D130" i="10"/>
  <c r="J130" i="10"/>
  <c r="B129" i="10"/>
  <c r="H129" i="10"/>
  <c r="C129" i="10"/>
  <c r="N129" i="10"/>
  <c r="G129" i="10"/>
  <c r="M129" i="10"/>
  <c r="F129" i="10"/>
  <c r="L129" i="10"/>
  <c r="E129" i="10"/>
  <c r="K129" i="10"/>
  <c r="D129" i="10"/>
  <c r="J129" i="10"/>
  <c r="B128" i="10"/>
  <c r="H128" i="10"/>
  <c r="C128" i="10"/>
  <c r="N128" i="10"/>
  <c r="G128" i="10"/>
  <c r="M128" i="10"/>
  <c r="F128" i="10"/>
  <c r="L128" i="10"/>
  <c r="E128" i="10"/>
  <c r="K128" i="10"/>
  <c r="D128" i="10"/>
  <c r="J128" i="10"/>
  <c r="B127" i="10"/>
  <c r="H127" i="10"/>
  <c r="C127" i="10"/>
  <c r="N127" i="10"/>
  <c r="G127" i="10"/>
  <c r="M127" i="10"/>
  <c r="F127" i="10"/>
  <c r="L127" i="10"/>
  <c r="E127" i="10"/>
  <c r="K127" i="10"/>
  <c r="D127" i="10"/>
  <c r="J127" i="10"/>
  <c r="B126" i="10"/>
  <c r="H126" i="10"/>
  <c r="C126" i="10"/>
  <c r="N126" i="10"/>
  <c r="G126" i="10"/>
  <c r="M126" i="10"/>
  <c r="F126" i="10"/>
  <c r="L126" i="10"/>
  <c r="E126" i="10"/>
  <c r="K126" i="10"/>
  <c r="D126" i="10"/>
  <c r="J126" i="10"/>
  <c r="B125" i="10"/>
  <c r="H125" i="10"/>
  <c r="C125" i="10"/>
  <c r="N125" i="10"/>
  <c r="G125" i="10"/>
  <c r="M125" i="10"/>
  <c r="F125" i="10"/>
  <c r="L125" i="10"/>
  <c r="E125" i="10"/>
  <c r="K125" i="10"/>
  <c r="D125" i="10"/>
  <c r="J125" i="10"/>
  <c r="B124" i="10"/>
  <c r="H124" i="10"/>
  <c r="C124" i="10"/>
  <c r="N124" i="10"/>
  <c r="G124" i="10"/>
  <c r="M124" i="10"/>
  <c r="F124" i="10"/>
  <c r="L124" i="10"/>
  <c r="E124" i="10"/>
  <c r="K124" i="10"/>
  <c r="D124" i="10"/>
  <c r="J124" i="10"/>
  <c r="B123" i="10"/>
  <c r="H123" i="10"/>
  <c r="C123" i="10"/>
  <c r="N123" i="10"/>
  <c r="G123" i="10"/>
  <c r="M123" i="10"/>
  <c r="F123" i="10"/>
  <c r="L123" i="10"/>
  <c r="E123" i="10"/>
  <c r="K123" i="10"/>
  <c r="D123" i="10"/>
  <c r="J123" i="10"/>
  <c r="B122" i="10"/>
  <c r="H122" i="10"/>
  <c r="C122" i="10"/>
  <c r="N122" i="10"/>
  <c r="G122" i="10"/>
  <c r="M122" i="10"/>
  <c r="F122" i="10"/>
  <c r="L122" i="10"/>
  <c r="E122" i="10"/>
  <c r="K122" i="10"/>
  <c r="D122" i="10"/>
  <c r="J122" i="10"/>
  <c r="B121" i="10"/>
  <c r="H121" i="10"/>
  <c r="C121" i="10"/>
  <c r="N121" i="10"/>
  <c r="G121" i="10"/>
  <c r="M121" i="10"/>
  <c r="F121" i="10"/>
  <c r="L121" i="10"/>
  <c r="E121" i="10"/>
  <c r="K121" i="10"/>
  <c r="D121" i="10"/>
  <c r="J121" i="10"/>
  <c r="B120" i="10"/>
  <c r="H120" i="10"/>
  <c r="C120" i="10"/>
  <c r="N120" i="10"/>
  <c r="G120" i="10"/>
  <c r="M120" i="10"/>
  <c r="F120" i="10"/>
  <c r="L120" i="10"/>
  <c r="E120" i="10"/>
  <c r="K120" i="10"/>
  <c r="D120" i="10"/>
  <c r="J120" i="10"/>
  <c r="B119" i="10"/>
  <c r="H119" i="10"/>
  <c r="C119" i="10"/>
  <c r="N119" i="10"/>
  <c r="G119" i="10"/>
  <c r="M119" i="10"/>
  <c r="F119" i="10"/>
  <c r="L119" i="10"/>
  <c r="E119" i="10"/>
  <c r="K119" i="10"/>
  <c r="D119" i="10"/>
  <c r="J119" i="10"/>
  <c r="B118" i="10"/>
  <c r="H118" i="10"/>
  <c r="C118" i="10"/>
  <c r="N118" i="10"/>
  <c r="G118" i="10"/>
  <c r="M118" i="10"/>
  <c r="F118" i="10"/>
  <c r="L118" i="10"/>
  <c r="E118" i="10"/>
  <c r="K118" i="10"/>
  <c r="D118" i="10"/>
  <c r="J118" i="10"/>
  <c r="B117" i="10"/>
  <c r="H117" i="10"/>
  <c r="C117" i="10"/>
  <c r="N117" i="10"/>
  <c r="G117" i="10"/>
  <c r="M117" i="10"/>
  <c r="F117" i="10"/>
  <c r="L117" i="10"/>
  <c r="E117" i="10"/>
  <c r="K117" i="10"/>
  <c r="D117" i="10"/>
  <c r="J117" i="10"/>
  <c r="B116" i="10"/>
  <c r="H116" i="10"/>
  <c r="C116" i="10"/>
  <c r="N116" i="10"/>
  <c r="G116" i="10"/>
  <c r="M116" i="10"/>
  <c r="F116" i="10"/>
  <c r="L116" i="10"/>
  <c r="E116" i="10"/>
  <c r="K116" i="10"/>
  <c r="D116" i="10"/>
  <c r="J116" i="10"/>
  <c r="B115" i="10"/>
  <c r="H115" i="10"/>
  <c r="C115" i="10"/>
  <c r="N115" i="10"/>
  <c r="G115" i="10"/>
  <c r="M115" i="10"/>
  <c r="F115" i="10"/>
  <c r="L115" i="10"/>
  <c r="E115" i="10"/>
  <c r="K115" i="10"/>
  <c r="D115" i="10"/>
  <c r="J115" i="10"/>
  <c r="B114" i="10"/>
  <c r="H114" i="10"/>
  <c r="C114" i="10"/>
  <c r="N114" i="10"/>
  <c r="G114" i="10"/>
  <c r="M114" i="10"/>
  <c r="F114" i="10"/>
  <c r="L114" i="10"/>
  <c r="E114" i="10"/>
  <c r="K114" i="10"/>
  <c r="D114" i="10"/>
  <c r="J114" i="10"/>
  <c r="B113" i="10"/>
  <c r="H113" i="10"/>
  <c r="C113" i="10"/>
  <c r="N113" i="10"/>
  <c r="G113" i="10"/>
  <c r="M113" i="10"/>
  <c r="F113" i="10"/>
  <c r="L113" i="10"/>
  <c r="E113" i="10"/>
  <c r="K113" i="10"/>
  <c r="D113" i="10"/>
  <c r="J113" i="10"/>
  <c r="B112" i="10"/>
  <c r="H112" i="10"/>
  <c r="C112" i="10"/>
  <c r="N112" i="10"/>
  <c r="G112" i="10"/>
  <c r="M112" i="10"/>
  <c r="F112" i="10"/>
  <c r="L112" i="10"/>
  <c r="E112" i="10"/>
  <c r="K112" i="10"/>
  <c r="D112" i="10"/>
  <c r="J112" i="10"/>
  <c r="B111" i="10"/>
  <c r="H111" i="10"/>
  <c r="C111" i="10"/>
  <c r="N111" i="10"/>
  <c r="G111" i="10"/>
  <c r="M111" i="10"/>
  <c r="F111" i="10"/>
  <c r="L111" i="10"/>
  <c r="E111" i="10"/>
  <c r="K111" i="10"/>
  <c r="D111" i="10"/>
  <c r="J111" i="10"/>
  <c r="B110" i="10"/>
  <c r="H110" i="10"/>
  <c r="C110" i="10"/>
  <c r="N110" i="10"/>
  <c r="G110" i="10"/>
  <c r="M110" i="10"/>
  <c r="F110" i="10"/>
  <c r="L110" i="10"/>
  <c r="E110" i="10"/>
  <c r="K110" i="10"/>
  <c r="D110" i="10"/>
  <c r="J110" i="10"/>
  <c r="B109" i="10"/>
  <c r="H109" i="10"/>
  <c r="C109" i="10"/>
  <c r="N109" i="10"/>
  <c r="G109" i="10"/>
  <c r="M109" i="10"/>
  <c r="F109" i="10"/>
  <c r="L109" i="10"/>
  <c r="E109" i="10"/>
  <c r="K109" i="10"/>
  <c r="D109" i="10"/>
  <c r="J109" i="10"/>
  <c r="B108" i="10"/>
  <c r="H108" i="10"/>
  <c r="C108" i="10"/>
  <c r="N108" i="10"/>
  <c r="G108" i="10"/>
  <c r="M108" i="10"/>
  <c r="F108" i="10"/>
  <c r="L108" i="10"/>
  <c r="E108" i="10"/>
  <c r="K108" i="10"/>
  <c r="D108" i="10"/>
  <c r="J108" i="10"/>
  <c r="B107" i="10"/>
  <c r="H107" i="10"/>
  <c r="C107" i="10"/>
  <c r="N107" i="10"/>
  <c r="G107" i="10"/>
  <c r="M107" i="10"/>
  <c r="F107" i="10"/>
  <c r="L107" i="10"/>
  <c r="E107" i="10"/>
  <c r="K107" i="10"/>
  <c r="D107" i="10"/>
  <c r="J107" i="10"/>
  <c r="B106" i="10"/>
  <c r="H106" i="10"/>
  <c r="C106" i="10"/>
  <c r="N106" i="10"/>
  <c r="G106" i="10"/>
  <c r="M106" i="10"/>
  <c r="F106" i="10"/>
  <c r="L106" i="10"/>
  <c r="E106" i="10"/>
  <c r="K106" i="10"/>
  <c r="D106" i="10"/>
  <c r="J106" i="10"/>
  <c r="B105" i="10"/>
  <c r="H105" i="10"/>
  <c r="C105" i="10"/>
  <c r="N105" i="10"/>
  <c r="G105" i="10"/>
  <c r="M105" i="10"/>
  <c r="F105" i="10"/>
  <c r="L105" i="10"/>
  <c r="E105" i="10"/>
  <c r="K105" i="10"/>
  <c r="D105" i="10"/>
  <c r="J105" i="10"/>
  <c r="B104" i="10"/>
  <c r="H104" i="10"/>
  <c r="C104" i="10"/>
  <c r="N104" i="10"/>
  <c r="G104" i="10"/>
  <c r="M104" i="10"/>
  <c r="F104" i="10"/>
  <c r="L104" i="10"/>
  <c r="E104" i="10"/>
  <c r="K104" i="10"/>
  <c r="D104" i="10"/>
  <c r="J104" i="10"/>
  <c r="B103" i="10"/>
  <c r="H103" i="10"/>
  <c r="C103" i="10"/>
  <c r="N103" i="10"/>
  <c r="G103" i="10"/>
  <c r="M103" i="10"/>
  <c r="F103" i="10"/>
  <c r="L103" i="10"/>
  <c r="E103" i="10"/>
  <c r="K103" i="10"/>
  <c r="D103" i="10"/>
  <c r="J103" i="10"/>
  <c r="B102" i="10"/>
  <c r="H102" i="10"/>
  <c r="C102" i="10"/>
  <c r="N102" i="10"/>
  <c r="G102" i="10"/>
  <c r="M102" i="10"/>
  <c r="F102" i="10"/>
  <c r="L102" i="10"/>
  <c r="E102" i="10"/>
  <c r="K102" i="10"/>
  <c r="D102" i="10"/>
  <c r="J102" i="10"/>
  <c r="B101" i="10"/>
  <c r="H101" i="10"/>
  <c r="C101" i="10"/>
  <c r="N101" i="10"/>
  <c r="G101" i="10"/>
  <c r="M101" i="10"/>
  <c r="F101" i="10"/>
  <c r="L101" i="10"/>
  <c r="E101" i="10"/>
  <c r="K101" i="10"/>
  <c r="D101" i="10"/>
  <c r="J101" i="10"/>
  <c r="B100" i="10"/>
  <c r="H100" i="10"/>
  <c r="C100" i="10"/>
  <c r="N100" i="10"/>
  <c r="G100" i="10"/>
  <c r="M100" i="10"/>
  <c r="F100" i="10"/>
  <c r="L100" i="10"/>
  <c r="E100" i="10"/>
  <c r="K100" i="10"/>
  <c r="D100" i="10"/>
  <c r="J100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H99" i="10"/>
  <c r="G99" i="10"/>
  <c r="F99" i="10"/>
  <c r="E99" i="10"/>
  <c r="D99" i="10"/>
  <c r="C25" i="9"/>
  <c r="H99" i="9"/>
  <c r="C24" i="9"/>
  <c r="G99" i="9"/>
  <c r="C23" i="9"/>
  <c r="F99" i="9"/>
  <c r="C22" i="9"/>
  <c r="E99" i="9"/>
  <c r="C21" i="9"/>
  <c r="D99" i="9"/>
  <c r="B200" i="9"/>
  <c r="H200" i="9"/>
  <c r="G200" i="9"/>
  <c r="F200" i="9"/>
  <c r="E200" i="9"/>
  <c r="B199" i="9"/>
  <c r="H199" i="9"/>
  <c r="G199" i="9"/>
  <c r="F199" i="9"/>
  <c r="E199" i="9"/>
  <c r="B198" i="9"/>
  <c r="H198" i="9"/>
  <c r="G198" i="9"/>
  <c r="F198" i="9"/>
  <c r="E198" i="9"/>
  <c r="B197" i="9"/>
  <c r="H197" i="9"/>
  <c r="G197" i="9"/>
  <c r="F197" i="9"/>
  <c r="E197" i="9"/>
  <c r="B196" i="9"/>
  <c r="H196" i="9"/>
  <c r="G196" i="9"/>
  <c r="F196" i="9"/>
  <c r="E196" i="9"/>
  <c r="B195" i="9"/>
  <c r="H195" i="9"/>
  <c r="G195" i="9"/>
  <c r="F195" i="9"/>
  <c r="E195" i="9"/>
  <c r="B194" i="9"/>
  <c r="H194" i="9"/>
  <c r="G194" i="9"/>
  <c r="F194" i="9"/>
  <c r="E194" i="9"/>
  <c r="B193" i="9"/>
  <c r="H193" i="9"/>
  <c r="G193" i="9"/>
  <c r="F193" i="9"/>
  <c r="E193" i="9"/>
  <c r="B192" i="9"/>
  <c r="H192" i="9"/>
  <c r="G192" i="9"/>
  <c r="F192" i="9"/>
  <c r="E192" i="9"/>
  <c r="B191" i="9"/>
  <c r="H191" i="9"/>
  <c r="G191" i="9"/>
  <c r="F191" i="9"/>
  <c r="E191" i="9"/>
  <c r="B190" i="9"/>
  <c r="H190" i="9"/>
  <c r="G190" i="9"/>
  <c r="F190" i="9"/>
  <c r="E190" i="9"/>
  <c r="B189" i="9"/>
  <c r="H189" i="9"/>
  <c r="G189" i="9"/>
  <c r="F189" i="9"/>
  <c r="E189" i="9"/>
  <c r="B188" i="9"/>
  <c r="H188" i="9"/>
  <c r="G188" i="9"/>
  <c r="F188" i="9"/>
  <c r="E188" i="9"/>
  <c r="B187" i="9"/>
  <c r="H187" i="9"/>
  <c r="G187" i="9"/>
  <c r="F187" i="9"/>
  <c r="E187" i="9"/>
  <c r="B186" i="9"/>
  <c r="H186" i="9"/>
  <c r="G186" i="9"/>
  <c r="F186" i="9"/>
  <c r="E186" i="9"/>
  <c r="B185" i="9"/>
  <c r="H185" i="9"/>
  <c r="G185" i="9"/>
  <c r="F185" i="9"/>
  <c r="E185" i="9"/>
  <c r="B184" i="9"/>
  <c r="H184" i="9"/>
  <c r="G184" i="9"/>
  <c r="F184" i="9"/>
  <c r="E184" i="9"/>
  <c r="B183" i="9"/>
  <c r="H183" i="9"/>
  <c r="G183" i="9"/>
  <c r="F183" i="9"/>
  <c r="E183" i="9"/>
  <c r="B182" i="9"/>
  <c r="H182" i="9"/>
  <c r="G182" i="9"/>
  <c r="F182" i="9"/>
  <c r="E182" i="9"/>
  <c r="B181" i="9"/>
  <c r="H181" i="9"/>
  <c r="G181" i="9"/>
  <c r="F181" i="9"/>
  <c r="E181" i="9"/>
  <c r="B180" i="9"/>
  <c r="H180" i="9"/>
  <c r="G180" i="9"/>
  <c r="F180" i="9"/>
  <c r="E180" i="9"/>
  <c r="B179" i="9"/>
  <c r="H179" i="9"/>
  <c r="G179" i="9"/>
  <c r="F179" i="9"/>
  <c r="E179" i="9"/>
  <c r="B178" i="9"/>
  <c r="H178" i="9"/>
  <c r="G178" i="9"/>
  <c r="F178" i="9"/>
  <c r="E178" i="9"/>
  <c r="B177" i="9"/>
  <c r="H177" i="9"/>
  <c r="G177" i="9"/>
  <c r="F177" i="9"/>
  <c r="E177" i="9"/>
  <c r="B176" i="9"/>
  <c r="H176" i="9"/>
  <c r="G176" i="9"/>
  <c r="F176" i="9"/>
  <c r="E176" i="9"/>
  <c r="B175" i="9"/>
  <c r="H175" i="9"/>
  <c r="G175" i="9"/>
  <c r="F175" i="9"/>
  <c r="E175" i="9"/>
  <c r="B174" i="9"/>
  <c r="H174" i="9"/>
  <c r="G174" i="9"/>
  <c r="F174" i="9"/>
  <c r="E174" i="9"/>
  <c r="B173" i="9"/>
  <c r="H173" i="9"/>
  <c r="G173" i="9"/>
  <c r="F173" i="9"/>
  <c r="E173" i="9"/>
  <c r="B172" i="9"/>
  <c r="H172" i="9"/>
  <c r="G172" i="9"/>
  <c r="F172" i="9"/>
  <c r="E172" i="9"/>
  <c r="B171" i="9"/>
  <c r="H171" i="9"/>
  <c r="G171" i="9"/>
  <c r="F171" i="9"/>
  <c r="E171" i="9"/>
  <c r="B170" i="9"/>
  <c r="H170" i="9"/>
  <c r="G170" i="9"/>
  <c r="F170" i="9"/>
  <c r="E170" i="9"/>
  <c r="B169" i="9"/>
  <c r="H169" i="9"/>
  <c r="G169" i="9"/>
  <c r="F169" i="9"/>
  <c r="E169" i="9"/>
  <c r="B168" i="9"/>
  <c r="H168" i="9"/>
  <c r="G168" i="9"/>
  <c r="F168" i="9"/>
  <c r="E168" i="9"/>
  <c r="B167" i="9"/>
  <c r="H167" i="9"/>
  <c r="G167" i="9"/>
  <c r="F167" i="9"/>
  <c r="E167" i="9"/>
  <c r="B166" i="9"/>
  <c r="H166" i="9"/>
  <c r="G166" i="9"/>
  <c r="F166" i="9"/>
  <c r="E166" i="9"/>
  <c r="B165" i="9"/>
  <c r="H165" i="9"/>
  <c r="G165" i="9"/>
  <c r="F165" i="9"/>
  <c r="E165" i="9"/>
  <c r="B164" i="9"/>
  <c r="H164" i="9"/>
  <c r="G164" i="9"/>
  <c r="F164" i="9"/>
  <c r="E164" i="9"/>
  <c r="B163" i="9"/>
  <c r="H163" i="9"/>
  <c r="G163" i="9"/>
  <c r="F163" i="9"/>
  <c r="E163" i="9"/>
  <c r="B162" i="9"/>
  <c r="H162" i="9"/>
  <c r="G162" i="9"/>
  <c r="F162" i="9"/>
  <c r="E162" i="9"/>
  <c r="B161" i="9"/>
  <c r="H161" i="9"/>
  <c r="G161" i="9"/>
  <c r="F161" i="9"/>
  <c r="E161" i="9"/>
  <c r="B160" i="9"/>
  <c r="H160" i="9"/>
  <c r="G160" i="9"/>
  <c r="F160" i="9"/>
  <c r="E160" i="9"/>
  <c r="B159" i="9"/>
  <c r="H159" i="9"/>
  <c r="G159" i="9"/>
  <c r="F159" i="9"/>
  <c r="E159" i="9"/>
  <c r="B158" i="9"/>
  <c r="H158" i="9"/>
  <c r="G158" i="9"/>
  <c r="F158" i="9"/>
  <c r="E158" i="9"/>
  <c r="B157" i="9"/>
  <c r="H157" i="9"/>
  <c r="G157" i="9"/>
  <c r="F157" i="9"/>
  <c r="E157" i="9"/>
  <c r="B156" i="9"/>
  <c r="H156" i="9"/>
  <c r="G156" i="9"/>
  <c r="F156" i="9"/>
  <c r="E156" i="9"/>
  <c r="B155" i="9"/>
  <c r="H155" i="9"/>
  <c r="G155" i="9"/>
  <c r="F155" i="9"/>
  <c r="E155" i="9"/>
  <c r="B154" i="9"/>
  <c r="H154" i="9"/>
  <c r="G154" i="9"/>
  <c r="F154" i="9"/>
  <c r="E154" i="9"/>
  <c r="B153" i="9"/>
  <c r="H153" i="9"/>
  <c r="G153" i="9"/>
  <c r="F153" i="9"/>
  <c r="E153" i="9"/>
  <c r="B152" i="9"/>
  <c r="H152" i="9"/>
  <c r="G152" i="9"/>
  <c r="F152" i="9"/>
  <c r="E152" i="9"/>
  <c r="B151" i="9"/>
  <c r="H151" i="9"/>
  <c r="G151" i="9"/>
  <c r="F151" i="9"/>
  <c r="E151" i="9"/>
  <c r="B150" i="9"/>
  <c r="H150" i="9"/>
  <c r="G150" i="9"/>
  <c r="F150" i="9"/>
  <c r="E150" i="9"/>
  <c r="B149" i="9"/>
  <c r="H149" i="9"/>
  <c r="G149" i="9"/>
  <c r="F149" i="9"/>
  <c r="E149" i="9"/>
  <c r="B148" i="9"/>
  <c r="H148" i="9"/>
  <c r="G148" i="9"/>
  <c r="F148" i="9"/>
  <c r="E148" i="9"/>
  <c r="B147" i="9"/>
  <c r="H147" i="9"/>
  <c r="G147" i="9"/>
  <c r="F147" i="9"/>
  <c r="E147" i="9"/>
  <c r="B146" i="9"/>
  <c r="H146" i="9"/>
  <c r="G146" i="9"/>
  <c r="F146" i="9"/>
  <c r="E146" i="9"/>
  <c r="B145" i="9"/>
  <c r="H145" i="9"/>
  <c r="G145" i="9"/>
  <c r="F145" i="9"/>
  <c r="E145" i="9"/>
  <c r="B144" i="9"/>
  <c r="H144" i="9"/>
  <c r="G144" i="9"/>
  <c r="F144" i="9"/>
  <c r="E144" i="9"/>
  <c r="B143" i="9"/>
  <c r="H143" i="9"/>
  <c r="G143" i="9"/>
  <c r="F143" i="9"/>
  <c r="E143" i="9"/>
  <c r="B142" i="9"/>
  <c r="H142" i="9"/>
  <c r="G142" i="9"/>
  <c r="F142" i="9"/>
  <c r="E142" i="9"/>
  <c r="B141" i="9"/>
  <c r="H141" i="9"/>
  <c r="G141" i="9"/>
  <c r="F141" i="9"/>
  <c r="E141" i="9"/>
  <c r="B140" i="9"/>
  <c r="H140" i="9"/>
  <c r="G140" i="9"/>
  <c r="F140" i="9"/>
  <c r="E140" i="9"/>
  <c r="B139" i="9"/>
  <c r="H139" i="9"/>
  <c r="G139" i="9"/>
  <c r="F139" i="9"/>
  <c r="E139" i="9"/>
  <c r="B138" i="9"/>
  <c r="H138" i="9"/>
  <c r="G138" i="9"/>
  <c r="F138" i="9"/>
  <c r="E138" i="9"/>
  <c r="B137" i="9"/>
  <c r="H137" i="9"/>
  <c r="G137" i="9"/>
  <c r="F137" i="9"/>
  <c r="E137" i="9"/>
  <c r="B136" i="9"/>
  <c r="H136" i="9"/>
  <c r="G136" i="9"/>
  <c r="F136" i="9"/>
  <c r="E136" i="9"/>
  <c r="B135" i="9"/>
  <c r="H135" i="9"/>
  <c r="G135" i="9"/>
  <c r="F135" i="9"/>
  <c r="E135" i="9"/>
  <c r="B134" i="9"/>
  <c r="H134" i="9"/>
  <c r="G134" i="9"/>
  <c r="F134" i="9"/>
  <c r="E134" i="9"/>
  <c r="B133" i="9"/>
  <c r="H133" i="9"/>
  <c r="G133" i="9"/>
  <c r="F133" i="9"/>
  <c r="E133" i="9"/>
  <c r="B132" i="9"/>
  <c r="H132" i="9"/>
  <c r="G132" i="9"/>
  <c r="F132" i="9"/>
  <c r="E132" i="9"/>
  <c r="B131" i="9"/>
  <c r="H131" i="9"/>
  <c r="G131" i="9"/>
  <c r="F131" i="9"/>
  <c r="E131" i="9"/>
  <c r="B130" i="9"/>
  <c r="H130" i="9"/>
  <c r="G130" i="9"/>
  <c r="F130" i="9"/>
  <c r="E130" i="9"/>
  <c r="B129" i="9"/>
  <c r="H129" i="9"/>
  <c r="G129" i="9"/>
  <c r="F129" i="9"/>
  <c r="E129" i="9"/>
  <c r="B128" i="9"/>
  <c r="H128" i="9"/>
  <c r="G128" i="9"/>
  <c r="F128" i="9"/>
  <c r="E128" i="9"/>
  <c r="B127" i="9"/>
  <c r="H127" i="9"/>
  <c r="G127" i="9"/>
  <c r="F127" i="9"/>
  <c r="E127" i="9"/>
  <c r="B126" i="9"/>
  <c r="H126" i="9"/>
  <c r="G126" i="9"/>
  <c r="F126" i="9"/>
  <c r="E126" i="9"/>
  <c r="B125" i="9"/>
  <c r="H125" i="9"/>
  <c r="G125" i="9"/>
  <c r="F125" i="9"/>
  <c r="E125" i="9"/>
  <c r="B124" i="9"/>
  <c r="H124" i="9"/>
  <c r="G124" i="9"/>
  <c r="F124" i="9"/>
  <c r="E124" i="9"/>
  <c r="B123" i="9"/>
  <c r="H123" i="9"/>
  <c r="G123" i="9"/>
  <c r="F123" i="9"/>
  <c r="E123" i="9"/>
  <c r="B122" i="9"/>
  <c r="H122" i="9"/>
  <c r="G122" i="9"/>
  <c r="F122" i="9"/>
  <c r="E122" i="9"/>
  <c r="B121" i="9"/>
  <c r="H121" i="9"/>
  <c r="G121" i="9"/>
  <c r="F121" i="9"/>
  <c r="E121" i="9"/>
  <c r="B120" i="9"/>
  <c r="H120" i="9"/>
  <c r="G120" i="9"/>
  <c r="F120" i="9"/>
  <c r="E120" i="9"/>
  <c r="B119" i="9"/>
  <c r="H119" i="9"/>
  <c r="G119" i="9"/>
  <c r="F119" i="9"/>
  <c r="E119" i="9"/>
  <c r="B118" i="9"/>
  <c r="H118" i="9"/>
  <c r="G118" i="9"/>
  <c r="F118" i="9"/>
  <c r="E118" i="9"/>
  <c r="B117" i="9"/>
  <c r="H117" i="9"/>
  <c r="G117" i="9"/>
  <c r="F117" i="9"/>
  <c r="E117" i="9"/>
  <c r="B116" i="9"/>
  <c r="H116" i="9"/>
  <c r="G116" i="9"/>
  <c r="F116" i="9"/>
  <c r="E116" i="9"/>
  <c r="B115" i="9"/>
  <c r="H115" i="9"/>
  <c r="G115" i="9"/>
  <c r="F115" i="9"/>
  <c r="E115" i="9"/>
  <c r="B114" i="9"/>
  <c r="H114" i="9"/>
  <c r="G114" i="9"/>
  <c r="F114" i="9"/>
  <c r="E114" i="9"/>
  <c r="B113" i="9"/>
  <c r="H113" i="9"/>
  <c r="G113" i="9"/>
  <c r="F113" i="9"/>
  <c r="E113" i="9"/>
  <c r="B112" i="9"/>
  <c r="H112" i="9"/>
  <c r="G112" i="9"/>
  <c r="F112" i="9"/>
  <c r="E112" i="9"/>
  <c r="B111" i="9"/>
  <c r="H111" i="9"/>
  <c r="G111" i="9"/>
  <c r="F111" i="9"/>
  <c r="E111" i="9"/>
  <c r="B110" i="9"/>
  <c r="H110" i="9"/>
  <c r="G110" i="9"/>
  <c r="F110" i="9"/>
  <c r="E110" i="9"/>
  <c r="B109" i="9"/>
  <c r="H109" i="9"/>
  <c r="G109" i="9"/>
  <c r="F109" i="9"/>
  <c r="E109" i="9"/>
  <c r="B108" i="9"/>
  <c r="H108" i="9"/>
  <c r="G108" i="9"/>
  <c r="F108" i="9"/>
  <c r="E108" i="9"/>
  <c r="B107" i="9"/>
  <c r="H107" i="9"/>
  <c r="G107" i="9"/>
  <c r="F107" i="9"/>
  <c r="E107" i="9"/>
  <c r="B106" i="9"/>
  <c r="H106" i="9"/>
  <c r="G106" i="9"/>
  <c r="F106" i="9"/>
  <c r="E106" i="9"/>
  <c r="B105" i="9"/>
  <c r="H105" i="9"/>
  <c r="G105" i="9"/>
  <c r="F105" i="9"/>
  <c r="E105" i="9"/>
  <c r="B104" i="9"/>
  <c r="H104" i="9"/>
  <c r="G104" i="9"/>
  <c r="F104" i="9"/>
  <c r="E104" i="9"/>
  <c r="B103" i="9"/>
  <c r="H103" i="9"/>
  <c r="G103" i="9"/>
  <c r="F103" i="9"/>
  <c r="E103" i="9"/>
  <c r="B102" i="9"/>
  <c r="H102" i="9"/>
  <c r="G102" i="9"/>
  <c r="F102" i="9"/>
  <c r="E102" i="9"/>
  <c r="B101" i="9"/>
  <c r="H101" i="9"/>
  <c r="G101" i="9"/>
  <c r="F101" i="9"/>
  <c r="E101" i="9"/>
  <c r="B100" i="9"/>
  <c r="H100" i="9"/>
  <c r="G100" i="9"/>
  <c r="F100" i="9"/>
  <c r="E100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H96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I100" i="2"/>
  <c r="I103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E600" i="3"/>
  <c r="F600" i="3"/>
  <c r="L600" i="3"/>
  <c r="E599" i="3"/>
  <c r="F599" i="3"/>
  <c r="L599" i="3"/>
  <c r="E598" i="3"/>
  <c r="F598" i="3"/>
  <c r="L598" i="3"/>
  <c r="E597" i="3"/>
  <c r="F597" i="3"/>
  <c r="L597" i="3"/>
  <c r="E596" i="3"/>
  <c r="F596" i="3"/>
  <c r="L596" i="3"/>
  <c r="E595" i="3"/>
  <c r="F595" i="3"/>
  <c r="L595" i="3"/>
  <c r="E594" i="3"/>
  <c r="F594" i="3"/>
  <c r="L594" i="3"/>
  <c r="E593" i="3"/>
  <c r="F593" i="3"/>
  <c r="L593" i="3"/>
  <c r="E592" i="3"/>
  <c r="F592" i="3"/>
  <c r="L592" i="3"/>
  <c r="E591" i="3"/>
  <c r="F591" i="3"/>
  <c r="L591" i="3"/>
  <c r="E590" i="3"/>
  <c r="F590" i="3"/>
  <c r="L590" i="3"/>
  <c r="E589" i="3"/>
  <c r="F589" i="3"/>
  <c r="L589" i="3"/>
  <c r="E588" i="3"/>
  <c r="F588" i="3"/>
  <c r="L588" i="3"/>
  <c r="E587" i="3"/>
  <c r="F587" i="3"/>
  <c r="L587" i="3"/>
  <c r="E586" i="3"/>
  <c r="F586" i="3"/>
  <c r="L586" i="3"/>
  <c r="E585" i="3"/>
  <c r="F585" i="3"/>
  <c r="L585" i="3"/>
  <c r="E584" i="3"/>
  <c r="F584" i="3"/>
  <c r="L584" i="3"/>
  <c r="E583" i="3"/>
  <c r="F583" i="3"/>
  <c r="L583" i="3"/>
  <c r="E582" i="3"/>
  <c r="F582" i="3"/>
  <c r="L582" i="3"/>
  <c r="E581" i="3"/>
  <c r="F581" i="3"/>
  <c r="L581" i="3"/>
  <c r="E580" i="3"/>
  <c r="F580" i="3"/>
  <c r="L580" i="3"/>
  <c r="E579" i="3"/>
  <c r="F579" i="3"/>
  <c r="L579" i="3"/>
  <c r="E578" i="3"/>
  <c r="F578" i="3"/>
  <c r="L578" i="3"/>
  <c r="E577" i="3"/>
  <c r="F577" i="3"/>
  <c r="L577" i="3"/>
  <c r="E576" i="3"/>
  <c r="F576" i="3"/>
  <c r="L576" i="3"/>
  <c r="E575" i="3"/>
  <c r="F575" i="3"/>
  <c r="L575" i="3"/>
  <c r="E574" i="3"/>
  <c r="F574" i="3"/>
  <c r="L574" i="3"/>
  <c r="E573" i="3"/>
  <c r="F573" i="3"/>
  <c r="L573" i="3"/>
  <c r="E572" i="3"/>
  <c r="F572" i="3"/>
  <c r="L572" i="3"/>
  <c r="E571" i="3"/>
  <c r="F571" i="3"/>
  <c r="L571" i="3"/>
  <c r="E570" i="3"/>
  <c r="F570" i="3"/>
  <c r="L570" i="3"/>
  <c r="E569" i="3"/>
  <c r="F569" i="3"/>
  <c r="L569" i="3"/>
  <c r="E568" i="3"/>
  <c r="F568" i="3"/>
  <c r="L568" i="3"/>
  <c r="E567" i="3"/>
  <c r="F567" i="3"/>
  <c r="L567" i="3"/>
  <c r="E566" i="3"/>
  <c r="F566" i="3"/>
  <c r="L566" i="3"/>
  <c r="E565" i="3"/>
  <c r="F565" i="3"/>
  <c r="L565" i="3"/>
  <c r="E564" i="3"/>
  <c r="F564" i="3"/>
  <c r="L564" i="3"/>
  <c r="E563" i="3"/>
  <c r="F563" i="3"/>
  <c r="L563" i="3"/>
  <c r="E562" i="3"/>
  <c r="F562" i="3"/>
  <c r="L562" i="3"/>
  <c r="E561" i="3"/>
  <c r="F561" i="3"/>
  <c r="L561" i="3"/>
  <c r="E560" i="3"/>
  <c r="F560" i="3"/>
  <c r="L560" i="3"/>
  <c r="E559" i="3"/>
  <c r="F559" i="3"/>
  <c r="L559" i="3"/>
  <c r="E558" i="3"/>
  <c r="F558" i="3"/>
  <c r="L558" i="3"/>
  <c r="E557" i="3"/>
  <c r="F557" i="3"/>
  <c r="L557" i="3"/>
  <c r="E556" i="3"/>
  <c r="F556" i="3"/>
  <c r="L556" i="3"/>
  <c r="E555" i="3"/>
  <c r="F555" i="3"/>
  <c r="L555" i="3"/>
  <c r="E554" i="3"/>
  <c r="F554" i="3"/>
  <c r="L554" i="3"/>
  <c r="E553" i="3"/>
  <c r="F553" i="3"/>
  <c r="L553" i="3"/>
  <c r="E552" i="3"/>
  <c r="F552" i="3"/>
  <c r="L552" i="3"/>
  <c r="E551" i="3"/>
  <c r="F551" i="3"/>
  <c r="L551" i="3"/>
  <c r="E550" i="3"/>
  <c r="F550" i="3"/>
  <c r="L550" i="3"/>
  <c r="E549" i="3"/>
  <c r="F549" i="3"/>
  <c r="L549" i="3"/>
  <c r="E548" i="3"/>
  <c r="F548" i="3"/>
  <c r="L548" i="3"/>
  <c r="E547" i="3"/>
  <c r="F547" i="3"/>
  <c r="L547" i="3"/>
  <c r="E546" i="3"/>
  <c r="F546" i="3"/>
  <c r="L546" i="3"/>
  <c r="E545" i="3"/>
  <c r="F545" i="3"/>
  <c r="L545" i="3"/>
  <c r="E544" i="3"/>
  <c r="F544" i="3"/>
  <c r="L544" i="3"/>
  <c r="E543" i="3"/>
  <c r="F543" i="3"/>
  <c r="L543" i="3"/>
  <c r="E542" i="3"/>
  <c r="F542" i="3"/>
  <c r="L542" i="3"/>
  <c r="E541" i="3"/>
  <c r="F541" i="3"/>
  <c r="L541" i="3"/>
  <c r="E540" i="3"/>
  <c r="F540" i="3"/>
  <c r="L540" i="3"/>
  <c r="E539" i="3"/>
  <c r="F539" i="3"/>
  <c r="L539" i="3"/>
  <c r="E538" i="3"/>
  <c r="F538" i="3"/>
  <c r="L538" i="3"/>
  <c r="E537" i="3"/>
  <c r="F537" i="3"/>
  <c r="L537" i="3"/>
  <c r="E536" i="3"/>
  <c r="F536" i="3"/>
  <c r="L536" i="3"/>
  <c r="E535" i="3"/>
  <c r="F535" i="3"/>
  <c r="L535" i="3"/>
  <c r="E534" i="3"/>
  <c r="F534" i="3"/>
  <c r="L534" i="3"/>
  <c r="E533" i="3"/>
  <c r="F533" i="3"/>
  <c r="L533" i="3"/>
  <c r="E532" i="3"/>
  <c r="F532" i="3"/>
  <c r="L532" i="3"/>
  <c r="E531" i="3"/>
  <c r="F531" i="3"/>
  <c r="L531" i="3"/>
  <c r="E530" i="3"/>
  <c r="F530" i="3"/>
  <c r="L530" i="3"/>
  <c r="E529" i="3"/>
  <c r="F529" i="3"/>
  <c r="L529" i="3"/>
  <c r="E528" i="3"/>
  <c r="F528" i="3"/>
  <c r="L528" i="3"/>
  <c r="E527" i="3"/>
  <c r="F527" i="3"/>
  <c r="L527" i="3"/>
  <c r="E526" i="3"/>
  <c r="F526" i="3"/>
  <c r="L526" i="3"/>
  <c r="E525" i="3"/>
  <c r="F525" i="3"/>
  <c r="L525" i="3"/>
  <c r="E524" i="3"/>
  <c r="F524" i="3"/>
  <c r="L524" i="3"/>
  <c r="E523" i="3"/>
  <c r="F523" i="3"/>
  <c r="L523" i="3"/>
  <c r="E522" i="3"/>
  <c r="F522" i="3"/>
  <c r="L522" i="3"/>
  <c r="E521" i="3"/>
  <c r="F521" i="3"/>
  <c r="L521" i="3"/>
  <c r="E520" i="3"/>
  <c r="F520" i="3"/>
  <c r="L520" i="3"/>
  <c r="E519" i="3"/>
  <c r="F519" i="3"/>
  <c r="L519" i="3"/>
  <c r="E518" i="3"/>
  <c r="F518" i="3"/>
  <c r="L518" i="3"/>
  <c r="E517" i="3"/>
  <c r="F517" i="3"/>
  <c r="L517" i="3"/>
  <c r="E516" i="3"/>
  <c r="F516" i="3"/>
  <c r="L516" i="3"/>
  <c r="E515" i="3"/>
  <c r="F515" i="3"/>
  <c r="L515" i="3"/>
  <c r="E514" i="3"/>
  <c r="F514" i="3"/>
  <c r="L514" i="3"/>
  <c r="E513" i="3"/>
  <c r="F513" i="3"/>
  <c r="L513" i="3"/>
  <c r="E512" i="3"/>
  <c r="F512" i="3"/>
  <c r="L512" i="3"/>
  <c r="E511" i="3"/>
  <c r="F511" i="3"/>
  <c r="L511" i="3"/>
  <c r="E510" i="3"/>
  <c r="F510" i="3"/>
  <c r="L510" i="3"/>
  <c r="E509" i="3"/>
  <c r="F509" i="3"/>
  <c r="L509" i="3"/>
  <c r="E508" i="3"/>
  <c r="F508" i="3"/>
  <c r="L508" i="3"/>
  <c r="E507" i="3"/>
  <c r="F507" i="3"/>
  <c r="L507" i="3"/>
  <c r="E506" i="3"/>
  <c r="F506" i="3"/>
  <c r="L506" i="3"/>
  <c r="E505" i="3"/>
  <c r="F505" i="3"/>
  <c r="L505" i="3"/>
  <c r="E504" i="3"/>
  <c r="F504" i="3"/>
  <c r="L504" i="3"/>
  <c r="E503" i="3"/>
  <c r="F503" i="3"/>
  <c r="L503" i="3"/>
  <c r="E502" i="3"/>
  <c r="F502" i="3"/>
  <c r="L502" i="3"/>
  <c r="E501" i="3"/>
  <c r="F501" i="3"/>
  <c r="L501" i="3"/>
  <c r="E500" i="3"/>
  <c r="F500" i="3"/>
  <c r="L500" i="3"/>
  <c r="E499" i="3"/>
  <c r="F499" i="3"/>
  <c r="L499" i="3"/>
  <c r="E498" i="3"/>
  <c r="F498" i="3"/>
  <c r="L498" i="3"/>
  <c r="E497" i="3"/>
  <c r="F497" i="3"/>
  <c r="L497" i="3"/>
  <c r="E496" i="3"/>
  <c r="F496" i="3"/>
  <c r="L496" i="3"/>
  <c r="E495" i="3"/>
  <c r="F495" i="3"/>
  <c r="L495" i="3"/>
  <c r="E494" i="3"/>
  <c r="F494" i="3"/>
  <c r="L494" i="3"/>
  <c r="E493" i="3"/>
  <c r="F493" i="3"/>
  <c r="L493" i="3"/>
  <c r="E492" i="3"/>
  <c r="F492" i="3"/>
  <c r="L492" i="3"/>
  <c r="E491" i="3"/>
  <c r="F491" i="3"/>
  <c r="L491" i="3"/>
  <c r="E490" i="3"/>
  <c r="F490" i="3"/>
  <c r="L490" i="3"/>
  <c r="E489" i="3"/>
  <c r="F489" i="3"/>
  <c r="L489" i="3"/>
  <c r="E488" i="3"/>
  <c r="F488" i="3"/>
  <c r="L488" i="3"/>
  <c r="E487" i="3"/>
  <c r="F487" i="3"/>
  <c r="L487" i="3"/>
  <c r="E486" i="3"/>
  <c r="F486" i="3"/>
  <c r="L486" i="3"/>
  <c r="E485" i="3"/>
  <c r="F485" i="3"/>
  <c r="L485" i="3"/>
  <c r="E484" i="3"/>
  <c r="F484" i="3"/>
  <c r="L484" i="3"/>
  <c r="E483" i="3"/>
  <c r="F483" i="3"/>
  <c r="L483" i="3"/>
  <c r="E482" i="3"/>
  <c r="F482" i="3"/>
  <c r="L482" i="3"/>
  <c r="E481" i="3"/>
  <c r="F481" i="3"/>
  <c r="L481" i="3"/>
  <c r="E480" i="3"/>
  <c r="F480" i="3"/>
  <c r="L480" i="3"/>
  <c r="E479" i="3"/>
  <c r="F479" i="3"/>
  <c r="L479" i="3"/>
  <c r="E478" i="3"/>
  <c r="F478" i="3"/>
  <c r="L478" i="3"/>
  <c r="E477" i="3"/>
  <c r="F477" i="3"/>
  <c r="L477" i="3"/>
  <c r="E476" i="3"/>
  <c r="F476" i="3"/>
  <c r="L476" i="3"/>
  <c r="E475" i="3"/>
  <c r="F475" i="3"/>
  <c r="L475" i="3"/>
  <c r="E474" i="3"/>
  <c r="F474" i="3"/>
  <c r="L474" i="3"/>
  <c r="E473" i="3"/>
  <c r="F473" i="3"/>
  <c r="L473" i="3"/>
  <c r="E472" i="3"/>
  <c r="F472" i="3"/>
  <c r="L472" i="3"/>
  <c r="E471" i="3"/>
  <c r="F471" i="3"/>
  <c r="L471" i="3"/>
  <c r="E470" i="3"/>
  <c r="F470" i="3"/>
  <c r="L470" i="3"/>
  <c r="E469" i="3"/>
  <c r="F469" i="3"/>
  <c r="L469" i="3"/>
  <c r="E468" i="3"/>
  <c r="F468" i="3"/>
  <c r="L468" i="3"/>
  <c r="E467" i="3"/>
  <c r="F467" i="3"/>
  <c r="L467" i="3"/>
  <c r="E466" i="3"/>
  <c r="F466" i="3"/>
  <c r="L466" i="3"/>
  <c r="E465" i="3"/>
  <c r="F465" i="3"/>
  <c r="L465" i="3"/>
  <c r="E464" i="3"/>
  <c r="F464" i="3"/>
  <c r="L464" i="3"/>
  <c r="E463" i="3"/>
  <c r="F463" i="3"/>
  <c r="L463" i="3"/>
  <c r="E462" i="3"/>
  <c r="F462" i="3"/>
  <c r="L462" i="3"/>
  <c r="E461" i="3"/>
  <c r="F461" i="3"/>
  <c r="L461" i="3"/>
  <c r="E460" i="3"/>
  <c r="F460" i="3"/>
  <c r="L460" i="3"/>
  <c r="E459" i="3"/>
  <c r="F459" i="3"/>
  <c r="L459" i="3"/>
  <c r="E458" i="3"/>
  <c r="F458" i="3"/>
  <c r="L458" i="3"/>
  <c r="E457" i="3"/>
  <c r="F457" i="3"/>
  <c r="L457" i="3"/>
  <c r="E456" i="3"/>
  <c r="F456" i="3"/>
  <c r="L456" i="3"/>
  <c r="E455" i="3"/>
  <c r="F455" i="3"/>
  <c r="L455" i="3"/>
  <c r="E454" i="3"/>
  <c r="F454" i="3"/>
  <c r="L454" i="3"/>
  <c r="E453" i="3"/>
  <c r="F453" i="3"/>
  <c r="L453" i="3"/>
  <c r="E452" i="3"/>
  <c r="F452" i="3"/>
  <c r="L452" i="3"/>
  <c r="E451" i="3"/>
  <c r="F451" i="3"/>
  <c r="L451" i="3"/>
  <c r="E450" i="3"/>
  <c r="F450" i="3"/>
  <c r="L450" i="3"/>
  <c r="E449" i="3"/>
  <c r="F449" i="3"/>
  <c r="L449" i="3"/>
  <c r="E448" i="3"/>
  <c r="F448" i="3"/>
  <c r="L448" i="3"/>
  <c r="E447" i="3"/>
  <c r="F447" i="3"/>
  <c r="L447" i="3"/>
  <c r="E446" i="3"/>
  <c r="F446" i="3"/>
  <c r="L446" i="3"/>
  <c r="E445" i="3"/>
  <c r="F445" i="3"/>
  <c r="L445" i="3"/>
  <c r="E444" i="3"/>
  <c r="F444" i="3"/>
  <c r="L444" i="3"/>
  <c r="E443" i="3"/>
  <c r="F443" i="3"/>
  <c r="L443" i="3"/>
  <c r="E442" i="3"/>
  <c r="F442" i="3"/>
  <c r="L442" i="3"/>
  <c r="E441" i="3"/>
  <c r="F441" i="3"/>
  <c r="L441" i="3"/>
  <c r="E440" i="3"/>
  <c r="F440" i="3"/>
  <c r="L440" i="3"/>
  <c r="E439" i="3"/>
  <c r="F439" i="3"/>
  <c r="L439" i="3"/>
  <c r="E438" i="3"/>
  <c r="F438" i="3"/>
  <c r="L438" i="3"/>
  <c r="E437" i="3"/>
  <c r="F437" i="3"/>
  <c r="L437" i="3"/>
  <c r="E436" i="3"/>
  <c r="F436" i="3"/>
  <c r="L436" i="3"/>
  <c r="E435" i="3"/>
  <c r="F435" i="3"/>
  <c r="L435" i="3"/>
  <c r="E434" i="3"/>
  <c r="F434" i="3"/>
  <c r="L434" i="3"/>
  <c r="E433" i="3"/>
  <c r="F433" i="3"/>
  <c r="L433" i="3"/>
  <c r="E432" i="3"/>
  <c r="F432" i="3"/>
  <c r="L432" i="3"/>
  <c r="E431" i="3"/>
  <c r="F431" i="3"/>
  <c r="L431" i="3"/>
  <c r="E430" i="3"/>
  <c r="F430" i="3"/>
  <c r="L430" i="3"/>
  <c r="E429" i="3"/>
  <c r="F429" i="3"/>
  <c r="L429" i="3"/>
  <c r="E428" i="3"/>
  <c r="F428" i="3"/>
  <c r="L428" i="3"/>
  <c r="E427" i="3"/>
  <c r="F427" i="3"/>
  <c r="L427" i="3"/>
  <c r="E426" i="3"/>
  <c r="F426" i="3"/>
  <c r="L426" i="3"/>
  <c r="E425" i="3"/>
  <c r="F425" i="3"/>
  <c r="L425" i="3"/>
  <c r="E424" i="3"/>
  <c r="F424" i="3"/>
  <c r="L424" i="3"/>
  <c r="E423" i="3"/>
  <c r="F423" i="3"/>
  <c r="L423" i="3"/>
  <c r="E422" i="3"/>
  <c r="F422" i="3"/>
  <c r="L422" i="3"/>
  <c r="E421" i="3"/>
  <c r="F421" i="3"/>
  <c r="L421" i="3"/>
  <c r="E420" i="3"/>
  <c r="F420" i="3"/>
  <c r="L420" i="3"/>
  <c r="E419" i="3"/>
  <c r="F419" i="3"/>
  <c r="L419" i="3"/>
  <c r="E418" i="3"/>
  <c r="F418" i="3"/>
  <c r="L418" i="3"/>
  <c r="E417" i="3"/>
  <c r="F417" i="3"/>
  <c r="L417" i="3"/>
  <c r="E416" i="3"/>
  <c r="F416" i="3"/>
  <c r="L416" i="3"/>
  <c r="E415" i="3"/>
  <c r="F415" i="3"/>
  <c r="L415" i="3"/>
  <c r="E414" i="3"/>
  <c r="F414" i="3"/>
  <c r="L414" i="3"/>
  <c r="E413" i="3"/>
  <c r="F413" i="3"/>
  <c r="L413" i="3"/>
  <c r="E412" i="3"/>
  <c r="F412" i="3"/>
  <c r="L412" i="3"/>
  <c r="E411" i="3"/>
  <c r="F411" i="3"/>
  <c r="L411" i="3"/>
  <c r="E410" i="3"/>
  <c r="F410" i="3"/>
  <c r="L410" i="3"/>
  <c r="E409" i="3"/>
  <c r="F409" i="3"/>
  <c r="L409" i="3"/>
  <c r="E408" i="3"/>
  <c r="F408" i="3"/>
  <c r="L408" i="3"/>
  <c r="E407" i="3"/>
  <c r="F407" i="3"/>
  <c r="L407" i="3"/>
  <c r="E406" i="3"/>
  <c r="F406" i="3"/>
  <c r="L406" i="3"/>
  <c r="E405" i="3"/>
  <c r="F405" i="3"/>
  <c r="L405" i="3"/>
  <c r="E404" i="3"/>
  <c r="F404" i="3"/>
  <c r="L404" i="3"/>
  <c r="E403" i="3"/>
  <c r="F403" i="3"/>
  <c r="L403" i="3"/>
  <c r="E402" i="3"/>
  <c r="F402" i="3"/>
  <c r="L402" i="3"/>
  <c r="E401" i="3"/>
  <c r="F401" i="3"/>
  <c r="L401" i="3"/>
  <c r="E400" i="3"/>
  <c r="F400" i="3"/>
  <c r="L400" i="3"/>
  <c r="E399" i="3"/>
  <c r="F399" i="3"/>
  <c r="L399" i="3"/>
  <c r="E398" i="3"/>
  <c r="F398" i="3"/>
  <c r="L398" i="3"/>
  <c r="E397" i="3"/>
  <c r="F397" i="3"/>
  <c r="L397" i="3"/>
  <c r="E396" i="3"/>
  <c r="F396" i="3"/>
  <c r="L396" i="3"/>
  <c r="E395" i="3"/>
  <c r="F395" i="3"/>
  <c r="L395" i="3"/>
  <c r="E394" i="3"/>
  <c r="F394" i="3"/>
  <c r="L394" i="3"/>
  <c r="E393" i="3"/>
  <c r="F393" i="3"/>
  <c r="L393" i="3"/>
  <c r="E392" i="3"/>
  <c r="F392" i="3"/>
  <c r="L392" i="3"/>
  <c r="E391" i="3"/>
  <c r="F391" i="3"/>
  <c r="L391" i="3"/>
  <c r="E390" i="3"/>
  <c r="F390" i="3"/>
  <c r="L390" i="3"/>
  <c r="E389" i="3"/>
  <c r="F389" i="3"/>
  <c r="L389" i="3"/>
  <c r="E388" i="3"/>
  <c r="F388" i="3"/>
  <c r="L388" i="3"/>
  <c r="E387" i="3"/>
  <c r="F387" i="3"/>
  <c r="L387" i="3"/>
  <c r="E386" i="3"/>
  <c r="F386" i="3"/>
  <c r="L386" i="3"/>
  <c r="E385" i="3"/>
  <c r="F385" i="3"/>
  <c r="L385" i="3"/>
  <c r="E384" i="3"/>
  <c r="F384" i="3"/>
  <c r="L384" i="3"/>
  <c r="E383" i="3"/>
  <c r="F383" i="3"/>
  <c r="L383" i="3"/>
  <c r="E382" i="3"/>
  <c r="F382" i="3"/>
  <c r="L382" i="3"/>
  <c r="E381" i="3"/>
  <c r="F381" i="3"/>
  <c r="L381" i="3"/>
  <c r="E380" i="3"/>
  <c r="F380" i="3"/>
  <c r="L380" i="3"/>
  <c r="E379" i="3"/>
  <c r="F379" i="3"/>
  <c r="L379" i="3"/>
  <c r="E378" i="3"/>
  <c r="F378" i="3"/>
  <c r="L378" i="3"/>
  <c r="E377" i="3"/>
  <c r="F377" i="3"/>
  <c r="L377" i="3"/>
  <c r="E376" i="3"/>
  <c r="F376" i="3"/>
  <c r="L376" i="3"/>
  <c r="E375" i="3"/>
  <c r="F375" i="3"/>
  <c r="L375" i="3"/>
  <c r="E374" i="3"/>
  <c r="F374" i="3"/>
  <c r="L374" i="3"/>
  <c r="E373" i="3"/>
  <c r="F373" i="3"/>
  <c r="L373" i="3"/>
  <c r="E372" i="3"/>
  <c r="F372" i="3"/>
  <c r="L372" i="3"/>
  <c r="E371" i="3"/>
  <c r="F371" i="3"/>
  <c r="L371" i="3"/>
  <c r="E370" i="3"/>
  <c r="F370" i="3"/>
  <c r="L370" i="3"/>
  <c r="E369" i="3"/>
  <c r="F369" i="3"/>
  <c r="L369" i="3"/>
  <c r="E368" i="3"/>
  <c r="F368" i="3"/>
  <c r="L368" i="3"/>
  <c r="E367" i="3"/>
  <c r="F367" i="3"/>
  <c r="L367" i="3"/>
  <c r="E366" i="3"/>
  <c r="F366" i="3"/>
  <c r="L366" i="3"/>
  <c r="E365" i="3"/>
  <c r="F365" i="3"/>
  <c r="L365" i="3"/>
  <c r="E364" i="3"/>
  <c r="F364" i="3"/>
  <c r="L364" i="3"/>
  <c r="E363" i="3"/>
  <c r="F363" i="3"/>
  <c r="L363" i="3"/>
  <c r="E362" i="3"/>
  <c r="F362" i="3"/>
  <c r="L362" i="3"/>
  <c r="E361" i="3"/>
  <c r="F361" i="3"/>
  <c r="L361" i="3"/>
  <c r="E360" i="3"/>
  <c r="F360" i="3"/>
  <c r="L360" i="3"/>
  <c r="E359" i="3"/>
  <c r="F359" i="3"/>
  <c r="L359" i="3"/>
  <c r="E358" i="3"/>
  <c r="F358" i="3"/>
  <c r="L358" i="3"/>
  <c r="E357" i="3"/>
  <c r="F357" i="3"/>
  <c r="L357" i="3"/>
  <c r="E356" i="3"/>
  <c r="F356" i="3"/>
  <c r="L356" i="3"/>
  <c r="E355" i="3"/>
  <c r="F355" i="3"/>
  <c r="L355" i="3"/>
  <c r="E354" i="3"/>
  <c r="F354" i="3"/>
  <c r="L354" i="3"/>
  <c r="E353" i="3"/>
  <c r="F353" i="3"/>
  <c r="L353" i="3"/>
  <c r="E352" i="3"/>
  <c r="F352" i="3"/>
  <c r="L352" i="3"/>
  <c r="E351" i="3"/>
  <c r="F351" i="3"/>
  <c r="L351" i="3"/>
  <c r="E350" i="3"/>
  <c r="F350" i="3"/>
  <c r="L350" i="3"/>
  <c r="E349" i="3"/>
  <c r="F349" i="3"/>
  <c r="L349" i="3"/>
  <c r="E348" i="3"/>
  <c r="F348" i="3"/>
  <c r="L348" i="3"/>
  <c r="E347" i="3"/>
  <c r="F347" i="3"/>
  <c r="L347" i="3"/>
  <c r="E346" i="3"/>
  <c r="F346" i="3"/>
  <c r="L346" i="3"/>
  <c r="E345" i="3"/>
  <c r="F345" i="3"/>
  <c r="L345" i="3"/>
  <c r="E344" i="3"/>
  <c r="F344" i="3"/>
  <c r="L344" i="3"/>
  <c r="E343" i="3"/>
  <c r="F343" i="3"/>
  <c r="L343" i="3"/>
  <c r="E342" i="3"/>
  <c r="F342" i="3"/>
  <c r="L342" i="3"/>
  <c r="E341" i="3"/>
  <c r="F341" i="3"/>
  <c r="L341" i="3"/>
  <c r="E340" i="3"/>
  <c r="F340" i="3"/>
  <c r="L340" i="3"/>
  <c r="E339" i="3"/>
  <c r="F339" i="3"/>
  <c r="L339" i="3"/>
  <c r="E338" i="3"/>
  <c r="F338" i="3"/>
  <c r="L338" i="3"/>
  <c r="E337" i="3"/>
  <c r="F337" i="3"/>
  <c r="L337" i="3"/>
  <c r="E336" i="3"/>
  <c r="F336" i="3"/>
  <c r="L336" i="3"/>
  <c r="E335" i="3"/>
  <c r="F335" i="3"/>
  <c r="L335" i="3"/>
  <c r="E334" i="3"/>
  <c r="F334" i="3"/>
  <c r="L334" i="3"/>
  <c r="E333" i="3"/>
  <c r="F333" i="3"/>
  <c r="L333" i="3"/>
  <c r="E332" i="3"/>
  <c r="F332" i="3"/>
  <c r="L332" i="3"/>
  <c r="E331" i="3"/>
  <c r="F331" i="3"/>
  <c r="L331" i="3"/>
  <c r="E330" i="3"/>
  <c r="F330" i="3"/>
  <c r="L330" i="3"/>
  <c r="E329" i="3"/>
  <c r="F329" i="3"/>
  <c r="L329" i="3"/>
  <c r="E328" i="3"/>
  <c r="F328" i="3"/>
  <c r="L328" i="3"/>
  <c r="E327" i="3"/>
  <c r="F327" i="3"/>
  <c r="L327" i="3"/>
  <c r="E326" i="3"/>
  <c r="F326" i="3"/>
  <c r="L326" i="3"/>
  <c r="E325" i="3"/>
  <c r="F325" i="3"/>
  <c r="L325" i="3"/>
  <c r="E324" i="3"/>
  <c r="F324" i="3"/>
  <c r="L324" i="3"/>
  <c r="E323" i="3"/>
  <c r="F323" i="3"/>
  <c r="L323" i="3"/>
  <c r="E322" i="3"/>
  <c r="F322" i="3"/>
  <c r="L322" i="3"/>
  <c r="E321" i="3"/>
  <c r="F321" i="3"/>
  <c r="L321" i="3"/>
  <c r="E320" i="3"/>
  <c r="F320" i="3"/>
  <c r="L320" i="3"/>
  <c r="E319" i="3"/>
  <c r="F319" i="3"/>
  <c r="L319" i="3"/>
  <c r="E318" i="3"/>
  <c r="F318" i="3"/>
  <c r="L318" i="3"/>
  <c r="E317" i="3"/>
  <c r="F317" i="3"/>
  <c r="L317" i="3"/>
  <c r="E316" i="3"/>
  <c r="F316" i="3"/>
  <c r="L316" i="3"/>
  <c r="E315" i="3"/>
  <c r="F315" i="3"/>
  <c r="L315" i="3"/>
  <c r="E314" i="3"/>
  <c r="F314" i="3"/>
  <c r="L314" i="3"/>
  <c r="E313" i="3"/>
  <c r="F313" i="3"/>
  <c r="L313" i="3"/>
  <c r="E312" i="3"/>
  <c r="F312" i="3"/>
  <c r="L312" i="3"/>
  <c r="E311" i="3"/>
  <c r="F311" i="3"/>
  <c r="L311" i="3"/>
  <c r="E310" i="3"/>
  <c r="F310" i="3"/>
  <c r="L310" i="3"/>
  <c r="E309" i="3"/>
  <c r="F309" i="3"/>
  <c r="L309" i="3"/>
  <c r="E308" i="3"/>
  <c r="F308" i="3"/>
  <c r="L308" i="3"/>
  <c r="E307" i="3"/>
  <c r="F307" i="3"/>
  <c r="L307" i="3"/>
  <c r="E306" i="3"/>
  <c r="F306" i="3"/>
  <c r="L306" i="3"/>
  <c r="E305" i="3"/>
  <c r="F305" i="3"/>
  <c r="L305" i="3"/>
  <c r="E304" i="3"/>
  <c r="F304" i="3"/>
  <c r="L304" i="3"/>
  <c r="E303" i="3"/>
  <c r="F303" i="3"/>
  <c r="L303" i="3"/>
  <c r="E302" i="3"/>
  <c r="F302" i="3"/>
  <c r="L302" i="3"/>
  <c r="E301" i="3"/>
  <c r="F301" i="3"/>
  <c r="L301" i="3"/>
  <c r="E300" i="3"/>
  <c r="F300" i="3"/>
  <c r="L300" i="3"/>
  <c r="E299" i="3"/>
  <c r="F299" i="3"/>
  <c r="L299" i="3"/>
  <c r="E298" i="3"/>
  <c r="F298" i="3"/>
  <c r="L298" i="3"/>
  <c r="E297" i="3"/>
  <c r="F297" i="3"/>
  <c r="L297" i="3"/>
  <c r="E296" i="3"/>
  <c r="F296" i="3"/>
  <c r="L296" i="3"/>
  <c r="E295" i="3"/>
  <c r="F295" i="3"/>
  <c r="L295" i="3"/>
  <c r="E294" i="3"/>
  <c r="F294" i="3"/>
  <c r="L294" i="3"/>
  <c r="E293" i="3"/>
  <c r="F293" i="3"/>
  <c r="L293" i="3"/>
  <c r="E292" i="3"/>
  <c r="F292" i="3"/>
  <c r="L292" i="3"/>
  <c r="E291" i="3"/>
  <c r="F291" i="3"/>
  <c r="L291" i="3"/>
  <c r="E290" i="3"/>
  <c r="F290" i="3"/>
  <c r="L290" i="3"/>
  <c r="E289" i="3"/>
  <c r="F289" i="3"/>
  <c r="L289" i="3"/>
  <c r="E288" i="3"/>
  <c r="F288" i="3"/>
  <c r="L288" i="3"/>
  <c r="E287" i="3"/>
  <c r="F287" i="3"/>
  <c r="L287" i="3"/>
  <c r="E286" i="3"/>
  <c r="F286" i="3"/>
  <c r="L286" i="3"/>
  <c r="E285" i="3"/>
  <c r="F285" i="3"/>
  <c r="L285" i="3"/>
  <c r="E284" i="3"/>
  <c r="F284" i="3"/>
  <c r="L284" i="3"/>
  <c r="E283" i="3"/>
  <c r="F283" i="3"/>
  <c r="L283" i="3"/>
  <c r="E282" i="3"/>
  <c r="F282" i="3"/>
  <c r="L282" i="3"/>
  <c r="E281" i="3"/>
  <c r="F281" i="3"/>
  <c r="L281" i="3"/>
  <c r="E280" i="3"/>
  <c r="F280" i="3"/>
  <c r="L280" i="3"/>
  <c r="E279" i="3"/>
  <c r="F279" i="3"/>
  <c r="L279" i="3"/>
  <c r="E278" i="3"/>
  <c r="F278" i="3"/>
  <c r="L278" i="3"/>
  <c r="E277" i="3"/>
  <c r="F277" i="3"/>
  <c r="L277" i="3"/>
  <c r="E276" i="3"/>
  <c r="F276" i="3"/>
  <c r="L276" i="3"/>
  <c r="E275" i="3"/>
  <c r="F275" i="3"/>
  <c r="L275" i="3"/>
  <c r="E274" i="3"/>
  <c r="F274" i="3"/>
  <c r="L274" i="3"/>
  <c r="E273" i="3"/>
  <c r="F273" i="3"/>
  <c r="L273" i="3"/>
  <c r="E272" i="3"/>
  <c r="F272" i="3"/>
  <c r="L272" i="3"/>
  <c r="E271" i="3"/>
  <c r="F271" i="3"/>
  <c r="L271" i="3"/>
  <c r="E270" i="3"/>
  <c r="F270" i="3"/>
  <c r="L270" i="3"/>
  <c r="E269" i="3"/>
  <c r="F269" i="3"/>
  <c r="L269" i="3"/>
  <c r="E268" i="3"/>
  <c r="F268" i="3"/>
  <c r="L268" i="3"/>
  <c r="E267" i="3"/>
  <c r="F267" i="3"/>
  <c r="L267" i="3"/>
  <c r="E266" i="3"/>
  <c r="F266" i="3"/>
  <c r="L266" i="3"/>
  <c r="E265" i="3"/>
  <c r="F265" i="3"/>
  <c r="L265" i="3"/>
  <c r="E264" i="3"/>
  <c r="F264" i="3"/>
  <c r="L264" i="3"/>
  <c r="E263" i="3"/>
  <c r="F263" i="3"/>
  <c r="L263" i="3"/>
  <c r="E262" i="3"/>
  <c r="F262" i="3"/>
  <c r="L262" i="3"/>
  <c r="E261" i="3"/>
  <c r="F261" i="3"/>
  <c r="L261" i="3"/>
  <c r="E260" i="3"/>
  <c r="F260" i="3"/>
  <c r="L260" i="3"/>
  <c r="E259" i="3"/>
  <c r="F259" i="3"/>
  <c r="L259" i="3"/>
  <c r="E258" i="3"/>
  <c r="F258" i="3"/>
  <c r="L258" i="3"/>
  <c r="E257" i="3"/>
  <c r="F257" i="3"/>
  <c r="L257" i="3"/>
  <c r="E256" i="3"/>
  <c r="F256" i="3"/>
  <c r="L256" i="3"/>
  <c r="E255" i="3"/>
  <c r="F255" i="3"/>
  <c r="L255" i="3"/>
  <c r="E254" i="3"/>
  <c r="F254" i="3"/>
  <c r="L254" i="3"/>
  <c r="E253" i="3"/>
  <c r="F253" i="3"/>
  <c r="L253" i="3"/>
  <c r="E252" i="3"/>
  <c r="F252" i="3"/>
  <c r="L252" i="3"/>
  <c r="E251" i="3"/>
  <c r="F251" i="3"/>
  <c r="L251" i="3"/>
  <c r="E250" i="3"/>
  <c r="F250" i="3"/>
  <c r="L250" i="3"/>
  <c r="E249" i="3"/>
  <c r="F249" i="3"/>
  <c r="L249" i="3"/>
  <c r="E248" i="3"/>
  <c r="F248" i="3"/>
  <c r="L248" i="3"/>
  <c r="E247" i="3"/>
  <c r="F247" i="3"/>
  <c r="L247" i="3"/>
  <c r="E246" i="3"/>
  <c r="F246" i="3"/>
  <c r="L246" i="3"/>
  <c r="E245" i="3"/>
  <c r="F245" i="3"/>
  <c r="L245" i="3"/>
  <c r="E244" i="3"/>
  <c r="F244" i="3"/>
  <c r="L244" i="3"/>
  <c r="E243" i="3"/>
  <c r="F243" i="3"/>
  <c r="L243" i="3"/>
  <c r="E242" i="3"/>
  <c r="F242" i="3"/>
  <c r="L242" i="3"/>
  <c r="E241" i="3"/>
  <c r="F241" i="3"/>
  <c r="L241" i="3"/>
  <c r="E240" i="3"/>
  <c r="F240" i="3"/>
  <c r="L240" i="3"/>
  <c r="E239" i="3"/>
  <c r="F239" i="3"/>
  <c r="L239" i="3"/>
  <c r="E238" i="3"/>
  <c r="F238" i="3"/>
  <c r="L238" i="3"/>
  <c r="E237" i="3"/>
  <c r="F237" i="3"/>
  <c r="L237" i="3"/>
  <c r="E236" i="3"/>
  <c r="F236" i="3"/>
  <c r="L236" i="3"/>
  <c r="E235" i="3"/>
  <c r="F235" i="3"/>
  <c r="L235" i="3"/>
  <c r="E234" i="3"/>
  <c r="F234" i="3"/>
  <c r="L234" i="3"/>
  <c r="E233" i="3"/>
  <c r="F233" i="3"/>
  <c r="L233" i="3"/>
  <c r="E232" i="3"/>
  <c r="F232" i="3"/>
  <c r="L232" i="3"/>
  <c r="E231" i="3"/>
  <c r="F231" i="3"/>
  <c r="L231" i="3"/>
  <c r="E230" i="3"/>
  <c r="F230" i="3"/>
  <c r="L230" i="3"/>
  <c r="E229" i="3"/>
  <c r="F229" i="3"/>
  <c r="L229" i="3"/>
  <c r="E228" i="3"/>
  <c r="F228" i="3"/>
  <c r="L228" i="3"/>
  <c r="E227" i="3"/>
  <c r="F227" i="3"/>
  <c r="L227" i="3"/>
  <c r="E226" i="3"/>
  <c r="F226" i="3"/>
  <c r="L226" i="3"/>
  <c r="E225" i="3"/>
  <c r="F225" i="3"/>
  <c r="L225" i="3"/>
  <c r="E224" i="3"/>
  <c r="F224" i="3"/>
  <c r="L224" i="3"/>
  <c r="E223" i="3"/>
  <c r="F223" i="3"/>
  <c r="L223" i="3"/>
  <c r="E222" i="3"/>
  <c r="F222" i="3"/>
  <c r="L222" i="3"/>
  <c r="E221" i="3"/>
  <c r="F221" i="3"/>
  <c r="L221" i="3"/>
  <c r="E220" i="3"/>
  <c r="F220" i="3"/>
  <c r="L220" i="3"/>
  <c r="E219" i="3"/>
  <c r="F219" i="3"/>
  <c r="L219" i="3"/>
  <c r="E218" i="3"/>
  <c r="F218" i="3"/>
  <c r="L218" i="3"/>
  <c r="E217" i="3"/>
  <c r="F217" i="3"/>
  <c r="L217" i="3"/>
  <c r="E216" i="3"/>
  <c r="F216" i="3"/>
  <c r="L216" i="3"/>
  <c r="E215" i="3"/>
  <c r="F215" i="3"/>
  <c r="L215" i="3"/>
  <c r="E214" i="3"/>
  <c r="F214" i="3"/>
  <c r="L214" i="3"/>
  <c r="E213" i="3"/>
  <c r="F213" i="3"/>
  <c r="L213" i="3"/>
  <c r="E212" i="3"/>
  <c r="F212" i="3"/>
  <c r="L212" i="3"/>
  <c r="E211" i="3"/>
  <c r="F211" i="3"/>
  <c r="L211" i="3"/>
  <c r="E210" i="3"/>
  <c r="F210" i="3"/>
  <c r="L210" i="3"/>
  <c r="E209" i="3"/>
  <c r="F209" i="3"/>
  <c r="L209" i="3"/>
  <c r="E208" i="3"/>
  <c r="F208" i="3"/>
  <c r="L208" i="3"/>
  <c r="E207" i="3"/>
  <c r="F207" i="3"/>
  <c r="L207" i="3"/>
  <c r="E206" i="3"/>
  <c r="F206" i="3"/>
  <c r="L206" i="3"/>
  <c r="E205" i="3"/>
  <c r="F205" i="3"/>
  <c r="L205" i="3"/>
  <c r="E204" i="3"/>
  <c r="F204" i="3"/>
  <c r="L204" i="3"/>
  <c r="E203" i="3"/>
  <c r="F203" i="3"/>
  <c r="L203" i="3"/>
  <c r="E202" i="3"/>
  <c r="F202" i="3"/>
  <c r="L202" i="3"/>
  <c r="E201" i="3"/>
  <c r="F201" i="3"/>
  <c r="L201" i="3"/>
  <c r="E200" i="3"/>
  <c r="F200" i="3"/>
  <c r="L200" i="3"/>
  <c r="E199" i="3"/>
  <c r="F199" i="3"/>
  <c r="L199" i="3"/>
  <c r="E198" i="3"/>
  <c r="F198" i="3"/>
  <c r="L198" i="3"/>
  <c r="E197" i="3"/>
  <c r="F197" i="3"/>
  <c r="L197" i="3"/>
  <c r="E196" i="3"/>
  <c r="F196" i="3"/>
  <c r="L196" i="3"/>
  <c r="E195" i="3"/>
  <c r="F195" i="3"/>
  <c r="L195" i="3"/>
  <c r="E194" i="3"/>
  <c r="F194" i="3"/>
  <c r="L194" i="3"/>
  <c r="E193" i="3"/>
  <c r="F193" i="3"/>
  <c r="L193" i="3"/>
  <c r="E192" i="3"/>
  <c r="F192" i="3"/>
  <c r="L192" i="3"/>
  <c r="E191" i="3"/>
  <c r="F191" i="3"/>
  <c r="L191" i="3"/>
  <c r="E190" i="3"/>
  <c r="F190" i="3"/>
  <c r="L190" i="3"/>
  <c r="E189" i="3"/>
  <c r="F189" i="3"/>
  <c r="L189" i="3"/>
  <c r="E188" i="3"/>
  <c r="F188" i="3"/>
  <c r="L188" i="3"/>
  <c r="E187" i="3"/>
  <c r="F187" i="3"/>
  <c r="L187" i="3"/>
  <c r="E186" i="3"/>
  <c r="F186" i="3"/>
  <c r="L186" i="3"/>
  <c r="E185" i="3"/>
  <c r="F185" i="3"/>
  <c r="L185" i="3"/>
  <c r="E184" i="3"/>
  <c r="F184" i="3"/>
  <c r="L184" i="3"/>
  <c r="E183" i="3"/>
  <c r="F183" i="3"/>
  <c r="L183" i="3"/>
  <c r="E182" i="3"/>
  <c r="F182" i="3"/>
  <c r="L182" i="3"/>
  <c r="E181" i="3"/>
  <c r="F181" i="3"/>
  <c r="L181" i="3"/>
  <c r="E180" i="3"/>
  <c r="F180" i="3"/>
  <c r="L180" i="3"/>
  <c r="E179" i="3"/>
  <c r="F179" i="3"/>
  <c r="L179" i="3"/>
  <c r="E178" i="3"/>
  <c r="F178" i="3"/>
  <c r="L178" i="3"/>
  <c r="E177" i="3"/>
  <c r="F177" i="3"/>
  <c r="L177" i="3"/>
  <c r="E176" i="3"/>
  <c r="F176" i="3"/>
  <c r="L176" i="3"/>
  <c r="E175" i="3"/>
  <c r="F175" i="3"/>
  <c r="L175" i="3"/>
  <c r="E174" i="3"/>
  <c r="F174" i="3"/>
  <c r="L174" i="3"/>
  <c r="E173" i="3"/>
  <c r="F173" i="3"/>
  <c r="L173" i="3"/>
  <c r="E172" i="3"/>
  <c r="F172" i="3"/>
  <c r="L172" i="3"/>
  <c r="E171" i="3"/>
  <c r="F171" i="3"/>
  <c r="L171" i="3"/>
  <c r="E170" i="3"/>
  <c r="F170" i="3"/>
  <c r="L170" i="3"/>
  <c r="E169" i="3"/>
  <c r="F169" i="3"/>
  <c r="L169" i="3"/>
  <c r="E168" i="3"/>
  <c r="F168" i="3"/>
  <c r="L168" i="3"/>
  <c r="E167" i="3"/>
  <c r="F167" i="3"/>
  <c r="L167" i="3"/>
  <c r="E166" i="3"/>
  <c r="F166" i="3"/>
  <c r="L166" i="3"/>
  <c r="E165" i="3"/>
  <c r="F165" i="3"/>
  <c r="L165" i="3"/>
  <c r="E164" i="3"/>
  <c r="F164" i="3"/>
  <c r="L164" i="3"/>
  <c r="E163" i="3"/>
  <c r="F163" i="3"/>
  <c r="L163" i="3"/>
  <c r="E162" i="3"/>
  <c r="F162" i="3"/>
  <c r="L162" i="3"/>
  <c r="E161" i="3"/>
  <c r="F161" i="3"/>
  <c r="L161" i="3"/>
  <c r="E160" i="3"/>
  <c r="F160" i="3"/>
  <c r="L160" i="3"/>
  <c r="E159" i="3"/>
  <c r="F159" i="3"/>
  <c r="L159" i="3"/>
  <c r="E158" i="3"/>
  <c r="F158" i="3"/>
  <c r="L158" i="3"/>
  <c r="E157" i="3"/>
  <c r="F157" i="3"/>
  <c r="L157" i="3"/>
  <c r="E156" i="3"/>
  <c r="F156" i="3"/>
  <c r="L156" i="3"/>
  <c r="E155" i="3"/>
  <c r="F155" i="3"/>
  <c r="L155" i="3"/>
  <c r="E154" i="3"/>
  <c r="F154" i="3"/>
  <c r="L154" i="3"/>
  <c r="E153" i="3"/>
  <c r="F153" i="3"/>
  <c r="L153" i="3"/>
  <c r="E152" i="3"/>
  <c r="F152" i="3"/>
  <c r="L152" i="3"/>
  <c r="E151" i="3"/>
  <c r="F151" i="3"/>
  <c r="L151" i="3"/>
  <c r="E150" i="3"/>
  <c r="F150" i="3"/>
  <c r="L150" i="3"/>
  <c r="E149" i="3"/>
  <c r="F149" i="3"/>
  <c r="L149" i="3"/>
  <c r="E148" i="3"/>
  <c r="F148" i="3"/>
  <c r="L148" i="3"/>
  <c r="E147" i="3"/>
  <c r="F147" i="3"/>
  <c r="L147" i="3"/>
  <c r="E146" i="3"/>
  <c r="F146" i="3"/>
  <c r="L146" i="3"/>
  <c r="E145" i="3"/>
  <c r="F145" i="3"/>
  <c r="L145" i="3"/>
  <c r="E144" i="3"/>
  <c r="F144" i="3"/>
  <c r="L144" i="3"/>
  <c r="E143" i="3"/>
  <c r="F143" i="3"/>
  <c r="L143" i="3"/>
  <c r="E142" i="3"/>
  <c r="F142" i="3"/>
  <c r="L142" i="3"/>
  <c r="E141" i="3"/>
  <c r="F141" i="3"/>
  <c r="L141" i="3"/>
  <c r="E140" i="3"/>
  <c r="F140" i="3"/>
  <c r="L140" i="3"/>
  <c r="E139" i="3"/>
  <c r="F139" i="3"/>
  <c r="L139" i="3"/>
  <c r="E138" i="3"/>
  <c r="F138" i="3"/>
  <c r="L138" i="3"/>
  <c r="E137" i="3"/>
  <c r="F137" i="3"/>
  <c r="L137" i="3"/>
  <c r="E136" i="3"/>
  <c r="F136" i="3"/>
  <c r="L136" i="3"/>
  <c r="E135" i="3"/>
  <c r="F135" i="3"/>
  <c r="L135" i="3"/>
  <c r="E134" i="3"/>
  <c r="F134" i="3"/>
  <c r="L134" i="3"/>
  <c r="E133" i="3"/>
  <c r="F133" i="3"/>
  <c r="L133" i="3"/>
  <c r="E132" i="3"/>
  <c r="F132" i="3"/>
  <c r="L132" i="3"/>
  <c r="E131" i="3"/>
  <c r="F131" i="3"/>
  <c r="L131" i="3"/>
  <c r="E130" i="3"/>
  <c r="F130" i="3"/>
  <c r="L130" i="3"/>
  <c r="E129" i="3"/>
  <c r="F129" i="3"/>
  <c r="L129" i="3"/>
  <c r="E128" i="3"/>
  <c r="F128" i="3"/>
  <c r="L128" i="3"/>
  <c r="E127" i="3"/>
  <c r="F127" i="3"/>
  <c r="L127" i="3"/>
  <c r="E126" i="3"/>
  <c r="F126" i="3"/>
  <c r="L126" i="3"/>
  <c r="E125" i="3"/>
  <c r="F125" i="3"/>
  <c r="L125" i="3"/>
  <c r="E124" i="3"/>
  <c r="F124" i="3"/>
  <c r="L124" i="3"/>
  <c r="E123" i="3"/>
  <c r="F123" i="3"/>
  <c r="L123" i="3"/>
  <c r="E122" i="3"/>
  <c r="F122" i="3"/>
  <c r="L122" i="3"/>
  <c r="E121" i="3"/>
  <c r="F121" i="3"/>
  <c r="L121" i="3"/>
  <c r="E120" i="3"/>
  <c r="F120" i="3"/>
  <c r="L120" i="3"/>
  <c r="E119" i="3"/>
  <c r="F119" i="3"/>
  <c r="L119" i="3"/>
  <c r="E118" i="3"/>
  <c r="F118" i="3"/>
  <c r="L118" i="3"/>
  <c r="E117" i="3"/>
  <c r="F117" i="3"/>
  <c r="L117" i="3"/>
  <c r="E116" i="3"/>
  <c r="F116" i="3"/>
  <c r="L116" i="3"/>
  <c r="E115" i="3"/>
  <c r="F115" i="3"/>
  <c r="L115" i="3"/>
  <c r="E114" i="3"/>
  <c r="F114" i="3"/>
  <c r="L114" i="3"/>
  <c r="E113" i="3"/>
  <c r="F113" i="3"/>
  <c r="L113" i="3"/>
  <c r="E112" i="3"/>
  <c r="F112" i="3"/>
  <c r="L112" i="3"/>
  <c r="E111" i="3"/>
  <c r="F111" i="3"/>
  <c r="L111" i="3"/>
  <c r="E110" i="3"/>
  <c r="F110" i="3"/>
  <c r="L110" i="3"/>
  <c r="E109" i="3"/>
  <c r="F109" i="3"/>
  <c r="L109" i="3"/>
  <c r="E108" i="3"/>
  <c r="F108" i="3"/>
  <c r="L108" i="3"/>
  <c r="E107" i="3"/>
  <c r="F107" i="3"/>
  <c r="L107" i="3"/>
  <c r="E106" i="3"/>
  <c r="F106" i="3"/>
  <c r="L106" i="3"/>
  <c r="E105" i="3"/>
  <c r="F105" i="3"/>
  <c r="L105" i="3"/>
  <c r="E104" i="3"/>
  <c r="F104" i="3"/>
  <c r="L104" i="3"/>
  <c r="E103" i="3"/>
  <c r="F103" i="3"/>
  <c r="L103" i="3"/>
  <c r="E102" i="3"/>
  <c r="F102" i="3"/>
  <c r="L102" i="3"/>
  <c r="E101" i="3"/>
  <c r="F101" i="3"/>
  <c r="L101" i="3"/>
  <c r="E100" i="3"/>
  <c r="F100" i="3"/>
  <c r="L100" i="3"/>
  <c r="H95" i="5"/>
  <c r="I150" i="5"/>
  <c r="H150" i="5"/>
  <c r="I149" i="5"/>
  <c r="H149" i="5"/>
  <c r="I148" i="5"/>
  <c r="H148" i="5"/>
  <c r="I147" i="5"/>
  <c r="H147" i="5"/>
  <c r="I146" i="5"/>
  <c r="H146" i="5"/>
  <c r="I145" i="5"/>
  <c r="H145" i="5"/>
  <c r="I144" i="5"/>
  <c r="H144" i="5"/>
  <c r="I143" i="5"/>
  <c r="H143" i="5"/>
  <c r="I142" i="5"/>
  <c r="H142" i="5"/>
  <c r="I141" i="5"/>
  <c r="H141" i="5"/>
  <c r="I140" i="5"/>
  <c r="H140" i="5"/>
  <c r="I139" i="5"/>
  <c r="H139" i="5"/>
  <c r="I138" i="5"/>
  <c r="H138" i="5"/>
  <c r="I137" i="5"/>
  <c r="H137" i="5"/>
  <c r="I136" i="5"/>
  <c r="H136" i="5"/>
  <c r="I135" i="5"/>
  <c r="H135" i="5"/>
  <c r="I134" i="5"/>
  <c r="H134" i="5"/>
  <c r="I133" i="5"/>
  <c r="H133" i="5"/>
  <c r="I132" i="5"/>
  <c r="H132" i="5"/>
  <c r="I131" i="5"/>
  <c r="H131" i="5"/>
  <c r="I130" i="5"/>
  <c r="H130" i="5"/>
  <c r="I129" i="5"/>
  <c r="H129" i="5"/>
  <c r="I128" i="5"/>
  <c r="H128" i="5"/>
  <c r="I127" i="5"/>
  <c r="H127" i="5"/>
  <c r="I126" i="5"/>
  <c r="H126" i="5"/>
  <c r="I125" i="5"/>
  <c r="H125" i="5"/>
  <c r="I124" i="5"/>
  <c r="H124" i="5"/>
  <c r="I123" i="5"/>
  <c r="H123" i="5"/>
  <c r="I122" i="5"/>
  <c r="H122" i="5"/>
  <c r="I121" i="5"/>
  <c r="H121" i="5"/>
  <c r="I120" i="5"/>
  <c r="H120" i="5"/>
  <c r="I119" i="5"/>
  <c r="H119" i="5"/>
  <c r="I118" i="5"/>
  <c r="H118" i="5"/>
  <c r="I117" i="5"/>
  <c r="H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H110" i="5"/>
  <c r="I109" i="5"/>
  <c r="H109" i="5"/>
  <c r="I108" i="5"/>
  <c r="H108" i="5"/>
  <c r="I107" i="5"/>
  <c r="H107" i="5"/>
  <c r="I106" i="5"/>
  <c r="H106" i="5"/>
  <c r="I105" i="5"/>
  <c r="H105" i="5"/>
  <c r="I104" i="5"/>
  <c r="H104" i="5"/>
  <c r="I103" i="5"/>
  <c r="H103" i="5"/>
  <c r="I102" i="5"/>
  <c r="H102" i="5"/>
  <c r="I101" i="5"/>
  <c r="H101" i="5"/>
  <c r="I100" i="5"/>
  <c r="H100" i="5"/>
  <c r="G97" i="3"/>
  <c r="G600" i="3"/>
  <c r="K100" i="3"/>
  <c r="I600" i="3"/>
  <c r="H600" i="3"/>
  <c r="G599" i="3"/>
  <c r="I599" i="3"/>
  <c r="H599" i="3"/>
  <c r="G598" i="3"/>
  <c r="I598" i="3"/>
  <c r="H598" i="3"/>
  <c r="G597" i="3"/>
  <c r="I597" i="3"/>
  <c r="H597" i="3"/>
  <c r="G596" i="3"/>
  <c r="I596" i="3"/>
  <c r="H596" i="3"/>
  <c r="G595" i="3"/>
  <c r="I595" i="3"/>
  <c r="H595" i="3"/>
  <c r="G594" i="3"/>
  <c r="I594" i="3"/>
  <c r="H594" i="3"/>
  <c r="G593" i="3"/>
  <c r="I593" i="3"/>
  <c r="H593" i="3"/>
  <c r="G592" i="3"/>
  <c r="I592" i="3"/>
  <c r="H592" i="3"/>
  <c r="G591" i="3"/>
  <c r="I591" i="3"/>
  <c r="H591" i="3"/>
  <c r="G590" i="3"/>
  <c r="I590" i="3"/>
  <c r="H590" i="3"/>
  <c r="G589" i="3"/>
  <c r="I589" i="3"/>
  <c r="H589" i="3"/>
  <c r="G588" i="3"/>
  <c r="I588" i="3"/>
  <c r="H588" i="3"/>
  <c r="G587" i="3"/>
  <c r="I587" i="3"/>
  <c r="H587" i="3"/>
  <c r="G586" i="3"/>
  <c r="I586" i="3"/>
  <c r="H586" i="3"/>
  <c r="G585" i="3"/>
  <c r="I585" i="3"/>
  <c r="H585" i="3"/>
  <c r="G584" i="3"/>
  <c r="I584" i="3"/>
  <c r="H584" i="3"/>
  <c r="G583" i="3"/>
  <c r="I583" i="3"/>
  <c r="H583" i="3"/>
  <c r="G582" i="3"/>
  <c r="I582" i="3"/>
  <c r="H582" i="3"/>
  <c r="G581" i="3"/>
  <c r="I581" i="3"/>
  <c r="H581" i="3"/>
  <c r="G580" i="3"/>
  <c r="I580" i="3"/>
  <c r="H580" i="3"/>
  <c r="G579" i="3"/>
  <c r="I579" i="3"/>
  <c r="H579" i="3"/>
  <c r="G578" i="3"/>
  <c r="I578" i="3"/>
  <c r="H578" i="3"/>
  <c r="G577" i="3"/>
  <c r="I577" i="3"/>
  <c r="H577" i="3"/>
  <c r="G576" i="3"/>
  <c r="I576" i="3"/>
  <c r="H576" i="3"/>
  <c r="G575" i="3"/>
  <c r="I575" i="3"/>
  <c r="H575" i="3"/>
  <c r="G574" i="3"/>
  <c r="I574" i="3"/>
  <c r="H574" i="3"/>
  <c r="G573" i="3"/>
  <c r="I573" i="3"/>
  <c r="H573" i="3"/>
  <c r="G572" i="3"/>
  <c r="I572" i="3"/>
  <c r="H572" i="3"/>
  <c r="G571" i="3"/>
  <c r="I571" i="3"/>
  <c r="H571" i="3"/>
  <c r="G570" i="3"/>
  <c r="I570" i="3"/>
  <c r="H570" i="3"/>
  <c r="G569" i="3"/>
  <c r="I569" i="3"/>
  <c r="H569" i="3"/>
  <c r="G568" i="3"/>
  <c r="I568" i="3"/>
  <c r="H568" i="3"/>
  <c r="G567" i="3"/>
  <c r="I567" i="3"/>
  <c r="H567" i="3"/>
  <c r="G566" i="3"/>
  <c r="I566" i="3"/>
  <c r="H566" i="3"/>
  <c r="G565" i="3"/>
  <c r="I565" i="3"/>
  <c r="H565" i="3"/>
  <c r="G564" i="3"/>
  <c r="I564" i="3"/>
  <c r="H564" i="3"/>
  <c r="G563" i="3"/>
  <c r="I563" i="3"/>
  <c r="H563" i="3"/>
  <c r="G562" i="3"/>
  <c r="I562" i="3"/>
  <c r="H562" i="3"/>
  <c r="G561" i="3"/>
  <c r="I561" i="3"/>
  <c r="H561" i="3"/>
  <c r="G560" i="3"/>
  <c r="I560" i="3"/>
  <c r="H560" i="3"/>
  <c r="G559" i="3"/>
  <c r="I559" i="3"/>
  <c r="H559" i="3"/>
  <c r="G558" i="3"/>
  <c r="I558" i="3"/>
  <c r="H558" i="3"/>
  <c r="G557" i="3"/>
  <c r="I557" i="3"/>
  <c r="H557" i="3"/>
  <c r="G556" i="3"/>
  <c r="I556" i="3"/>
  <c r="H556" i="3"/>
  <c r="G555" i="3"/>
  <c r="I555" i="3"/>
  <c r="H555" i="3"/>
  <c r="G554" i="3"/>
  <c r="I554" i="3"/>
  <c r="H554" i="3"/>
  <c r="G553" i="3"/>
  <c r="I553" i="3"/>
  <c r="H553" i="3"/>
  <c r="G552" i="3"/>
  <c r="I552" i="3"/>
  <c r="H552" i="3"/>
  <c r="G551" i="3"/>
  <c r="I551" i="3"/>
  <c r="H551" i="3"/>
  <c r="G550" i="3"/>
  <c r="I550" i="3"/>
  <c r="H550" i="3"/>
  <c r="G549" i="3"/>
  <c r="I549" i="3"/>
  <c r="H549" i="3"/>
  <c r="G548" i="3"/>
  <c r="I548" i="3"/>
  <c r="H548" i="3"/>
  <c r="G547" i="3"/>
  <c r="I547" i="3"/>
  <c r="H547" i="3"/>
  <c r="G546" i="3"/>
  <c r="I546" i="3"/>
  <c r="H546" i="3"/>
  <c r="G545" i="3"/>
  <c r="I545" i="3"/>
  <c r="H545" i="3"/>
  <c r="G544" i="3"/>
  <c r="I544" i="3"/>
  <c r="H544" i="3"/>
  <c r="G543" i="3"/>
  <c r="I543" i="3"/>
  <c r="H543" i="3"/>
  <c r="G542" i="3"/>
  <c r="I542" i="3"/>
  <c r="H542" i="3"/>
  <c r="G541" i="3"/>
  <c r="I541" i="3"/>
  <c r="H541" i="3"/>
  <c r="G540" i="3"/>
  <c r="I540" i="3"/>
  <c r="H540" i="3"/>
  <c r="G539" i="3"/>
  <c r="I539" i="3"/>
  <c r="H539" i="3"/>
  <c r="G538" i="3"/>
  <c r="I538" i="3"/>
  <c r="H538" i="3"/>
  <c r="G537" i="3"/>
  <c r="I537" i="3"/>
  <c r="H537" i="3"/>
  <c r="G536" i="3"/>
  <c r="I536" i="3"/>
  <c r="H536" i="3"/>
  <c r="G535" i="3"/>
  <c r="I535" i="3"/>
  <c r="H535" i="3"/>
  <c r="G534" i="3"/>
  <c r="I534" i="3"/>
  <c r="H534" i="3"/>
  <c r="G533" i="3"/>
  <c r="I533" i="3"/>
  <c r="H533" i="3"/>
  <c r="G532" i="3"/>
  <c r="I532" i="3"/>
  <c r="H532" i="3"/>
  <c r="G531" i="3"/>
  <c r="I531" i="3"/>
  <c r="H531" i="3"/>
  <c r="G530" i="3"/>
  <c r="I530" i="3"/>
  <c r="H530" i="3"/>
  <c r="G529" i="3"/>
  <c r="I529" i="3"/>
  <c r="H529" i="3"/>
  <c r="G528" i="3"/>
  <c r="I528" i="3"/>
  <c r="H528" i="3"/>
  <c r="G527" i="3"/>
  <c r="I527" i="3"/>
  <c r="H527" i="3"/>
  <c r="G526" i="3"/>
  <c r="I526" i="3"/>
  <c r="H526" i="3"/>
  <c r="G525" i="3"/>
  <c r="I525" i="3"/>
  <c r="H525" i="3"/>
  <c r="G524" i="3"/>
  <c r="I524" i="3"/>
  <c r="H524" i="3"/>
  <c r="G523" i="3"/>
  <c r="I523" i="3"/>
  <c r="H523" i="3"/>
  <c r="G522" i="3"/>
  <c r="I522" i="3"/>
  <c r="H522" i="3"/>
  <c r="G521" i="3"/>
  <c r="I521" i="3"/>
  <c r="H521" i="3"/>
  <c r="G520" i="3"/>
  <c r="I520" i="3"/>
  <c r="H520" i="3"/>
  <c r="G519" i="3"/>
  <c r="I519" i="3"/>
  <c r="H519" i="3"/>
  <c r="G518" i="3"/>
  <c r="I518" i="3"/>
  <c r="H518" i="3"/>
  <c r="G517" i="3"/>
  <c r="I517" i="3"/>
  <c r="H517" i="3"/>
  <c r="G516" i="3"/>
  <c r="I516" i="3"/>
  <c r="H516" i="3"/>
  <c r="G515" i="3"/>
  <c r="I515" i="3"/>
  <c r="H515" i="3"/>
  <c r="G514" i="3"/>
  <c r="I514" i="3"/>
  <c r="H514" i="3"/>
  <c r="G513" i="3"/>
  <c r="I513" i="3"/>
  <c r="H513" i="3"/>
  <c r="G512" i="3"/>
  <c r="I512" i="3"/>
  <c r="H512" i="3"/>
  <c r="G511" i="3"/>
  <c r="I511" i="3"/>
  <c r="H511" i="3"/>
  <c r="G510" i="3"/>
  <c r="I510" i="3"/>
  <c r="H510" i="3"/>
  <c r="G509" i="3"/>
  <c r="I509" i="3"/>
  <c r="H509" i="3"/>
  <c r="G508" i="3"/>
  <c r="I508" i="3"/>
  <c r="H508" i="3"/>
  <c r="G507" i="3"/>
  <c r="I507" i="3"/>
  <c r="H507" i="3"/>
  <c r="G506" i="3"/>
  <c r="I506" i="3"/>
  <c r="H506" i="3"/>
  <c r="G505" i="3"/>
  <c r="I505" i="3"/>
  <c r="H505" i="3"/>
  <c r="G504" i="3"/>
  <c r="I504" i="3"/>
  <c r="H504" i="3"/>
  <c r="G503" i="3"/>
  <c r="I503" i="3"/>
  <c r="H503" i="3"/>
  <c r="G502" i="3"/>
  <c r="I502" i="3"/>
  <c r="H502" i="3"/>
  <c r="G501" i="3"/>
  <c r="I501" i="3"/>
  <c r="H501" i="3"/>
  <c r="G500" i="3"/>
  <c r="I500" i="3"/>
  <c r="H500" i="3"/>
  <c r="G499" i="3"/>
  <c r="I499" i="3"/>
  <c r="H499" i="3"/>
  <c r="G498" i="3"/>
  <c r="I498" i="3"/>
  <c r="H498" i="3"/>
  <c r="G497" i="3"/>
  <c r="I497" i="3"/>
  <c r="H497" i="3"/>
  <c r="G496" i="3"/>
  <c r="I496" i="3"/>
  <c r="H496" i="3"/>
  <c r="G495" i="3"/>
  <c r="I495" i="3"/>
  <c r="H495" i="3"/>
  <c r="G494" i="3"/>
  <c r="I494" i="3"/>
  <c r="H494" i="3"/>
  <c r="G493" i="3"/>
  <c r="I493" i="3"/>
  <c r="H493" i="3"/>
  <c r="G492" i="3"/>
  <c r="I492" i="3"/>
  <c r="H492" i="3"/>
  <c r="G491" i="3"/>
  <c r="I491" i="3"/>
  <c r="H491" i="3"/>
  <c r="G490" i="3"/>
  <c r="I490" i="3"/>
  <c r="H490" i="3"/>
  <c r="G489" i="3"/>
  <c r="I489" i="3"/>
  <c r="H489" i="3"/>
  <c r="G488" i="3"/>
  <c r="I488" i="3"/>
  <c r="H488" i="3"/>
  <c r="G487" i="3"/>
  <c r="I487" i="3"/>
  <c r="H487" i="3"/>
  <c r="G486" i="3"/>
  <c r="I486" i="3"/>
  <c r="H486" i="3"/>
  <c r="G485" i="3"/>
  <c r="I485" i="3"/>
  <c r="H485" i="3"/>
  <c r="G484" i="3"/>
  <c r="I484" i="3"/>
  <c r="H484" i="3"/>
  <c r="G483" i="3"/>
  <c r="I483" i="3"/>
  <c r="H483" i="3"/>
  <c r="G482" i="3"/>
  <c r="I482" i="3"/>
  <c r="H482" i="3"/>
  <c r="G481" i="3"/>
  <c r="I481" i="3"/>
  <c r="H481" i="3"/>
  <c r="G480" i="3"/>
  <c r="I480" i="3"/>
  <c r="H480" i="3"/>
  <c r="G479" i="3"/>
  <c r="I479" i="3"/>
  <c r="H479" i="3"/>
  <c r="G478" i="3"/>
  <c r="I478" i="3"/>
  <c r="H478" i="3"/>
  <c r="G477" i="3"/>
  <c r="I477" i="3"/>
  <c r="H477" i="3"/>
  <c r="G476" i="3"/>
  <c r="I476" i="3"/>
  <c r="H476" i="3"/>
  <c r="G475" i="3"/>
  <c r="I475" i="3"/>
  <c r="H475" i="3"/>
  <c r="G474" i="3"/>
  <c r="I474" i="3"/>
  <c r="H474" i="3"/>
  <c r="G473" i="3"/>
  <c r="I473" i="3"/>
  <c r="H473" i="3"/>
  <c r="G472" i="3"/>
  <c r="I472" i="3"/>
  <c r="H472" i="3"/>
  <c r="G471" i="3"/>
  <c r="I471" i="3"/>
  <c r="H471" i="3"/>
  <c r="G470" i="3"/>
  <c r="I470" i="3"/>
  <c r="H470" i="3"/>
  <c r="G469" i="3"/>
  <c r="I469" i="3"/>
  <c r="H469" i="3"/>
  <c r="G468" i="3"/>
  <c r="I468" i="3"/>
  <c r="H468" i="3"/>
  <c r="G467" i="3"/>
  <c r="I467" i="3"/>
  <c r="H467" i="3"/>
  <c r="G466" i="3"/>
  <c r="I466" i="3"/>
  <c r="H466" i="3"/>
  <c r="G465" i="3"/>
  <c r="I465" i="3"/>
  <c r="H465" i="3"/>
  <c r="G464" i="3"/>
  <c r="I464" i="3"/>
  <c r="H464" i="3"/>
  <c r="G463" i="3"/>
  <c r="I463" i="3"/>
  <c r="H463" i="3"/>
  <c r="G462" i="3"/>
  <c r="I462" i="3"/>
  <c r="H462" i="3"/>
  <c r="G461" i="3"/>
  <c r="I461" i="3"/>
  <c r="H461" i="3"/>
  <c r="G460" i="3"/>
  <c r="I460" i="3"/>
  <c r="H460" i="3"/>
  <c r="G459" i="3"/>
  <c r="I459" i="3"/>
  <c r="H459" i="3"/>
  <c r="G458" i="3"/>
  <c r="I458" i="3"/>
  <c r="H458" i="3"/>
  <c r="G457" i="3"/>
  <c r="I457" i="3"/>
  <c r="H457" i="3"/>
  <c r="G456" i="3"/>
  <c r="I456" i="3"/>
  <c r="H456" i="3"/>
  <c r="G455" i="3"/>
  <c r="I455" i="3"/>
  <c r="H455" i="3"/>
  <c r="G454" i="3"/>
  <c r="I454" i="3"/>
  <c r="H454" i="3"/>
  <c r="G453" i="3"/>
  <c r="I453" i="3"/>
  <c r="H453" i="3"/>
  <c r="G452" i="3"/>
  <c r="I452" i="3"/>
  <c r="H452" i="3"/>
  <c r="G451" i="3"/>
  <c r="I451" i="3"/>
  <c r="H451" i="3"/>
  <c r="G450" i="3"/>
  <c r="I450" i="3"/>
  <c r="H450" i="3"/>
  <c r="G449" i="3"/>
  <c r="I449" i="3"/>
  <c r="H449" i="3"/>
  <c r="G448" i="3"/>
  <c r="I448" i="3"/>
  <c r="H448" i="3"/>
  <c r="G447" i="3"/>
  <c r="I447" i="3"/>
  <c r="H447" i="3"/>
  <c r="G446" i="3"/>
  <c r="I446" i="3"/>
  <c r="H446" i="3"/>
  <c r="G445" i="3"/>
  <c r="I445" i="3"/>
  <c r="H445" i="3"/>
  <c r="G444" i="3"/>
  <c r="I444" i="3"/>
  <c r="H444" i="3"/>
  <c r="G443" i="3"/>
  <c r="I443" i="3"/>
  <c r="H443" i="3"/>
  <c r="G442" i="3"/>
  <c r="I442" i="3"/>
  <c r="H442" i="3"/>
  <c r="G441" i="3"/>
  <c r="I441" i="3"/>
  <c r="H441" i="3"/>
  <c r="G440" i="3"/>
  <c r="I440" i="3"/>
  <c r="H440" i="3"/>
  <c r="G439" i="3"/>
  <c r="I439" i="3"/>
  <c r="H439" i="3"/>
  <c r="G438" i="3"/>
  <c r="I438" i="3"/>
  <c r="H438" i="3"/>
  <c r="G437" i="3"/>
  <c r="I437" i="3"/>
  <c r="H437" i="3"/>
  <c r="G436" i="3"/>
  <c r="I436" i="3"/>
  <c r="H436" i="3"/>
  <c r="G435" i="3"/>
  <c r="I435" i="3"/>
  <c r="H435" i="3"/>
  <c r="G434" i="3"/>
  <c r="I434" i="3"/>
  <c r="H434" i="3"/>
  <c r="G433" i="3"/>
  <c r="I433" i="3"/>
  <c r="H433" i="3"/>
  <c r="G432" i="3"/>
  <c r="I432" i="3"/>
  <c r="H432" i="3"/>
  <c r="G431" i="3"/>
  <c r="I431" i="3"/>
  <c r="H431" i="3"/>
  <c r="G430" i="3"/>
  <c r="I430" i="3"/>
  <c r="H430" i="3"/>
  <c r="G429" i="3"/>
  <c r="I429" i="3"/>
  <c r="H429" i="3"/>
  <c r="G428" i="3"/>
  <c r="I428" i="3"/>
  <c r="H428" i="3"/>
  <c r="G427" i="3"/>
  <c r="I427" i="3"/>
  <c r="H427" i="3"/>
  <c r="G426" i="3"/>
  <c r="I426" i="3"/>
  <c r="H426" i="3"/>
  <c r="G425" i="3"/>
  <c r="I425" i="3"/>
  <c r="H425" i="3"/>
  <c r="G424" i="3"/>
  <c r="I424" i="3"/>
  <c r="H424" i="3"/>
  <c r="G423" i="3"/>
  <c r="I423" i="3"/>
  <c r="H423" i="3"/>
  <c r="G422" i="3"/>
  <c r="I422" i="3"/>
  <c r="H422" i="3"/>
  <c r="G421" i="3"/>
  <c r="I421" i="3"/>
  <c r="H421" i="3"/>
  <c r="G420" i="3"/>
  <c r="I420" i="3"/>
  <c r="H420" i="3"/>
  <c r="G419" i="3"/>
  <c r="I419" i="3"/>
  <c r="H419" i="3"/>
  <c r="G418" i="3"/>
  <c r="I418" i="3"/>
  <c r="H418" i="3"/>
  <c r="G417" i="3"/>
  <c r="I417" i="3"/>
  <c r="H417" i="3"/>
  <c r="G416" i="3"/>
  <c r="I416" i="3"/>
  <c r="H416" i="3"/>
  <c r="G415" i="3"/>
  <c r="I415" i="3"/>
  <c r="H415" i="3"/>
  <c r="G414" i="3"/>
  <c r="I414" i="3"/>
  <c r="H414" i="3"/>
  <c r="G413" i="3"/>
  <c r="I413" i="3"/>
  <c r="H413" i="3"/>
  <c r="G412" i="3"/>
  <c r="I412" i="3"/>
  <c r="H412" i="3"/>
  <c r="G411" i="3"/>
  <c r="I411" i="3"/>
  <c r="H411" i="3"/>
  <c r="G410" i="3"/>
  <c r="I410" i="3"/>
  <c r="H410" i="3"/>
  <c r="G409" i="3"/>
  <c r="I409" i="3"/>
  <c r="H409" i="3"/>
  <c r="G408" i="3"/>
  <c r="I408" i="3"/>
  <c r="H408" i="3"/>
  <c r="G407" i="3"/>
  <c r="I407" i="3"/>
  <c r="H407" i="3"/>
  <c r="G406" i="3"/>
  <c r="I406" i="3"/>
  <c r="H406" i="3"/>
  <c r="G405" i="3"/>
  <c r="I405" i="3"/>
  <c r="H405" i="3"/>
  <c r="G404" i="3"/>
  <c r="I404" i="3"/>
  <c r="H404" i="3"/>
  <c r="G403" i="3"/>
  <c r="I403" i="3"/>
  <c r="H403" i="3"/>
  <c r="G402" i="3"/>
  <c r="I402" i="3"/>
  <c r="H402" i="3"/>
  <c r="G401" i="3"/>
  <c r="I401" i="3"/>
  <c r="H401" i="3"/>
  <c r="G400" i="3"/>
  <c r="I400" i="3"/>
  <c r="H400" i="3"/>
  <c r="G399" i="3"/>
  <c r="I399" i="3"/>
  <c r="H399" i="3"/>
  <c r="G398" i="3"/>
  <c r="I398" i="3"/>
  <c r="H398" i="3"/>
  <c r="G397" i="3"/>
  <c r="I397" i="3"/>
  <c r="H397" i="3"/>
  <c r="G396" i="3"/>
  <c r="I396" i="3"/>
  <c r="H396" i="3"/>
  <c r="G395" i="3"/>
  <c r="I395" i="3"/>
  <c r="H395" i="3"/>
  <c r="G394" i="3"/>
  <c r="I394" i="3"/>
  <c r="H394" i="3"/>
  <c r="G393" i="3"/>
  <c r="I393" i="3"/>
  <c r="H393" i="3"/>
  <c r="G392" i="3"/>
  <c r="I392" i="3"/>
  <c r="H392" i="3"/>
  <c r="G391" i="3"/>
  <c r="I391" i="3"/>
  <c r="H391" i="3"/>
  <c r="G390" i="3"/>
  <c r="I390" i="3"/>
  <c r="H390" i="3"/>
  <c r="G389" i="3"/>
  <c r="I389" i="3"/>
  <c r="H389" i="3"/>
  <c r="G388" i="3"/>
  <c r="I388" i="3"/>
  <c r="H388" i="3"/>
  <c r="G387" i="3"/>
  <c r="I387" i="3"/>
  <c r="H387" i="3"/>
  <c r="G386" i="3"/>
  <c r="I386" i="3"/>
  <c r="H386" i="3"/>
  <c r="G385" i="3"/>
  <c r="I385" i="3"/>
  <c r="H385" i="3"/>
  <c r="G384" i="3"/>
  <c r="I384" i="3"/>
  <c r="H384" i="3"/>
  <c r="G383" i="3"/>
  <c r="I383" i="3"/>
  <c r="H383" i="3"/>
  <c r="G382" i="3"/>
  <c r="I382" i="3"/>
  <c r="H382" i="3"/>
  <c r="G381" i="3"/>
  <c r="I381" i="3"/>
  <c r="H381" i="3"/>
  <c r="G380" i="3"/>
  <c r="I380" i="3"/>
  <c r="H380" i="3"/>
  <c r="G379" i="3"/>
  <c r="I379" i="3"/>
  <c r="H379" i="3"/>
  <c r="G378" i="3"/>
  <c r="I378" i="3"/>
  <c r="H378" i="3"/>
  <c r="G377" i="3"/>
  <c r="I377" i="3"/>
  <c r="H377" i="3"/>
  <c r="G376" i="3"/>
  <c r="I376" i="3"/>
  <c r="H376" i="3"/>
  <c r="G375" i="3"/>
  <c r="I375" i="3"/>
  <c r="H375" i="3"/>
  <c r="G374" i="3"/>
  <c r="I374" i="3"/>
  <c r="H374" i="3"/>
  <c r="G373" i="3"/>
  <c r="I373" i="3"/>
  <c r="H373" i="3"/>
  <c r="G372" i="3"/>
  <c r="I372" i="3"/>
  <c r="H372" i="3"/>
  <c r="G371" i="3"/>
  <c r="I371" i="3"/>
  <c r="H371" i="3"/>
  <c r="G370" i="3"/>
  <c r="I370" i="3"/>
  <c r="H370" i="3"/>
  <c r="G369" i="3"/>
  <c r="I369" i="3"/>
  <c r="H369" i="3"/>
  <c r="G368" i="3"/>
  <c r="I368" i="3"/>
  <c r="H368" i="3"/>
  <c r="G367" i="3"/>
  <c r="I367" i="3"/>
  <c r="H367" i="3"/>
  <c r="G366" i="3"/>
  <c r="I366" i="3"/>
  <c r="H366" i="3"/>
  <c r="G365" i="3"/>
  <c r="I365" i="3"/>
  <c r="H365" i="3"/>
  <c r="G364" i="3"/>
  <c r="I364" i="3"/>
  <c r="H364" i="3"/>
  <c r="G363" i="3"/>
  <c r="I363" i="3"/>
  <c r="H363" i="3"/>
  <c r="G362" i="3"/>
  <c r="I362" i="3"/>
  <c r="H362" i="3"/>
  <c r="G361" i="3"/>
  <c r="I361" i="3"/>
  <c r="H361" i="3"/>
  <c r="G360" i="3"/>
  <c r="I360" i="3"/>
  <c r="H360" i="3"/>
  <c r="G359" i="3"/>
  <c r="I359" i="3"/>
  <c r="H359" i="3"/>
  <c r="G358" i="3"/>
  <c r="I358" i="3"/>
  <c r="H358" i="3"/>
  <c r="G357" i="3"/>
  <c r="I357" i="3"/>
  <c r="H357" i="3"/>
  <c r="G356" i="3"/>
  <c r="I356" i="3"/>
  <c r="H356" i="3"/>
  <c r="G355" i="3"/>
  <c r="I355" i="3"/>
  <c r="H355" i="3"/>
  <c r="G354" i="3"/>
  <c r="I354" i="3"/>
  <c r="H354" i="3"/>
  <c r="G353" i="3"/>
  <c r="I353" i="3"/>
  <c r="H353" i="3"/>
  <c r="G352" i="3"/>
  <c r="I352" i="3"/>
  <c r="H352" i="3"/>
  <c r="G351" i="3"/>
  <c r="I351" i="3"/>
  <c r="H351" i="3"/>
  <c r="G350" i="3"/>
  <c r="I350" i="3"/>
  <c r="H350" i="3"/>
  <c r="G349" i="3"/>
  <c r="I349" i="3"/>
  <c r="H349" i="3"/>
  <c r="G348" i="3"/>
  <c r="I348" i="3"/>
  <c r="H348" i="3"/>
  <c r="G347" i="3"/>
  <c r="I347" i="3"/>
  <c r="H347" i="3"/>
  <c r="G346" i="3"/>
  <c r="I346" i="3"/>
  <c r="H346" i="3"/>
  <c r="G345" i="3"/>
  <c r="I345" i="3"/>
  <c r="H345" i="3"/>
  <c r="G344" i="3"/>
  <c r="I344" i="3"/>
  <c r="H344" i="3"/>
  <c r="G343" i="3"/>
  <c r="I343" i="3"/>
  <c r="H343" i="3"/>
  <c r="G342" i="3"/>
  <c r="I342" i="3"/>
  <c r="H342" i="3"/>
  <c r="G341" i="3"/>
  <c r="I341" i="3"/>
  <c r="H341" i="3"/>
  <c r="G340" i="3"/>
  <c r="I340" i="3"/>
  <c r="H340" i="3"/>
  <c r="G339" i="3"/>
  <c r="I339" i="3"/>
  <c r="H339" i="3"/>
  <c r="G338" i="3"/>
  <c r="I338" i="3"/>
  <c r="H338" i="3"/>
  <c r="G337" i="3"/>
  <c r="I337" i="3"/>
  <c r="H337" i="3"/>
  <c r="G336" i="3"/>
  <c r="I336" i="3"/>
  <c r="H336" i="3"/>
  <c r="G335" i="3"/>
  <c r="I335" i="3"/>
  <c r="H335" i="3"/>
  <c r="G334" i="3"/>
  <c r="I334" i="3"/>
  <c r="H334" i="3"/>
  <c r="G333" i="3"/>
  <c r="I333" i="3"/>
  <c r="H333" i="3"/>
  <c r="G332" i="3"/>
  <c r="I332" i="3"/>
  <c r="H332" i="3"/>
  <c r="G331" i="3"/>
  <c r="I331" i="3"/>
  <c r="H331" i="3"/>
  <c r="G330" i="3"/>
  <c r="I330" i="3"/>
  <c r="H330" i="3"/>
  <c r="G329" i="3"/>
  <c r="I329" i="3"/>
  <c r="H329" i="3"/>
  <c r="G328" i="3"/>
  <c r="I328" i="3"/>
  <c r="H328" i="3"/>
  <c r="G327" i="3"/>
  <c r="I327" i="3"/>
  <c r="H327" i="3"/>
  <c r="G326" i="3"/>
  <c r="I326" i="3"/>
  <c r="H326" i="3"/>
  <c r="G325" i="3"/>
  <c r="I325" i="3"/>
  <c r="H325" i="3"/>
  <c r="G324" i="3"/>
  <c r="I324" i="3"/>
  <c r="H324" i="3"/>
  <c r="G323" i="3"/>
  <c r="I323" i="3"/>
  <c r="H323" i="3"/>
  <c r="G322" i="3"/>
  <c r="I322" i="3"/>
  <c r="H322" i="3"/>
  <c r="G321" i="3"/>
  <c r="I321" i="3"/>
  <c r="H321" i="3"/>
  <c r="G320" i="3"/>
  <c r="I320" i="3"/>
  <c r="H320" i="3"/>
  <c r="G319" i="3"/>
  <c r="I319" i="3"/>
  <c r="H319" i="3"/>
  <c r="G318" i="3"/>
  <c r="I318" i="3"/>
  <c r="H318" i="3"/>
  <c r="G317" i="3"/>
  <c r="I317" i="3"/>
  <c r="H317" i="3"/>
  <c r="G316" i="3"/>
  <c r="I316" i="3"/>
  <c r="H316" i="3"/>
  <c r="G315" i="3"/>
  <c r="I315" i="3"/>
  <c r="H315" i="3"/>
  <c r="G314" i="3"/>
  <c r="I314" i="3"/>
  <c r="H314" i="3"/>
  <c r="G313" i="3"/>
  <c r="I313" i="3"/>
  <c r="H313" i="3"/>
  <c r="G312" i="3"/>
  <c r="I312" i="3"/>
  <c r="H312" i="3"/>
  <c r="G311" i="3"/>
  <c r="I311" i="3"/>
  <c r="H311" i="3"/>
  <c r="G310" i="3"/>
  <c r="I310" i="3"/>
  <c r="H310" i="3"/>
  <c r="G309" i="3"/>
  <c r="I309" i="3"/>
  <c r="H309" i="3"/>
  <c r="G308" i="3"/>
  <c r="I308" i="3"/>
  <c r="H308" i="3"/>
  <c r="G307" i="3"/>
  <c r="I307" i="3"/>
  <c r="H307" i="3"/>
  <c r="G306" i="3"/>
  <c r="I306" i="3"/>
  <c r="H306" i="3"/>
  <c r="G305" i="3"/>
  <c r="I305" i="3"/>
  <c r="H305" i="3"/>
  <c r="G304" i="3"/>
  <c r="I304" i="3"/>
  <c r="H304" i="3"/>
  <c r="G303" i="3"/>
  <c r="I303" i="3"/>
  <c r="H303" i="3"/>
  <c r="G302" i="3"/>
  <c r="I302" i="3"/>
  <c r="H302" i="3"/>
  <c r="G301" i="3"/>
  <c r="I301" i="3"/>
  <c r="H301" i="3"/>
  <c r="G300" i="3"/>
  <c r="I300" i="3"/>
  <c r="H300" i="3"/>
  <c r="G299" i="3"/>
  <c r="I299" i="3"/>
  <c r="H299" i="3"/>
  <c r="G298" i="3"/>
  <c r="I298" i="3"/>
  <c r="H298" i="3"/>
  <c r="G297" i="3"/>
  <c r="I297" i="3"/>
  <c r="H297" i="3"/>
  <c r="G296" i="3"/>
  <c r="I296" i="3"/>
  <c r="H296" i="3"/>
  <c r="G295" i="3"/>
  <c r="I295" i="3"/>
  <c r="H295" i="3"/>
  <c r="G294" i="3"/>
  <c r="I294" i="3"/>
  <c r="H294" i="3"/>
  <c r="G293" i="3"/>
  <c r="I293" i="3"/>
  <c r="H293" i="3"/>
  <c r="G292" i="3"/>
  <c r="I292" i="3"/>
  <c r="H292" i="3"/>
  <c r="G291" i="3"/>
  <c r="I291" i="3"/>
  <c r="H291" i="3"/>
  <c r="G290" i="3"/>
  <c r="I290" i="3"/>
  <c r="H290" i="3"/>
  <c r="G289" i="3"/>
  <c r="I289" i="3"/>
  <c r="H289" i="3"/>
  <c r="G288" i="3"/>
  <c r="I288" i="3"/>
  <c r="H288" i="3"/>
  <c r="G287" i="3"/>
  <c r="I287" i="3"/>
  <c r="H287" i="3"/>
  <c r="G286" i="3"/>
  <c r="I286" i="3"/>
  <c r="H286" i="3"/>
  <c r="G285" i="3"/>
  <c r="I285" i="3"/>
  <c r="H285" i="3"/>
  <c r="G284" i="3"/>
  <c r="I284" i="3"/>
  <c r="H284" i="3"/>
  <c r="G283" i="3"/>
  <c r="I283" i="3"/>
  <c r="H283" i="3"/>
  <c r="G282" i="3"/>
  <c r="I282" i="3"/>
  <c r="H282" i="3"/>
  <c r="G281" i="3"/>
  <c r="I281" i="3"/>
  <c r="H281" i="3"/>
  <c r="G280" i="3"/>
  <c r="I280" i="3"/>
  <c r="H280" i="3"/>
  <c r="G279" i="3"/>
  <c r="I279" i="3"/>
  <c r="H279" i="3"/>
  <c r="G278" i="3"/>
  <c r="I278" i="3"/>
  <c r="H278" i="3"/>
  <c r="G277" i="3"/>
  <c r="I277" i="3"/>
  <c r="H277" i="3"/>
  <c r="G276" i="3"/>
  <c r="I276" i="3"/>
  <c r="H276" i="3"/>
  <c r="G275" i="3"/>
  <c r="I275" i="3"/>
  <c r="H275" i="3"/>
  <c r="G274" i="3"/>
  <c r="I274" i="3"/>
  <c r="H274" i="3"/>
  <c r="G273" i="3"/>
  <c r="I273" i="3"/>
  <c r="H273" i="3"/>
  <c r="G272" i="3"/>
  <c r="I272" i="3"/>
  <c r="H272" i="3"/>
  <c r="G271" i="3"/>
  <c r="I271" i="3"/>
  <c r="H271" i="3"/>
  <c r="G270" i="3"/>
  <c r="I270" i="3"/>
  <c r="H270" i="3"/>
  <c r="G269" i="3"/>
  <c r="I269" i="3"/>
  <c r="H269" i="3"/>
  <c r="G268" i="3"/>
  <c r="I268" i="3"/>
  <c r="H268" i="3"/>
  <c r="G267" i="3"/>
  <c r="I267" i="3"/>
  <c r="H267" i="3"/>
  <c r="G266" i="3"/>
  <c r="I266" i="3"/>
  <c r="H266" i="3"/>
  <c r="G265" i="3"/>
  <c r="I265" i="3"/>
  <c r="H265" i="3"/>
  <c r="G264" i="3"/>
  <c r="I264" i="3"/>
  <c r="H264" i="3"/>
  <c r="G263" i="3"/>
  <c r="I263" i="3"/>
  <c r="H263" i="3"/>
  <c r="G262" i="3"/>
  <c r="I262" i="3"/>
  <c r="H262" i="3"/>
  <c r="G261" i="3"/>
  <c r="I261" i="3"/>
  <c r="H261" i="3"/>
  <c r="G260" i="3"/>
  <c r="I260" i="3"/>
  <c r="H260" i="3"/>
  <c r="G259" i="3"/>
  <c r="I259" i="3"/>
  <c r="H259" i="3"/>
  <c r="G258" i="3"/>
  <c r="I258" i="3"/>
  <c r="H258" i="3"/>
  <c r="G257" i="3"/>
  <c r="I257" i="3"/>
  <c r="H257" i="3"/>
  <c r="G256" i="3"/>
  <c r="I256" i="3"/>
  <c r="H256" i="3"/>
  <c r="G255" i="3"/>
  <c r="I255" i="3"/>
  <c r="H255" i="3"/>
  <c r="G254" i="3"/>
  <c r="I254" i="3"/>
  <c r="H254" i="3"/>
  <c r="G253" i="3"/>
  <c r="I253" i="3"/>
  <c r="H253" i="3"/>
  <c r="G252" i="3"/>
  <c r="I252" i="3"/>
  <c r="H252" i="3"/>
  <c r="G251" i="3"/>
  <c r="I251" i="3"/>
  <c r="H251" i="3"/>
  <c r="G250" i="3"/>
  <c r="I250" i="3"/>
  <c r="H250" i="3"/>
  <c r="G249" i="3"/>
  <c r="I249" i="3"/>
  <c r="H249" i="3"/>
  <c r="G248" i="3"/>
  <c r="I248" i="3"/>
  <c r="H248" i="3"/>
  <c r="G247" i="3"/>
  <c r="I247" i="3"/>
  <c r="H247" i="3"/>
  <c r="G246" i="3"/>
  <c r="I246" i="3"/>
  <c r="H246" i="3"/>
  <c r="G245" i="3"/>
  <c r="I245" i="3"/>
  <c r="H245" i="3"/>
  <c r="G244" i="3"/>
  <c r="I244" i="3"/>
  <c r="H244" i="3"/>
  <c r="G243" i="3"/>
  <c r="I243" i="3"/>
  <c r="H243" i="3"/>
  <c r="G242" i="3"/>
  <c r="I242" i="3"/>
  <c r="H242" i="3"/>
  <c r="G241" i="3"/>
  <c r="I241" i="3"/>
  <c r="H241" i="3"/>
  <c r="G240" i="3"/>
  <c r="I240" i="3"/>
  <c r="H240" i="3"/>
  <c r="G239" i="3"/>
  <c r="I239" i="3"/>
  <c r="H239" i="3"/>
  <c r="G238" i="3"/>
  <c r="I238" i="3"/>
  <c r="H238" i="3"/>
  <c r="G237" i="3"/>
  <c r="I237" i="3"/>
  <c r="H237" i="3"/>
  <c r="G236" i="3"/>
  <c r="I236" i="3"/>
  <c r="H236" i="3"/>
  <c r="G235" i="3"/>
  <c r="I235" i="3"/>
  <c r="H235" i="3"/>
  <c r="G234" i="3"/>
  <c r="I234" i="3"/>
  <c r="H234" i="3"/>
  <c r="G233" i="3"/>
  <c r="I233" i="3"/>
  <c r="H233" i="3"/>
  <c r="G232" i="3"/>
  <c r="I232" i="3"/>
  <c r="H232" i="3"/>
  <c r="G231" i="3"/>
  <c r="I231" i="3"/>
  <c r="H231" i="3"/>
  <c r="G230" i="3"/>
  <c r="I230" i="3"/>
  <c r="H230" i="3"/>
  <c r="G229" i="3"/>
  <c r="I229" i="3"/>
  <c r="H229" i="3"/>
  <c r="G228" i="3"/>
  <c r="I228" i="3"/>
  <c r="H228" i="3"/>
  <c r="G227" i="3"/>
  <c r="I227" i="3"/>
  <c r="H227" i="3"/>
  <c r="G226" i="3"/>
  <c r="I226" i="3"/>
  <c r="H226" i="3"/>
  <c r="G225" i="3"/>
  <c r="I225" i="3"/>
  <c r="H225" i="3"/>
  <c r="G224" i="3"/>
  <c r="I224" i="3"/>
  <c r="H224" i="3"/>
  <c r="G223" i="3"/>
  <c r="I223" i="3"/>
  <c r="H223" i="3"/>
  <c r="G222" i="3"/>
  <c r="I222" i="3"/>
  <c r="H222" i="3"/>
  <c r="G221" i="3"/>
  <c r="I221" i="3"/>
  <c r="H221" i="3"/>
  <c r="G220" i="3"/>
  <c r="I220" i="3"/>
  <c r="H220" i="3"/>
  <c r="G219" i="3"/>
  <c r="I219" i="3"/>
  <c r="H219" i="3"/>
  <c r="G218" i="3"/>
  <c r="I218" i="3"/>
  <c r="H218" i="3"/>
  <c r="G217" i="3"/>
  <c r="I217" i="3"/>
  <c r="H217" i="3"/>
  <c r="G216" i="3"/>
  <c r="I216" i="3"/>
  <c r="H216" i="3"/>
  <c r="G215" i="3"/>
  <c r="I215" i="3"/>
  <c r="H215" i="3"/>
  <c r="G214" i="3"/>
  <c r="I214" i="3"/>
  <c r="H214" i="3"/>
  <c r="G213" i="3"/>
  <c r="I213" i="3"/>
  <c r="H213" i="3"/>
  <c r="G212" i="3"/>
  <c r="I212" i="3"/>
  <c r="H212" i="3"/>
  <c r="G211" i="3"/>
  <c r="I211" i="3"/>
  <c r="H211" i="3"/>
  <c r="G210" i="3"/>
  <c r="I210" i="3"/>
  <c r="H210" i="3"/>
  <c r="G209" i="3"/>
  <c r="I209" i="3"/>
  <c r="H209" i="3"/>
  <c r="G208" i="3"/>
  <c r="I208" i="3"/>
  <c r="H208" i="3"/>
  <c r="G207" i="3"/>
  <c r="I207" i="3"/>
  <c r="H207" i="3"/>
  <c r="G206" i="3"/>
  <c r="I206" i="3"/>
  <c r="H206" i="3"/>
  <c r="G205" i="3"/>
  <c r="I205" i="3"/>
  <c r="H205" i="3"/>
  <c r="G204" i="3"/>
  <c r="I204" i="3"/>
  <c r="H204" i="3"/>
  <c r="G203" i="3"/>
  <c r="I203" i="3"/>
  <c r="H203" i="3"/>
  <c r="G202" i="3"/>
  <c r="I202" i="3"/>
  <c r="H202" i="3"/>
  <c r="G201" i="3"/>
  <c r="I201" i="3"/>
  <c r="H201" i="3"/>
  <c r="G200" i="3"/>
  <c r="I200" i="3"/>
  <c r="H200" i="3"/>
  <c r="G199" i="3"/>
  <c r="I199" i="3"/>
  <c r="H199" i="3"/>
  <c r="G198" i="3"/>
  <c r="I198" i="3"/>
  <c r="H198" i="3"/>
  <c r="G197" i="3"/>
  <c r="I197" i="3"/>
  <c r="H197" i="3"/>
  <c r="G196" i="3"/>
  <c r="I196" i="3"/>
  <c r="H196" i="3"/>
  <c r="G195" i="3"/>
  <c r="I195" i="3"/>
  <c r="H195" i="3"/>
  <c r="G194" i="3"/>
  <c r="I194" i="3"/>
  <c r="H194" i="3"/>
  <c r="G193" i="3"/>
  <c r="I193" i="3"/>
  <c r="H193" i="3"/>
  <c r="G192" i="3"/>
  <c r="I192" i="3"/>
  <c r="H192" i="3"/>
  <c r="G191" i="3"/>
  <c r="I191" i="3"/>
  <c r="H191" i="3"/>
  <c r="G190" i="3"/>
  <c r="I190" i="3"/>
  <c r="H190" i="3"/>
  <c r="G189" i="3"/>
  <c r="I189" i="3"/>
  <c r="H189" i="3"/>
  <c r="G188" i="3"/>
  <c r="I188" i="3"/>
  <c r="H188" i="3"/>
  <c r="G187" i="3"/>
  <c r="I187" i="3"/>
  <c r="H187" i="3"/>
  <c r="G186" i="3"/>
  <c r="I186" i="3"/>
  <c r="H186" i="3"/>
  <c r="G185" i="3"/>
  <c r="I185" i="3"/>
  <c r="H185" i="3"/>
  <c r="G184" i="3"/>
  <c r="I184" i="3"/>
  <c r="H184" i="3"/>
  <c r="G183" i="3"/>
  <c r="I183" i="3"/>
  <c r="H183" i="3"/>
  <c r="G182" i="3"/>
  <c r="I182" i="3"/>
  <c r="H182" i="3"/>
  <c r="G181" i="3"/>
  <c r="I181" i="3"/>
  <c r="H181" i="3"/>
  <c r="G180" i="3"/>
  <c r="I180" i="3"/>
  <c r="H180" i="3"/>
  <c r="G179" i="3"/>
  <c r="I179" i="3"/>
  <c r="H179" i="3"/>
  <c r="G178" i="3"/>
  <c r="I178" i="3"/>
  <c r="H178" i="3"/>
  <c r="G177" i="3"/>
  <c r="I177" i="3"/>
  <c r="H177" i="3"/>
  <c r="G176" i="3"/>
  <c r="I176" i="3"/>
  <c r="H176" i="3"/>
  <c r="G175" i="3"/>
  <c r="I175" i="3"/>
  <c r="H175" i="3"/>
  <c r="G174" i="3"/>
  <c r="I174" i="3"/>
  <c r="H174" i="3"/>
  <c r="G173" i="3"/>
  <c r="I173" i="3"/>
  <c r="H173" i="3"/>
  <c r="G172" i="3"/>
  <c r="I172" i="3"/>
  <c r="H172" i="3"/>
  <c r="G171" i="3"/>
  <c r="I171" i="3"/>
  <c r="H171" i="3"/>
  <c r="G170" i="3"/>
  <c r="I170" i="3"/>
  <c r="H170" i="3"/>
  <c r="G169" i="3"/>
  <c r="I169" i="3"/>
  <c r="H169" i="3"/>
  <c r="G168" i="3"/>
  <c r="I168" i="3"/>
  <c r="H168" i="3"/>
  <c r="G167" i="3"/>
  <c r="I167" i="3"/>
  <c r="H167" i="3"/>
  <c r="G166" i="3"/>
  <c r="I166" i="3"/>
  <c r="H166" i="3"/>
  <c r="G165" i="3"/>
  <c r="I165" i="3"/>
  <c r="H165" i="3"/>
  <c r="G164" i="3"/>
  <c r="I164" i="3"/>
  <c r="H164" i="3"/>
  <c r="G163" i="3"/>
  <c r="I163" i="3"/>
  <c r="H163" i="3"/>
  <c r="G162" i="3"/>
  <c r="I162" i="3"/>
  <c r="H162" i="3"/>
  <c r="G161" i="3"/>
  <c r="I161" i="3"/>
  <c r="H161" i="3"/>
  <c r="G160" i="3"/>
  <c r="I160" i="3"/>
  <c r="H160" i="3"/>
  <c r="G159" i="3"/>
  <c r="I159" i="3"/>
  <c r="H159" i="3"/>
  <c r="G158" i="3"/>
  <c r="I158" i="3"/>
  <c r="H158" i="3"/>
  <c r="G157" i="3"/>
  <c r="I157" i="3"/>
  <c r="H157" i="3"/>
  <c r="G156" i="3"/>
  <c r="I156" i="3"/>
  <c r="H156" i="3"/>
  <c r="G155" i="3"/>
  <c r="I155" i="3"/>
  <c r="H155" i="3"/>
  <c r="G154" i="3"/>
  <c r="I154" i="3"/>
  <c r="H154" i="3"/>
  <c r="G153" i="3"/>
  <c r="I153" i="3"/>
  <c r="H153" i="3"/>
  <c r="G152" i="3"/>
  <c r="I152" i="3"/>
  <c r="H152" i="3"/>
  <c r="G151" i="3"/>
  <c r="I151" i="3"/>
  <c r="H151" i="3"/>
  <c r="G150" i="3"/>
  <c r="I150" i="3"/>
  <c r="H150" i="3"/>
  <c r="G149" i="3"/>
  <c r="I149" i="3"/>
  <c r="H149" i="3"/>
  <c r="G148" i="3"/>
  <c r="I148" i="3"/>
  <c r="H148" i="3"/>
  <c r="G147" i="3"/>
  <c r="I147" i="3"/>
  <c r="H147" i="3"/>
  <c r="G146" i="3"/>
  <c r="I146" i="3"/>
  <c r="H146" i="3"/>
  <c r="G145" i="3"/>
  <c r="I145" i="3"/>
  <c r="H145" i="3"/>
  <c r="G144" i="3"/>
  <c r="I144" i="3"/>
  <c r="H144" i="3"/>
  <c r="G143" i="3"/>
  <c r="I143" i="3"/>
  <c r="H143" i="3"/>
  <c r="G142" i="3"/>
  <c r="I142" i="3"/>
  <c r="H142" i="3"/>
  <c r="G141" i="3"/>
  <c r="I141" i="3"/>
  <c r="H141" i="3"/>
  <c r="G140" i="3"/>
  <c r="I140" i="3"/>
  <c r="H140" i="3"/>
  <c r="G139" i="3"/>
  <c r="I139" i="3"/>
  <c r="H139" i="3"/>
  <c r="G138" i="3"/>
  <c r="I138" i="3"/>
  <c r="H138" i="3"/>
  <c r="G137" i="3"/>
  <c r="I137" i="3"/>
  <c r="H137" i="3"/>
  <c r="G136" i="3"/>
  <c r="I136" i="3"/>
  <c r="H136" i="3"/>
  <c r="G135" i="3"/>
  <c r="I135" i="3"/>
  <c r="H135" i="3"/>
  <c r="G134" i="3"/>
  <c r="I134" i="3"/>
  <c r="H134" i="3"/>
  <c r="G133" i="3"/>
  <c r="I133" i="3"/>
  <c r="H133" i="3"/>
  <c r="G132" i="3"/>
  <c r="I132" i="3"/>
  <c r="H132" i="3"/>
  <c r="G131" i="3"/>
  <c r="I131" i="3"/>
  <c r="H131" i="3"/>
  <c r="G130" i="3"/>
  <c r="I130" i="3"/>
  <c r="H130" i="3"/>
  <c r="G129" i="3"/>
  <c r="I129" i="3"/>
  <c r="H129" i="3"/>
  <c r="G128" i="3"/>
  <c r="I128" i="3"/>
  <c r="H128" i="3"/>
  <c r="G127" i="3"/>
  <c r="I127" i="3"/>
  <c r="H127" i="3"/>
  <c r="G126" i="3"/>
  <c r="I126" i="3"/>
  <c r="H126" i="3"/>
  <c r="G125" i="3"/>
  <c r="I125" i="3"/>
  <c r="H125" i="3"/>
  <c r="G124" i="3"/>
  <c r="I124" i="3"/>
  <c r="H124" i="3"/>
  <c r="G123" i="3"/>
  <c r="I123" i="3"/>
  <c r="H123" i="3"/>
  <c r="G122" i="3"/>
  <c r="I122" i="3"/>
  <c r="H122" i="3"/>
  <c r="G121" i="3"/>
  <c r="I121" i="3"/>
  <c r="H121" i="3"/>
  <c r="G120" i="3"/>
  <c r="I120" i="3"/>
  <c r="H120" i="3"/>
  <c r="G119" i="3"/>
  <c r="I119" i="3"/>
  <c r="H119" i="3"/>
  <c r="G118" i="3"/>
  <c r="I118" i="3"/>
  <c r="H118" i="3"/>
  <c r="G117" i="3"/>
  <c r="I117" i="3"/>
  <c r="H117" i="3"/>
  <c r="G116" i="3"/>
  <c r="I116" i="3"/>
  <c r="H116" i="3"/>
  <c r="G115" i="3"/>
  <c r="I115" i="3"/>
  <c r="H115" i="3"/>
  <c r="G114" i="3"/>
  <c r="I114" i="3"/>
  <c r="H114" i="3"/>
  <c r="G113" i="3"/>
  <c r="I113" i="3"/>
  <c r="H113" i="3"/>
  <c r="G112" i="3"/>
  <c r="I112" i="3"/>
  <c r="H112" i="3"/>
  <c r="G111" i="3"/>
  <c r="I111" i="3"/>
  <c r="H111" i="3"/>
  <c r="G110" i="3"/>
  <c r="I110" i="3"/>
  <c r="H110" i="3"/>
  <c r="G109" i="3"/>
  <c r="I109" i="3"/>
  <c r="H109" i="3"/>
  <c r="G108" i="3"/>
  <c r="I108" i="3"/>
  <c r="H108" i="3"/>
  <c r="G107" i="3"/>
  <c r="I107" i="3"/>
  <c r="H107" i="3"/>
  <c r="G106" i="3"/>
  <c r="I106" i="3"/>
  <c r="H106" i="3"/>
  <c r="G105" i="3"/>
  <c r="I105" i="3"/>
  <c r="H105" i="3"/>
  <c r="G104" i="3"/>
  <c r="I104" i="3"/>
  <c r="H104" i="3"/>
  <c r="G103" i="3"/>
  <c r="I103" i="3"/>
  <c r="H103" i="3"/>
  <c r="G102" i="3"/>
  <c r="I102" i="3"/>
  <c r="H102" i="3"/>
  <c r="G101" i="3"/>
  <c r="I101" i="3"/>
  <c r="H101" i="3"/>
  <c r="G100" i="3"/>
  <c r="I100" i="3"/>
  <c r="H100" i="3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C14" i="2"/>
</calcChain>
</file>

<file path=xl/sharedStrings.xml><?xml version="1.0" encoding="utf-8"?>
<sst xmlns="http://schemas.openxmlformats.org/spreadsheetml/2006/main" count="187" uniqueCount="125">
  <si>
    <t>x</t>
  </si>
  <si>
    <t>sample size</t>
  </si>
  <si>
    <t>X</t>
  </si>
  <si>
    <t>_</t>
  </si>
  <si>
    <t>s.d.</t>
  </si>
  <si>
    <t>s.e.m.</t>
  </si>
  <si>
    <t>y</t>
  </si>
  <si>
    <t>ybar</t>
  </si>
  <si>
    <t>N(0,1)</t>
  </si>
  <si>
    <t>i</t>
  </si>
  <si>
    <t>xmin</t>
  </si>
  <si>
    <t>xmax</t>
  </si>
  <si>
    <t>n</t>
  </si>
  <si>
    <t>N(0,1) | x&gt;x*</t>
  </si>
  <si>
    <t>pointx</t>
  </si>
  <si>
    <t>pointy</t>
  </si>
  <si>
    <t>random sample</t>
  </si>
  <si>
    <t>min</t>
  </si>
  <si>
    <t>max</t>
  </si>
  <si>
    <t>df</t>
  </si>
  <si>
    <t>t</t>
  </si>
  <si>
    <t>sample t point</t>
  </si>
  <si>
    <t>t&gt;samplet</t>
  </si>
  <si>
    <t>μ</t>
  </si>
  <si>
    <t xml:space="preserve">σ </t>
  </si>
  <si>
    <t>Supplementary Information</t>
  </si>
  <si>
    <t>POINTS OF SIGNIFICANCE</t>
  </si>
  <si>
    <t>Martin Krzywinski &amp; Naomi Altman</t>
  </si>
  <si>
    <t>INSTRUCTIONS</t>
  </si>
  <si>
    <t>CONTENTS</t>
  </si>
  <si>
    <t>Worksheets illustrate calculations that support statements in the column or provide interactive versions of its figures.</t>
  </si>
  <si>
    <t>worksheet</t>
  </si>
  <si>
    <t>topic</t>
  </si>
  <si>
    <t>sample</t>
  </si>
  <si>
    <t>mean</t>
  </si>
  <si>
    <t>t(x,df)</t>
  </si>
  <si>
    <t>freq(t)</t>
  </si>
  <si>
    <t>bin</t>
  </si>
  <si>
    <t>nfreq(t)</t>
  </si>
  <si>
    <t>gauss(x)</t>
  </si>
  <si>
    <t>samples</t>
  </si>
  <si>
    <t xml:space="preserve"> </t>
  </si>
  <si>
    <t>population distribution</t>
  </si>
  <si>
    <t>ncdf</t>
  </si>
  <si>
    <t>pointycdf</t>
  </si>
  <si>
    <t>Click after changing values</t>
  </si>
  <si>
    <t>norm</t>
  </si>
  <si>
    <t>cumulative</t>
  </si>
  <si>
    <t>diff</t>
  </si>
  <si>
    <t>reference</t>
  </si>
  <si>
    <t>sample statistics</t>
  </si>
  <si>
    <t>test statistic</t>
  </si>
  <si>
    <r>
      <t xml:space="preserve"> = </t>
    </r>
    <r>
      <rPr>
        <i/>
        <sz val="12"/>
        <color theme="1"/>
        <rFont val="Arial"/>
        <family val="2"/>
      </rPr>
      <t>n</t>
    </r>
    <r>
      <rPr>
        <sz val="12"/>
        <color theme="1"/>
        <rFont val="Arial"/>
        <family val="2"/>
      </rPr>
      <t>-1</t>
    </r>
  </si>
  <si>
    <r>
      <t xml:space="preserve"> = (mean-</t>
    </r>
    <r>
      <rPr>
        <i/>
        <sz val="12"/>
        <color theme="1"/>
        <rFont val="Arial"/>
        <family val="2"/>
      </rPr>
      <t>μ</t>
    </r>
    <r>
      <rPr>
        <sz val="12"/>
        <color theme="1"/>
        <rFont val="Arial"/>
        <family val="2"/>
      </rPr>
      <t>)/s.e.m.</t>
    </r>
  </si>
  <si>
    <t>normal</t>
  </si>
  <si>
    <t>1-tailed</t>
  </si>
  <si>
    <t>2-tailed</t>
  </si>
  <si>
    <t>Figure 1</t>
  </si>
  <si>
    <t>Principle of statistical testing</t>
  </si>
  <si>
    <t>Principle of Statistical Testing</t>
  </si>
  <si>
    <t>Figure 2</t>
  </si>
  <si>
    <t xml:space="preserve"> _</t>
  </si>
  <si>
    <r>
      <rPr>
        <b/>
        <i/>
        <sz val="14"/>
        <color theme="1"/>
        <rFont val="Arial"/>
        <family val="2"/>
      </rPr>
      <t>t</t>
    </r>
    <r>
      <rPr>
        <b/>
        <sz val="14"/>
        <color theme="1"/>
        <rFont val="Arial"/>
        <family val="2"/>
      </rPr>
      <t xml:space="preserve"> distribution</t>
    </r>
  </si>
  <si>
    <r>
      <rPr>
        <b/>
        <i/>
        <sz val="14"/>
        <color theme="1"/>
        <rFont val="Arial"/>
        <family val="2"/>
      </rPr>
      <t>P</t>
    </r>
    <r>
      <rPr>
        <b/>
        <sz val="14"/>
        <color theme="1"/>
        <rFont val="Arial"/>
        <family val="2"/>
      </rPr>
      <t xml:space="preserve"> value of </t>
    </r>
    <r>
      <rPr>
        <b/>
        <i/>
        <sz val="14"/>
        <color theme="1"/>
        <rFont val="Arial"/>
        <family val="2"/>
      </rPr>
      <t>t</t>
    </r>
    <r>
      <rPr>
        <b/>
        <sz val="14"/>
        <color theme="1"/>
        <rFont val="Arial"/>
        <family val="2"/>
      </rPr>
      <t xml:space="preserve"> statistic</t>
    </r>
  </si>
  <si>
    <t>Figure 3a</t>
  </si>
  <si>
    <t>Figure 3b</t>
  </si>
  <si>
    <r>
      <t xml:space="preserve">One-sample </t>
    </r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>-test</t>
    </r>
  </si>
  <si>
    <r>
      <t>Simulation of</t>
    </r>
    <r>
      <rPr>
        <b/>
        <i/>
        <sz val="14"/>
        <color theme="1"/>
        <rFont val="Arial"/>
        <family val="2"/>
      </rPr>
      <t xml:space="preserve"> t</t>
    </r>
    <r>
      <rPr>
        <b/>
        <sz val="14"/>
        <color theme="1"/>
        <rFont val="Arial"/>
        <family val="2"/>
      </rPr>
      <t xml:space="preserve"> distribution</t>
    </r>
  </si>
  <si>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 xml:space="preserve"> =</t>
    </r>
  </si>
  <si>
    <r>
      <rPr>
        <i/>
        <sz val="12"/>
        <color theme="1"/>
        <rFont val="Arial"/>
        <family val="2"/>
      </rPr>
      <t>z</t>
    </r>
    <r>
      <rPr>
        <sz val="12"/>
        <color theme="1"/>
        <rFont val="Arial"/>
        <family val="2"/>
      </rPr>
      <t xml:space="preserve"> = </t>
    </r>
  </si>
  <si>
    <t>Supplemental Figure 4</t>
  </si>
  <si>
    <r>
      <t xml:space="preserve">Simulation of </t>
    </r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 xml:space="preserve"> distribution</t>
    </r>
  </si>
  <si>
    <t>Supplemental Table 1</t>
  </si>
  <si>
    <t>Supplemental Table 2</t>
  </si>
  <si>
    <r>
      <t xml:space="preserve">Given value of test statistic, compute 1- and 2-tailed </t>
    </r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 xml:space="preserve"> value using </t>
    </r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 xml:space="preserve"> and normal distributions.</t>
    </r>
  </si>
  <si>
    <r>
      <t xml:space="preserve">Given a </t>
    </r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 xml:space="preserve"> value, compute 1- and 2-tailed test statistic using </t>
    </r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 xml:space="preserve"> and normal distributions.</t>
    </r>
  </si>
  <si>
    <t>CI%</t>
  </si>
  <si>
    <t>CI</t>
  </si>
  <si>
    <t>confidence interval</t>
  </si>
  <si>
    <t>Reference values in this range will yield</t>
  </si>
  <si>
    <t>P values</t>
  </si>
  <si>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>(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≥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)</t>
    </r>
  </si>
  <si>
    <r>
      <t xml:space="preserve">Assuming 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 xml:space="preserve"> is sampled from </t>
    </r>
    <r>
      <rPr>
        <i/>
        <sz val="12"/>
        <color theme="1"/>
        <rFont val="Arial"/>
        <family val="2"/>
      </rPr>
      <t>H</t>
    </r>
    <r>
      <rPr>
        <sz val="12"/>
        <color theme="1"/>
        <rFont val="Arial"/>
        <family val="2"/>
      </rPr>
      <t>0,</t>
    </r>
  </si>
  <si>
    <t>σ</t>
  </si>
  <si>
    <r>
      <t>(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-</t>
    </r>
    <r>
      <rPr>
        <i/>
        <sz val="12"/>
        <color theme="1"/>
        <rFont val="Arial"/>
        <family val="2"/>
      </rPr>
      <t>μ</t>
    </r>
    <r>
      <rPr>
        <sz val="12"/>
        <color theme="1"/>
        <rFont val="Arial"/>
        <family val="2"/>
      </rPr>
      <t>)/s.e.m.</t>
    </r>
  </si>
  <si>
    <t>http://www.nature.com/nmeth/journal/v10/n11/abs/nmeth.2698.html</t>
  </si>
  <si>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>(X≥x)</t>
    </r>
  </si>
  <si>
    <r>
      <t xml:space="preserve">Probability of sampling a larger value, </t>
    </r>
    <r>
      <rPr>
        <i/>
        <sz val="12"/>
        <color theme="1"/>
        <rFont val="Arial"/>
        <family val="2"/>
      </rPr>
      <t>X</t>
    </r>
  </si>
  <si>
    <t>Calculating P values and critical values</t>
  </si>
  <si>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>(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) =</t>
    </r>
  </si>
  <si>
    <t>vline</t>
  </si>
  <si>
    <r>
      <t xml:space="preserve">test statistic, </t>
    </r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>*</t>
    </r>
  </si>
  <si>
    <r>
      <t xml:space="preserve">calculate </t>
    </r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 xml:space="preserve"> using</t>
    </r>
  </si>
  <si>
    <t>d.f.</t>
  </si>
  <si>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 xml:space="preserve"> value</t>
    </r>
  </si>
  <si>
    <r>
      <t>P</t>
    </r>
    <r>
      <rPr>
        <sz val="12"/>
        <color theme="1"/>
        <rFont val="Arial"/>
        <family val="2"/>
      </rPr>
      <t xml:space="preserve"> value</t>
    </r>
  </si>
  <si>
    <r>
      <t xml:space="preserve">P values and critical test statistic </t>
    </r>
    <r>
      <rPr>
        <b/>
        <sz val="14"/>
        <color theme="1"/>
        <rFont val="Arial"/>
        <family val="2"/>
      </rPr>
      <t xml:space="preserve">for </t>
    </r>
    <r>
      <rPr>
        <b/>
        <i/>
        <sz val="14"/>
        <color theme="1"/>
        <rFont val="Arial"/>
        <family val="2"/>
      </rPr>
      <t>t</t>
    </r>
    <r>
      <rPr>
        <b/>
        <sz val="14"/>
        <color theme="1"/>
        <rFont val="Arial"/>
        <family val="2"/>
      </rPr>
      <t xml:space="preserve"> and normal distributions</t>
    </r>
  </si>
  <si>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>(|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|≥|x|)</t>
    </r>
  </si>
  <si>
    <t>probability of a smaller value</t>
  </si>
  <si>
    <t>probability of a larger value</t>
  </si>
  <si>
    <t>probability of a more extreme value</t>
  </si>
  <si>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>(|</t>
    </r>
    <r>
      <rPr>
        <i/>
        <sz val="12"/>
        <color theme="1"/>
        <rFont val="Arial"/>
        <family val="2"/>
      </rPr>
      <t>t|≥</t>
    </r>
    <r>
      <rPr>
        <sz val="12"/>
        <color theme="1"/>
        <rFont val="Arial"/>
        <family val="2"/>
      </rPr>
      <t>|</t>
    </r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>(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)|)</t>
    </r>
  </si>
  <si>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 xml:space="preserve"> value of </t>
    </r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 xml:space="preserve"> statistic</t>
    </r>
  </si>
  <si>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 xml:space="preserve"> distribution</t>
    </r>
  </si>
  <si>
    <r>
      <t xml:space="preserve">Critical test statistic and </t>
    </r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 xml:space="preserve"> values for </t>
    </r>
    <r>
      <rPr>
        <i/>
        <sz val="12"/>
        <color theme="1"/>
        <rFont val="Arial"/>
        <family val="2"/>
      </rPr>
      <t>t</t>
    </r>
    <r>
      <rPr>
        <sz val="12"/>
        <color theme="1"/>
        <rFont val="Arial"/>
        <family val="2"/>
      </rPr>
      <t xml:space="preserve"> and normal distributions</t>
    </r>
  </si>
  <si>
    <r>
      <t xml:space="preserve">Significance, </t>
    </r>
    <r>
      <rPr>
        <b/>
        <i/>
        <sz val="12"/>
        <color theme="1"/>
        <rFont val="Arial"/>
        <family val="2"/>
      </rPr>
      <t>P</t>
    </r>
    <r>
      <rPr>
        <b/>
        <sz val="12"/>
        <color theme="1"/>
        <rFont val="Arial"/>
        <family val="2"/>
      </rPr>
      <t xml:space="preserve"> values and </t>
    </r>
    <r>
      <rPr>
        <b/>
        <i/>
        <sz val="12"/>
        <color theme="1"/>
        <rFont val="Arial"/>
        <family val="2"/>
      </rPr>
      <t>t</t>
    </r>
    <r>
      <rPr>
        <b/>
        <sz val="12"/>
        <color theme="1"/>
        <rFont val="Arial"/>
        <family val="2"/>
      </rPr>
      <t>-tests</t>
    </r>
  </si>
  <si>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>(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≤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)</t>
    </r>
  </si>
  <si>
    <t>N(0,1)|x&lt;x*</t>
  </si>
  <si>
    <t>|x|&gt;|x*|</t>
  </si>
  <si>
    <t>P</t>
  </si>
  <si>
    <r>
      <t xml:space="preserve">One-sided test, </t>
    </r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>(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≥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)</t>
    </r>
  </si>
  <si>
    <r>
      <t xml:space="preserve">One-sided test, </t>
    </r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>(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≤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)</t>
    </r>
  </si>
  <si>
    <r>
      <t xml:space="preserve">Two-sided test, </t>
    </r>
    <r>
      <rPr>
        <i/>
        <sz val="12"/>
        <color theme="1"/>
        <rFont val="Arial"/>
        <family val="2"/>
      </rPr>
      <t>P</t>
    </r>
    <r>
      <rPr>
        <sz val="12"/>
        <color theme="1"/>
        <rFont val="Arial"/>
        <family val="2"/>
      </rPr>
      <t>(|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|≥|</t>
    </r>
    <r>
      <rPr>
        <i/>
        <sz val="12"/>
        <color theme="1"/>
        <rFont val="Arial"/>
        <family val="2"/>
      </rPr>
      <t>x</t>
    </r>
    <r>
      <rPr>
        <sz val="12"/>
        <color theme="1"/>
        <rFont val="Arial"/>
        <family val="2"/>
      </rPr>
      <t>|)</t>
    </r>
  </si>
  <si>
    <t>p1</t>
  </si>
  <si>
    <r>
      <t xml:space="preserve">Two-tailed </t>
    </r>
    <r>
      <rPr>
        <b/>
        <i/>
        <sz val="14"/>
        <color theme="1"/>
        <rFont val="Arial"/>
        <family val="2"/>
      </rPr>
      <t>P</t>
    </r>
    <r>
      <rPr>
        <b/>
        <sz val="14"/>
        <color theme="1"/>
        <rFont val="Arial"/>
        <family val="2"/>
      </rPr>
      <t xml:space="preserve"> value for two sample sizes</t>
    </r>
  </si>
  <si>
    <t xml:space="preserve">  _</t>
  </si>
  <si>
    <r>
      <rPr>
        <i/>
        <sz val="12"/>
        <color rgb="FF000000"/>
        <rFont val="Arial"/>
        <family val="2"/>
      </rPr>
      <t>(X-μ)</t>
    </r>
    <r>
      <rPr>
        <sz val="12"/>
        <color rgb="FF000000"/>
        <rFont val="Arial"/>
        <family val="2"/>
      </rPr>
      <t xml:space="preserve"> / [</t>
    </r>
    <r>
      <rPr>
        <i/>
        <sz val="12"/>
        <color rgb="FF000000"/>
        <rFont val="Arial"/>
        <family val="2"/>
      </rPr>
      <t xml:space="preserve"> s</t>
    </r>
    <r>
      <rPr>
        <sz val="12"/>
        <color rgb="FF000000"/>
        <rFont val="Arial"/>
        <family val="2"/>
      </rPr>
      <t>/√</t>
    </r>
    <r>
      <rPr>
        <i/>
        <sz val="12"/>
        <color rgb="FF000000"/>
        <rFont val="Arial"/>
        <family val="2"/>
      </rPr>
      <t>n</t>
    </r>
    <r>
      <rPr>
        <sz val="12"/>
        <color rgb="FF000000"/>
        <rFont val="Arial"/>
        <family val="2"/>
      </rPr>
      <t xml:space="preserve"> ]</t>
    </r>
  </si>
  <si>
    <r>
      <t>(</t>
    </r>
    <r>
      <rPr>
        <i/>
        <sz val="12"/>
        <color rgb="FF000000"/>
        <rFont val="Arial"/>
        <family val="2"/>
      </rPr>
      <t>X-μ)</t>
    </r>
    <r>
      <rPr>
        <sz val="12"/>
        <color rgb="FF000000"/>
        <rFont val="Arial"/>
        <family val="2"/>
      </rPr>
      <t xml:space="preserve"> / [ σ/√</t>
    </r>
    <r>
      <rPr>
        <i/>
        <sz val="12"/>
        <color rgb="FF000000"/>
        <rFont val="Arial"/>
        <family val="2"/>
      </rPr>
      <t>n</t>
    </r>
    <r>
      <rPr>
        <sz val="12"/>
        <color rgb="FF000000"/>
        <rFont val="Arial"/>
        <family val="2"/>
      </rPr>
      <t xml:space="preserve"> ]</t>
    </r>
  </si>
  <si>
    <r>
      <t>n</t>
    </r>
    <r>
      <rPr>
        <sz val="12"/>
        <color theme="1"/>
        <rFont val="Arial"/>
        <family val="2"/>
      </rPr>
      <t xml:space="preserve"> (&gt;1)</t>
    </r>
  </si>
  <si>
    <t>Input data</t>
  </si>
  <si>
    <t>Test Results</t>
  </si>
  <si>
    <t>μ0</t>
  </si>
  <si>
    <t>null hypothesis mean (reference value)</t>
  </si>
  <si>
    <r>
      <t xml:space="preserve">One-sample </t>
    </r>
    <r>
      <rPr>
        <b/>
        <i/>
        <sz val="14"/>
        <color theme="1"/>
        <rFont val="Arial"/>
        <family val="2"/>
      </rPr>
      <t>t</t>
    </r>
    <r>
      <rPr>
        <b/>
        <sz val="14"/>
        <color theme="1"/>
        <rFont val="Arial"/>
        <family val="2"/>
      </rPr>
      <t>-test - random sample</t>
    </r>
  </si>
  <si>
    <r>
      <t xml:space="preserve">One-sample </t>
    </r>
    <r>
      <rPr>
        <b/>
        <i/>
        <sz val="14"/>
        <color theme="1"/>
        <rFont val="Arial"/>
        <family val="2"/>
      </rPr>
      <t>t</t>
    </r>
    <r>
      <rPr>
        <b/>
        <sz val="14"/>
        <color theme="1"/>
        <rFont val="Arial"/>
        <family val="2"/>
      </rPr>
      <t>-test - user-defined sample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</si>
</sst>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"/>
  </numFmts>
  <fonts count="28" x14ac:knownFonts="1">
    <font>
      <sz val="12"/>
      <color theme="1"/>
      <name val="Arial"/>
      <family val="2"/>
    </font>
    <font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2"/>
      <color rgb="FF006100"/>
      <name val="Arial"/>
      <family val="2"/>
    </font>
    <font>
      <sz val="12"/>
      <color rgb="FF9C0006"/>
      <name val="Arial"/>
      <family val="2"/>
    </font>
    <font>
      <sz val="12"/>
      <color rgb="FF9C6500"/>
      <name val="Arial"/>
      <family val="2"/>
    </font>
    <font>
      <sz val="12"/>
      <color rgb="FF3F3F76"/>
      <name val="Arial"/>
      <family val="2"/>
    </font>
    <font>
      <b/>
      <sz val="12"/>
      <color rgb="FF3F3F3F"/>
      <name val="Arial"/>
      <family val="2"/>
    </font>
    <font>
      <b/>
      <sz val="12"/>
      <color rgb="FFFA7D00"/>
      <name val="Arial"/>
      <family val="2"/>
    </font>
    <font>
      <sz val="12"/>
      <color rgb="FFFA7D00"/>
      <name val="Arial"/>
      <family val="2"/>
    </font>
    <font>
      <b/>
      <sz val="12"/>
      <color theme="0"/>
      <name val="Arial"/>
      <family val="2"/>
    </font>
    <font>
      <sz val="12"/>
      <color rgb="FFFF0000"/>
      <name val="Arial"/>
      <family val="2"/>
    </font>
    <font>
      <i/>
      <sz val="12"/>
      <color rgb="FF7F7F7F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sz val="12"/>
      <color rgb="FF000000"/>
      <name val="Arial"/>
      <family val="2"/>
    </font>
    <font>
      <u/>
      <sz val="9"/>
      <color theme="10"/>
      <name val="Arial"/>
      <family val="2"/>
    </font>
    <font>
      <i/>
      <sz val="12"/>
      <color theme="1"/>
      <name val="Arial"/>
      <family val="2"/>
    </font>
    <font>
      <b/>
      <sz val="10"/>
      <color theme="1"/>
      <name val="arial"/>
      <family val="2"/>
    </font>
    <font>
      <sz val="12"/>
      <color rgb="FF000000"/>
      <name val="Calibri"/>
      <family val="2"/>
    </font>
    <font>
      <u/>
      <sz val="12"/>
      <color theme="10"/>
      <name val="Arial"/>
      <family val="2"/>
    </font>
    <font>
      <b/>
      <sz val="14"/>
      <color theme="1"/>
      <name val="Arial"/>
      <family val="2"/>
    </font>
    <font>
      <b/>
      <i/>
      <sz val="14"/>
      <color theme="1"/>
      <name val="Arial"/>
      <family val="2"/>
    </font>
    <font>
      <i/>
      <sz val="12"/>
      <color rgb="FF000000"/>
      <name val="Arial"/>
      <family val="2"/>
    </font>
    <font>
      <b/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</cellStyleXfs>
  <cellXfs count="60">
    <xf numFmtId="0" fontId="0" fillId="0" borderId="0" xfId="0"/>
    <xf numFmtId="0" fontId="0" fillId="0" borderId="0" xfId="0" applyAlignment="1">
      <alignment horizontal="right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/>
    <xf numFmtId="0" fontId="18" fillId="0" borderId="0" xfId="0" applyFont="1"/>
    <xf numFmtId="0" fontId="1" fillId="0" borderId="0" xfId="0" applyFont="1" applyBorder="1"/>
    <xf numFmtId="0" fontId="20" fillId="0" borderId="0" xfId="0" applyFont="1" applyBorder="1"/>
    <xf numFmtId="0" fontId="16" fillId="0" borderId="0" xfId="0" applyFont="1" applyBorder="1"/>
    <xf numFmtId="0" fontId="21" fillId="0" borderId="0" xfId="0" applyFont="1" applyBorder="1"/>
    <xf numFmtId="0" fontId="1" fillId="34" borderId="0" xfId="0" applyFont="1" applyFill="1" applyBorder="1"/>
    <xf numFmtId="0" fontId="23" fillId="0" borderId="0" xfId="42" applyFont="1" applyBorder="1" applyAlignment="1" applyProtection="1"/>
    <xf numFmtId="0" fontId="0" fillId="0" borderId="0" xfId="0" applyFill="1"/>
    <xf numFmtId="0" fontId="0" fillId="0" borderId="0" xfId="0" applyFill="1" applyAlignment="1">
      <alignment horizontal="center"/>
    </xf>
    <xf numFmtId="0" fontId="20" fillId="0" borderId="0" xfId="0" applyFont="1"/>
    <xf numFmtId="165" fontId="0" fillId="0" borderId="0" xfId="0" applyNumberFormat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Font="1" applyFill="1" applyAlignment="1">
      <alignment horizontal="center"/>
    </xf>
    <xf numFmtId="0" fontId="0" fillId="33" borderId="0" xfId="0" applyFill="1"/>
    <xf numFmtId="2" fontId="0" fillId="3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Font="1" applyAlignment="1">
      <alignment horizontal="center"/>
    </xf>
    <xf numFmtId="2" fontId="0" fillId="0" borderId="0" xfId="0" applyNumberFormat="1" applyFill="1" applyAlignment="1">
      <alignment horizontal="center"/>
    </xf>
    <xf numFmtId="0" fontId="20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Font="1" applyBorder="1"/>
    <xf numFmtId="0" fontId="16" fillId="0" borderId="0" xfId="0" applyFont="1"/>
    <xf numFmtId="0" fontId="24" fillId="0" borderId="0" xfId="0" applyFont="1"/>
    <xf numFmtId="0" fontId="18" fillId="0" borderId="0" xfId="0" applyFont="1" applyAlignment="1">
      <alignment horizontal="right"/>
    </xf>
    <xf numFmtId="0" fontId="0" fillId="0" borderId="0" xfId="0" applyFont="1" applyFill="1" applyBorder="1"/>
    <xf numFmtId="0" fontId="0" fillId="0" borderId="0" xfId="0" applyFont="1" applyAlignment="1">
      <alignment horizontal="right"/>
    </xf>
    <xf numFmtId="0" fontId="16" fillId="0" borderId="0" xfId="0" applyFont="1" applyAlignment="1">
      <alignment horizontal="left"/>
    </xf>
    <xf numFmtId="0" fontId="24" fillId="0" borderId="0" xfId="0" applyFont="1" applyFill="1" applyBorder="1"/>
    <xf numFmtId="0" fontId="0" fillId="0" borderId="0" xfId="0" applyFont="1" applyAlignment="1">
      <alignment horizontal="left"/>
    </xf>
    <xf numFmtId="165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0" borderId="0" xfId="0" applyFont="1"/>
    <xf numFmtId="164" fontId="0" fillId="33" borderId="0" xfId="0" applyNumberFormat="1" applyFill="1" applyAlignment="1">
      <alignment horizontal="center"/>
    </xf>
    <xf numFmtId="0" fontId="26" fillId="0" borderId="0" xfId="0" applyFont="1" applyAlignment="1">
      <alignment horizontal="right"/>
    </xf>
    <xf numFmtId="164" fontId="0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66" fontId="0" fillId="33" borderId="0" xfId="0" applyNumberFormat="1" applyFill="1" applyAlignment="1">
      <alignment horizontal="center"/>
    </xf>
    <xf numFmtId="0" fontId="20" fillId="0" borderId="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2"/>
          <c:tx>
            <c:v>P(X &gt;= x)</c:v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cat>
            <c:numRef>
              <c:f>'Fig 1 - single value test'!$D$101:$D$201</c:f>
              <c:numCache>
                <c:formatCode>General</c:formatCode>
                <c:ptCount val="1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-5.4240000000000004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-4.6080000000000005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-4.3440000000000003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-3.7440000000000002</c:v>
                </c:pt>
                <c:pt idx="95">
                  <c:v>-3.72</c:v>
                </c:pt>
                <c:pt idx="96">
                  <c:v>-3.6960000000000002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</c:numCache>
            </c:numRef>
          </c:cat>
          <c:val>
            <c:numRef>
              <c:f>'Fig 1 - single value test'!$F$101:$F$601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0.39710818337826648</c:v>
                </c:pt>
                <c:pt idx="255">
                  <c:v>0.3960802117936561</c:v>
                </c:pt>
                <c:pt idx="256">
                  <c:v>0.39482741516033976</c:v>
                </c:pt>
                <c:pt idx="257">
                  <c:v>0.39335194512142974</c:v>
                </c:pt>
                <c:pt idx="258">
                  <c:v>0.39165632988443705</c:v>
                </c:pt>
                <c:pt idx="259">
                  <c:v>0.38974346700272944</c:v>
                </c:pt>
                <c:pt idx="260">
                  <c:v>0.38761661512501411</c:v>
                </c:pt>
                <c:pt idx="261">
                  <c:v>0.38527938474572759</c:v>
                </c:pt>
                <c:pt idx="262">
                  <c:v>0.38273572799307848</c:v>
                </c:pt>
                <c:pt idx="263">
                  <c:v>0.37998992749516874</c:v>
                </c:pt>
                <c:pt idx="264">
                  <c:v>0.37704658436808808</c:v>
                </c:pt>
                <c:pt idx="265">
                  <c:v>0.37391060537312837</c:v>
                </c:pt>
                <c:pt idx="266">
                  <c:v>0.3705871892932735</c:v>
                </c:pt>
                <c:pt idx="267">
                  <c:v>0.36708181258188249</c:v>
                </c:pt>
                <c:pt idx="268">
                  <c:v>0.36340021433897718</c:v>
                </c:pt>
                <c:pt idx="269">
                  <c:v>0.35954838067276951</c:v>
                </c:pt>
                <c:pt idx="270">
                  <c:v>0.35553252850599704</c:v>
                </c:pt>
                <c:pt idx="271">
                  <c:v>0.3513590888882841</c:v>
                </c:pt>
                <c:pt idx="272">
                  <c:v>0.34703468987709241</c:v>
                </c:pt>
                <c:pt idx="273">
                  <c:v>0.34256613905087624</c:v>
                </c:pt>
                <c:pt idx="274">
                  <c:v>0.33796040571879715</c:v>
                </c:pt>
                <c:pt idx="275">
                  <c:v>0.33322460289179973</c:v>
                </c:pt>
                <c:pt idx="276">
                  <c:v>0.32836596907998766</c:v>
                </c:pt>
                <c:pt idx="277">
                  <c:v>0.32339184998107995</c:v>
                </c:pt>
                <c:pt idx="278">
                  <c:v>0.3183096801242743</c:v>
                </c:pt>
                <c:pt idx="279">
                  <c:v>0.3131269645331039</c:v>
                </c:pt>
                <c:pt idx="280">
                  <c:v>0.30785126046985301</c:v>
                </c:pt>
                <c:pt idx="281">
                  <c:v>0.30249015932280471</c:v>
                </c:pt>
                <c:pt idx="282">
                  <c:v>0.2970512686960452</c:v>
                </c:pt>
                <c:pt idx="283">
                  <c:v>0.29154219475974724</c:v>
                </c:pt>
                <c:pt idx="284">
                  <c:v>0.28597052491682845</c:v>
                </c:pt>
                <c:pt idx="285">
                  <c:v>0.28034381083962062</c:v>
                </c:pt>
                <c:pt idx="286">
                  <c:v>0.27466955192773695</c:v>
                </c:pt>
                <c:pt idx="287">
                  <c:v>0.26895517923567464</c:v>
                </c:pt>
                <c:pt idx="288">
                  <c:v>0.2632080399158771</c:v>
                </c:pt>
                <c:pt idx="289">
                  <c:v>0.25743538222001205</c:v>
                </c:pt>
                <c:pt idx="290">
                  <c:v>0.25164434109811712</c:v>
                </c:pt>
                <c:pt idx="291">
                  <c:v>0.24584192443204717</c:v>
                </c:pt>
                <c:pt idx="292">
                  <c:v>0.2400349999363395</c:v>
                </c:pt>
                <c:pt idx="293">
                  <c:v>0.23423028275621952</c:v>
                </c:pt>
                <c:pt idx="294">
                  <c:v>0.22843432378901604</c:v>
                </c:pt>
                <c:pt idx="295">
                  <c:v>0.22265349875176113</c:v>
                </c:pt>
                <c:pt idx="296">
                  <c:v>0.21689399801423551</c:v>
                </c:pt>
                <c:pt idx="297">
                  <c:v>0.21116181721320312</c:v>
                </c:pt>
                <c:pt idx="298">
                  <c:v>0.20546274866007688</c:v>
                </c:pt>
                <c:pt idx="299">
                  <c:v>0.19980237355078795</c:v>
                </c:pt>
                <c:pt idx="300">
                  <c:v>0.19418605498321292</c:v>
                </c:pt>
                <c:pt idx="301">
                  <c:v>0.18861893178415948</c:v>
                </c:pt>
                <c:pt idx="302">
                  <c:v>0.18310591314463986</c:v>
                </c:pt>
                <c:pt idx="303">
                  <c:v>0.1776516740589851</c:v>
                </c:pt>
                <c:pt idx="304">
                  <c:v>0.17226065156028758</c:v>
                </c:pt>
                <c:pt idx="305">
                  <c:v>0.16693704174171375</c:v>
                </c:pt>
                <c:pt idx="306">
                  <c:v>0.1616847975504194</c:v>
                </c:pt>
                <c:pt idx="307">
                  <c:v>0.15650762733813126</c:v>
                </c:pt>
                <c:pt idx="308">
                  <c:v>0.15140899414994616</c:v>
                </c:pt>
                <c:pt idx="309">
                  <c:v>0.1463921157305455</c:v>
                </c:pt>
                <c:pt idx="310">
                  <c:v>0.1414599652248387</c:v>
                </c:pt>
                <c:pt idx="311">
                  <c:v>0.1366152725480389</c:v>
                </c:pt>
                <c:pt idx="312">
                  <c:v>0.13186052639834273</c:v>
                </c:pt>
                <c:pt idx="313">
                  <c:v>0.12719797688373657</c:v>
                </c:pt>
                <c:pt idx="314">
                  <c:v>0.12262963873298507</c:v>
                </c:pt>
                <c:pt idx="315">
                  <c:v>0.11815729505958236</c:v>
                </c:pt>
                <c:pt idx="316">
                  <c:v>0.11378250164634682</c:v>
                </c:pt>
                <c:pt idx="317">
                  <c:v>0.1095065917174368</c:v>
                </c:pt>
                <c:pt idx="318">
                  <c:v>0.10533068116383558</c:v>
                </c:pt>
                <c:pt idx="319">
                  <c:v>0.10125567418780883</c:v>
                </c:pt>
                <c:pt idx="320">
                  <c:v>9.7282269331467539E-2</c:v>
                </c:pt>
                <c:pt idx="321">
                  <c:v>9.3410965854371211E-2</c:v>
                </c:pt>
                <c:pt idx="322">
                  <c:v>8.9642070425072398E-2</c:v>
                </c:pt>
                <c:pt idx="323">
                  <c:v>8.5975704091632174E-2</c:v>
                </c:pt>
                <c:pt idx="324">
                  <c:v>8.2411809496414523E-2</c:v>
                </c:pt>
                <c:pt idx="325">
                  <c:v>7.8950158300894177E-2</c:v>
                </c:pt>
                <c:pt idx="326">
                  <c:v>7.5590358786774225E-2</c:v>
                </c:pt>
                <c:pt idx="327">
                  <c:v>7.2331863600401836E-2</c:v>
                </c:pt>
                <c:pt idx="328">
                  <c:v>6.9173977608282505E-2</c:v>
                </c:pt>
                <c:pt idx="329">
                  <c:v>6.6115865832415521E-2</c:v>
                </c:pt>
                <c:pt idx="330">
                  <c:v>6.3156561435198655E-2</c:v>
                </c:pt>
                <c:pt idx="331">
                  <c:v>6.0294973724765701E-2</c:v>
                </c:pt>
                <c:pt idx="332">
                  <c:v>5.7529896152820871E-2</c:v>
                </c:pt>
                <c:pt idx="333">
                  <c:v>5.4860014278304732E-2</c:v>
                </c:pt>
                <c:pt idx="334">
                  <c:v>5.2283913671562113E-2</c:v>
                </c:pt>
                <c:pt idx="335">
                  <c:v>4.9800087735070858E-2</c:v>
                </c:pt>
                <c:pt idx="336">
                  <c:v>4.7406945418221713E-2</c:v>
                </c:pt>
                <c:pt idx="337">
                  <c:v>4.5102818805110099E-2</c:v>
                </c:pt>
                <c:pt idx="338">
                  <c:v>4.2885970555787321E-2</c:v>
                </c:pt>
                <c:pt idx="339">
                  <c:v>4.0754601182937618E-2</c:v>
                </c:pt>
                <c:pt idx="340">
                  <c:v>3.8706856147455608E-2</c:v>
                </c:pt>
                <c:pt idx="341">
                  <c:v>3.6740832757928069E-2</c:v>
                </c:pt>
                <c:pt idx="342">
                  <c:v>3.4854586860525415E-2</c:v>
                </c:pt>
                <c:pt idx="343">
                  <c:v>3.3046139307314877E-2</c:v>
                </c:pt>
                <c:pt idx="344">
                  <c:v>3.1313482192474262E-2</c:v>
                </c:pt>
                <c:pt idx="345">
                  <c:v>2.9654584847341316E-2</c:v>
                </c:pt>
                <c:pt idx="346">
                  <c:v>2.8067399586640077E-2</c:v>
                </c:pt>
                <c:pt idx="347">
                  <c:v>2.6549867199608838E-2</c:v>
                </c:pt>
                <c:pt idx="348">
                  <c:v>2.5099922181077736E-2</c:v>
                </c:pt>
                <c:pt idx="349">
                  <c:v>2.3715497698834888E-2</c:v>
                </c:pt>
                <c:pt idx="350">
                  <c:v>2.2394530294842882E-2</c:v>
                </c:pt>
                <c:pt idx="351">
                  <c:v>2.1134964319050504E-2</c:v>
                </c:pt>
                <c:pt idx="352">
                  <c:v>1.9934756095653629E-2</c:v>
                </c:pt>
                <c:pt idx="353">
                  <c:v>1.8791877822721854E-2</c:v>
                </c:pt>
                <c:pt idx="354">
                  <c:v>1.7704321207094198E-2</c:v>
                </c:pt>
                <c:pt idx="355">
                  <c:v>1.6670100837381078E-2</c:v>
                </c:pt>
                <c:pt idx="356">
                  <c:v>1.56872572987681E-2</c:v>
                </c:pt>
                <c:pt idx="357">
                  <c:v>1.4753860034118655E-2</c:v>
                </c:pt>
                <c:pt idx="358">
                  <c:v>1.386800995659916E-2</c:v>
                </c:pt>
                <c:pt idx="359">
                  <c:v>1.3027841819719681E-2</c:v>
                </c:pt>
                <c:pt idx="360">
                  <c:v>1.2231526351277954E-2</c:v>
                </c:pt>
                <c:pt idx="361">
                  <c:v>1.1477272158233767E-2</c:v>
                </c:pt>
                <c:pt idx="362">
                  <c:v>1.0763327410007729E-2</c:v>
                </c:pt>
                <c:pt idx="363">
                  <c:v>1.008798130811189E-2</c:v>
                </c:pt>
                <c:pt idx="364">
                  <c:v>9.449565350364706E-3</c:v>
                </c:pt>
                <c:pt idx="365">
                  <c:v>8.8464543982372315E-3</c:v>
                </c:pt>
                <c:pt idx="366">
                  <c:v>8.277067556108476E-3</c:v>
                </c:pt>
                <c:pt idx="367">
                  <c:v>7.739868871391698E-3</c:v>
                </c:pt>
                <c:pt idx="368">
                  <c:v>7.2333678646196676E-3</c:v>
                </c:pt>
                <c:pt idx="369">
                  <c:v>6.7561198986603012E-3</c:v>
                </c:pt>
                <c:pt idx="370">
                  <c:v>6.3067263962659102E-3</c:v>
                </c:pt>
                <c:pt idx="371">
                  <c:v>5.883834915153101E-3</c:v>
                </c:pt>
                <c:pt idx="372">
                  <c:v>5.4861390897587908E-3</c:v>
                </c:pt>
                <c:pt idx="373">
                  <c:v>5.1123784487336638E-3</c:v>
                </c:pt>
                <c:pt idx="374">
                  <c:v>4.7613381171109914E-3</c:v>
                </c:pt>
                <c:pt idx="375">
                  <c:v>4.4318484119380075E-3</c:v>
                </c:pt>
                <c:pt idx="376">
                  <c:v>4.1227843399737132E-3</c:v>
                </c:pt>
                <c:pt idx="377">
                  <c:v>3.8330650058511109E-3</c:v>
                </c:pt>
                <c:pt idx="378">
                  <c:v>3.5616529388703441E-3</c:v>
                </c:pt>
                <c:pt idx="379">
                  <c:v>3.3075533463386006E-3</c:v>
                </c:pt>
                <c:pt idx="380">
                  <c:v>3.0698133011047486E-3</c:v>
                </c:pt>
                <c:pt idx="381">
                  <c:v>2.8475208706519421E-3</c:v>
                </c:pt>
                <c:pt idx="382">
                  <c:v>2.6398041948164589E-3</c:v>
                </c:pt>
                <c:pt idx="383">
                  <c:v>2.4458305188934013E-3</c:v>
                </c:pt>
                <c:pt idx="384">
                  <c:v>2.2648051885764847E-3</c:v>
                </c:pt>
                <c:pt idx="385">
                  <c:v>2.0959706128579419E-3</c:v>
                </c:pt>
                <c:pt idx="386">
                  <c:v>1.9386052006913198E-3</c:v>
                </c:pt>
                <c:pt idx="387">
                  <c:v>1.7920222768931717E-3</c:v>
                </c:pt>
                <c:pt idx="388">
                  <c:v>1.6555689824342091E-3</c:v>
                </c:pt>
                <c:pt idx="389">
                  <c:v>1.5286251639451411E-3</c:v>
                </c:pt>
                <c:pt idx="390">
                  <c:v>1.4106022569413861E-3</c:v>
                </c:pt>
                <c:pt idx="391">
                  <c:v>1.3009421669529281E-3</c:v>
                </c:pt>
                <c:pt idx="392">
                  <c:v>1.1991161524345115E-3</c:v>
                </c:pt>
                <c:pt idx="393">
                  <c:v>1.1046237130258364E-3</c:v>
                </c:pt>
                <c:pt idx="394">
                  <c:v>1.0169914864347654E-3</c:v>
                </c:pt>
                <c:pt idx="395">
                  <c:v>9.3577215692747804E-4</c:v>
                </c:pt>
                <c:pt idx="396">
                  <c:v>8.6054337813075866E-4</c:v>
                </c:pt>
                <c:pt idx="397">
                  <c:v>7.9090671258203685E-4</c:v>
                </c:pt>
                <c:pt idx="398">
                  <c:v>7.2648659020460235E-4</c:v>
                </c:pt>
                <c:pt idx="399">
                  <c:v>6.6692928763750108E-4</c:v>
                </c:pt>
                <c:pt idx="400">
                  <c:v>6.1190193011377298E-4</c:v>
                </c:pt>
                <c:pt idx="401">
                  <c:v>5.610915173558204E-4</c:v>
                </c:pt>
                <c:pt idx="402">
                  <c:v>5.1420397474424406E-4</c:v>
                </c:pt>
                <c:pt idx="403">
                  <c:v>4.7096323081532873E-4</c:v>
                </c:pt>
                <c:pt idx="404">
                  <c:v>4.3111032195367678E-4</c:v>
                </c:pt>
                <c:pt idx="405">
                  <c:v>3.9440252496915552E-4</c:v>
                </c:pt>
                <c:pt idx="406">
                  <c:v>3.6061251808220806E-4</c:v>
                </c:pt>
                <c:pt idx="407">
                  <c:v>3.2952757068762842E-4</c:v>
                </c:pt>
                <c:pt idx="408">
                  <c:v>3.0094876212471999E-4</c:v>
                </c:pt>
                <c:pt idx="409">
                  <c:v>2.746902295503147E-4</c:v>
                </c:pt>
                <c:pt idx="410">
                  <c:v>2.5057844489086075E-4</c:v>
                </c:pt>
                <c:pt idx="411">
                  <c:v>2.2845152073967183E-4</c:v>
                </c:pt>
                <c:pt idx="412">
                  <c:v>2.0815854496572918E-4</c:v>
                </c:pt>
                <c:pt idx="413">
                  <c:v>1.8955894371021248E-4</c:v>
                </c:pt>
                <c:pt idx="414">
                  <c:v>1.7252187236626288E-4</c:v>
                </c:pt>
                <c:pt idx="415">
                  <c:v>1.5692563406553169E-4</c:v>
                </c:pt>
                <c:pt idx="416">
                  <c:v>1.4265712513176652E-4</c:v>
                </c:pt>
                <c:pt idx="417">
                  <c:v>1.2961130690625436E-4</c:v>
                </c:pt>
                <c:pt idx="418">
                  <c:v>1.1769070330224524E-4</c:v>
                </c:pt>
                <c:pt idx="419">
                  <c:v>1.0680492340481808E-4</c:v>
                </c:pt>
                <c:pt idx="420">
                  <c:v>9.687020839871926E-5</c:v>
                </c:pt>
                <c:pt idx="421">
                  <c:v>8.7809002079064554E-5</c:v>
                </c:pt>
                <c:pt idx="422">
                  <c:v>7.9549544177881284E-5</c:v>
                </c:pt>
                <c:pt idx="423">
                  <c:v>7.2025485723041421E-5</c:v>
                </c:pt>
                <c:pt idx="424">
                  <c:v>6.5175525634586447E-5</c:v>
                </c:pt>
                <c:pt idx="425">
                  <c:v>5.8943067756540058E-5</c:v>
                </c:pt>
                <c:pt idx="426">
                  <c:v>5.3275897519493968E-5</c:v>
                </c:pt>
                <c:pt idx="427">
                  <c:v>4.8125877430297145E-5</c:v>
                </c:pt>
                <c:pt idx="428">
                  <c:v>4.3448660589589352E-5</c:v>
                </c:pt>
                <c:pt idx="429">
                  <c:v>3.9203421445463147E-5</c:v>
                </c:pt>
                <c:pt idx="430">
                  <c:v>3.5352603001773097E-5</c:v>
                </c:pt>
                <c:pt idx="431">
                  <c:v>3.1861679712324632E-5</c:v>
                </c:pt>
                <c:pt idx="432">
                  <c:v>2.8698935306977618E-5</c:v>
                </c:pt>
                <c:pt idx="433">
                  <c:v>2.5835254812390093E-5</c:v>
                </c:pt>
                <c:pt idx="434">
                  <c:v>2.3243930048373714E-5</c:v>
                </c:pt>
                <c:pt idx="435">
                  <c:v>2.0900477900450482E-5</c:v>
                </c:pt>
                <c:pt idx="436">
                  <c:v>1.8782470689901945E-5</c:v>
                </c:pt>
                <c:pt idx="437">
                  <c:v>1.6869377984230626E-5</c:v>
                </c:pt>
                <c:pt idx="438">
                  <c:v>1.5142419213261371E-5</c:v>
                </c:pt>
                <c:pt idx="439">
                  <c:v>1.3584426478963919E-5</c:v>
                </c:pt>
                <c:pt idx="440">
                  <c:v>1.2179716970268655E-5</c:v>
                </c:pt>
                <c:pt idx="441">
                  <c:v>1.0913974417565564E-5</c:v>
                </c:pt>
                <c:pt idx="442">
                  <c:v>9.7741390450493509E-6</c:v>
                </c:pt>
                <c:pt idx="443">
                  <c:v>8.7483055025099134E-6</c:v>
                </c:pt>
                <c:pt idx="444">
                  <c:v>7.8256282814302102E-6</c:v>
                </c:pt>
                <c:pt idx="445">
                  <c:v>6.996234143270405E-6</c:v>
                </c:pt>
                <c:pt idx="446">
                  <c:v>6.2511411104785215E-6</c:v>
                </c:pt>
                <c:pt idx="447">
                  <c:v>5.5821835930201659E-6</c:v>
                </c:pt>
                <c:pt idx="448">
                  <c:v>4.9819432449787756E-6</c:v>
                </c:pt>
                <c:pt idx="449">
                  <c:v>4.443685167005601E-6</c:v>
                </c:pt>
                <c:pt idx="450">
                  <c:v>3.9612990910320609E-6</c:v>
                </c:pt>
                <c:pt idx="451">
                  <c:v>3.5292452036728565E-6</c:v>
                </c:pt>
                <c:pt idx="452">
                  <c:v>3.1425042841019365E-6</c:v>
                </c:pt>
                <c:pt idx="453">
                  <c:v>2.7965318508624735E-6</c:v>
                </c:pt>
                <c:pt idx="454">
                  <c:v>2.4872160300486709E-6</c:v>
                </c:pt>
                <c:pt idx="455">
                  <c:v>2.2108388745684212E-6</c:v>
                </c:pt>
                <c:pt idx="456">
                  <c:v>1.9640408807463227E-6</c:v>
                </c:pt>
                <c:pt idx="457">
                  <c:v>1.7437884643617589E-6</c:v>
                </c:pt>
                <c:pt idx="458">
                  <c:v>1.5473441733317354E-6</c:v>
                </c:pt>
                <c:pt idx="459">
                  <c:v>1.3722394286545041E-6</c:v>
                </c:pt>
                <c:pt idx="460">
                  <c:v>1.2162495989313246E-6</c:v>
                </c:pt>
                <c:pt idx="461">
                  <c:v>1.0773712267960586E-6</c:v>
                </c:pt>
                <c:pt idx="462">
                  <c:v>9.5380123791647633E-7</c:v>
                </c:pt>
                <c:pt idx="463">
                  <c:v>8.4391797490514879E-7</c:v>
                </c:pt>
                <c:pt idx="464">
                  <c:v>7.4626390950944681E-7</c:v>
                </c:pt>
                <c:pt idx="465">
                  <c:v>6.5952989685752167E-7</c:v>
                </c:pt>
                <c:pt idx="466">
                  <c:v>5.8254084534283518E-7</c:v>
                </c:pt>
                <c:pt idx="467">
                  <c:v>5.1424268495308647E-7</c:v>
                </c:pt>
                <c:pt idx="468">
                  <c:v>4.5369052551441447E-7</c:v>
                </c:pt>
                <c:pt idx="469">
                  <c:v>4.0003790444932249E-7</c:v>
                </c:pt>
                <c:pt idx="470">
                  <c:v>3.5252703126140567E-7</c:v>
                </c:pt>
                <c:pt idx="471">
                  <c:v>3.104799430831489E-7</c:v>
                </c:pt>
                <c:pt idx="472">
                  <c:v>2.7329049227913364E-7</c:v>
                </c:pt>
                <c:pt idx="473">
                  <c:v>2.4041709330746573E-7</c:v>
                </c:pt>
                <c:pt idx="474">
                  <c:v>2.1137616183074136E-7</c:v>
                </c:pt>
                <c:pt idx="475">
                  <c:v>1.8573618445552897E-7</c:v>
                </c:pt>
                <c:pt idx="476">
                  <c:v>1.6311236248861543E-7</c:v>
                </c:pt>
                <c:pt idx="477">
                  <c:v>1.4316177774957213E-7</c:v>
                </c:pt>
                <c:pt idx="478">
                  <c:v>1.2557903279356918E-7</c:v>
                </c:pt>
                <c:pt idx="479">
                  <c:v>1.1009232189518106E-7</c:v>
                </c:pt>
                <c:pt idx="480">
                  <c:v>9.6459892842733842E-8</c:v>
                </c:pt>
                <c:pt idx="481">
                  <c:v>8.4466863011587931E-8</c:v>
                </c:pt>
                <c:pt idx="482">
                  <c:v>7.3922356341658018E-8</c:v>
                </c:pt>
                <c:pt idx="483">
                  <c:v>6.4656930756044859E-8</c:v>
                </c:pt>
                <c:pt idx="484">
                  <c:v>5.6520268240340859E-8</c:v>
                </c:pt>
                <c:pt idx="485">
                  <c:v>4.9379102271104225E-8</c:v>
                </c:pt>
                <c:pt idx="486">
                  <c:v>4.3115359552033492E-8</c:v>
                </c:pt>
                <c:pt idx="487">
                  <c:v>3.7624495101197867E-8</c:v>
                </c:pt>
                <c:pt idx="488">
                  <c:v>3.2814001645590985E-8</c:v>
                </c:pt>
                <c:pt idx="489">
                  <c:v>2.8602076032539976E-8</c:v>
                </c:pt>
                <c:pt idx="490">
                  <c:v>2.4916426972950989E-8</c:v>
                </c:pt>
                <c:pt idx="491">
                  <c:v>2.1693209899897903E-8</c:v>
                </c:pt>
                <c:pt idx="492">
                  <c:v>1.8876076068122808E-8</c:v>
                </c:pt>
                <c:pt idx="493">
                  <c:v>1.6415324245220292E-8</c:v>
                </c:pt>
                <c:pt idx="494">
                  <c:v>1.4267144462795874E-8</c:v>
                </c:pt>
                <c:pt idx="495">
                  <c:v>1.239294431415004E-8</c:v>
                </c:pt>
                <c:pt idx="496">
                  <c:v>1.0758749212031231E-8</c:v>
                </c:pt>
                <c:pt idx="497">
                  <c:v>9.3346688630663104E-9</c:v>
                </c:pt>
                <c:pt idx="498">
                  <c:v>8.094422981541427E-9</c:v>
                </c:pt>
                <c:pt idx="499">
                  <c:v>7.0149199606205826E-9</c:v>
                </c:pt>
                <c:pt idx="500">
                  <c:v>6.0758828498232861E-9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98112"/>
        <c:axId val="69875584"/>
      </c:areaChart>
      <c:scatterChart>
        <c:scatterStyle val="lineMarker"/>
        <c:varyColors val="0"/>
        <c:ser>
          <c:idx val="0"/>
          <c:order val="0"/>
          <c:tx>
            <c:v>H0</c:v>
          </c:tx>
          <c:spPr>
            <a:ln w="25400">
              <a:solidFill>
                <a:schemeClr val="tx1"/>
              </a:solidFill>
            </a:ln>
            <a:effectLst/>
          </c:spPr>
          <c:marker>
            <c:symbol val="none"/>
          </c:marker>
          <c:xVal>
            <c:numRef>
              <c:f>'Fig 1 - single value test'!$D$101:$D$601</c:f>
              <c:numCache>
                <c:formatCode>General</c:formatCode>
                <c:ptCount val="5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-5.4240000000000004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-4.6080000000000005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-4.3440000000000003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-3.7440000000000002</c:v>
                </c:pt>
                <c:pt idx="95">
                  <c:v>-3.72</c:v>
                </c:pt>
                <c:pt idx="96">
                  <c:v>-3.6960000000000002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  <c:pt idx="101">
                  <c:v>-3.5760000000000001</c:v>
                </c:pt>
                <c:pt idx="102">
                  <c:v>-3.552</c:v>
                </c:pt>
                <c:pt idx="103">
                  <c:v>-3.528</c:v>
                </c:pt>
                <c:pt idx="104">
                  <c:v>-3.504</c:v>
                </c:pt>
                <c:pt idx="105">
                  <c:v>-3.48</c:v>
                </c:pt>
                <c:pt idx="106">
                  <c:v>-3.456</c:v>
                </c:pt>
                <c:pt idx="107">
                  <c:v>-3.4319999999999999</c:v>
                </c:pt>
                <c:pt idx="108">
                  <c:v>-3.4079999999999999</c:v>
                </c:pt>
                <c:pt idx="109">
                  <c:v>-3.3839999999999999</c:v>
                </c:pt>
                <c:pt idx="110">
                  <c:v>-3.36</c:v>
                </c:pt>
                <c:pt idx="111">
                  <c:v>-3.3359999999999999</c:v>
                </c:pt>
                <c:pt idx="112">
                  <c:v>-3.3119999999999998</c:v>
                </c:pt>
                <c:pt idx="113">
                  <c:v>-3.2879999999999998</c:v>
                </c:pt>
                <c:pt idx="114">
                  <c:v>-3.2639999999999998</c:v>
                </c:pt>
                <c:pt idx="115">
                  <c:v>-3.24</c:v>
                </c:pt>
                <c:pt idx="116">
                  <c:v>-3.2160000000000002</c:v>
                </c:pt>
                <c:pt idx="117">
                  <c:v>-3.1920000000000002</c:v>
                </c:pt>
                <c:pt idx="118">
                  <c:v>-3.1680000000000001</c:v>
                </c:pt>
                <c:pt idx="119">
                  <c:v>-3.1440000000000001</c:v>
                </c:pt>
                <c:pt idx="120">
                  <c:v>-3.12</c:v>
                </c:pt>
                <c:pt idx="121">
                  <c:v>-3.0960000000000001</c:v>
                </c:pt>
                <c:pt idx="122">
                  <c:v>-3.0720000000000001</c:v>
                </c:pt>
                <c:pt idx="123">
                  <c:v>-3.048</c:v>
                </c:pt>
                <c:pt idx="124">
                  <c:v>-3.024</c:v>
                </c:pt>
                <c:pt idx="125">
                  <c:v>-3</c:v>
                </c:pt>
                <c:pt idx="126">
                  <c:v>-2.976</c:v>
                </c:pt>
                <c:pt idx="127">
                  <c:v>-2.952</c:v>
                </c:pt>
                <c:pt idx="128">
                  <c:v>-2.9279999999999999</c:v>
                </c:pt>
                <c:pt idx="129">
                  <c:v>-2.9039999999999999</c:v>
                </c:pt>
                <c:pt idx="130">
                  <c:v>-2.88</c:v>
                </c:pt>
                <c:pt idx="131">
                  <c:v>-2.8559999999999999</c:v>
                </c:pt>
                <c:pt idx="132">
                  <c:v>-2.8319999999999999</c:v>
                </c:pt>
                <c:pt idx="133">
                  <c:v>-2.8079999999999998</c:v>
                </c:pt>
                <c:pt idx="134">
                  <c:v>-2.7839999999999998</c:v>
                </c:pt>
                <c:pt idx="135">
                  <c:v>-2.76</c:v>
                </c:pt>
                <c:pt idx="136">
                  <c:v>-2.7360000000000002</c:v>
                </c:pt>
                <c:pt idx="137">
                  <c:v>-2.7120000000000002</c:v>
                </c:pt>
                <c:pt idx="138">
                  <c:v>-2.6880000000000002</c:v>
                </c:pt>
                <c:pt idx="139">
                  <c:v>-2.6640000000000001</c:v>
                </c:pt>
                <c:pt idx="140">
                  <c:v>-2.64</c:v>
                </c:pt>
                <c:pt idx="141">
                  <c:v>-2.6160000000000001</c:v>
                </c:pt>
                <c:pt idx="142">
                  <c:v>-2.5920000000000001</c:v>
                </c:pt>
                <c:pt idx="143">
                  <c:v>-2.5680000000000001</c:v>
                </c:pt>
                <c:pt idx="144">
                  <c:v>-2.544</c:v>
                </c:pt>
                <c:pt idx="145">
                  <c:v>-2.52</c:v>
                </c:pt>
                <c:pt idx="146">
                  <c:v>-2.496</c:v>
                </c:pt>
                <c:pt idx="147">
                  <c:v>-2.472</c:v>
                </c:pt>
                <c:pt idx="148">
                  <c:v>-2.448</c:v>
                </c:pt>
                <c:pt idx="149">
                  <c:v>-2.4239999999999999</c:v>
                </c:pt>
                <c:pt idx="150">
                  <c:v>-2.4</c:v>
                </c:pt>
                <c:pt idx="151">
                  <c:v>-2.3759999999999999</c:v>
                </c:pt>
                <c:pt idx="152">
                  <c:v>-2.3519999999999999</c:v>
                </c:pt>
                <c:pt idx="153">
                  <c:v>-2.3279999999999998</c:v>
                </c:pt>
                <c:pt idx="154">
                  <c:v>-2.3039999999999998</c:v>
                </c:pt>
                <c:pt idx="155">
                  <c:v>-2.2799999999999998</c:v>
                </c:pt>
                <c:pt idx="156">
                  <c:v>-2.2559999999999998</c:v>
                </c:pt>
                <c:pt idx="157">
                  <c:v>-2.2320000000000002</c:v>
                </c:pt>
                <c:pt idx="158">
                  <c:v>-2.2080000000000002</c:v>
                </c:pt>
                <c:pt idx="159">
                  <c:v>-2.1840000000000002</c:v>
                </c:pt>
                <c:pt idx="160">
                  <c:v>-2.16</c:v>
                </c:pt>
                <c:pt idx="161">
                  <c:v>-2.1360000000000001</c:v>
                </c:pt>
                <c:pt idx="162">
                  <c:v>-2.1120000000000001</c:v>
                </c:pt>
                <c:pt idx="163">
                  <c:v>-2.0880000000000001</c:v>
                </c:pt>
                <c:pt idx="164">
                  <c:v>-2.0640000000000001</c:v>
                </c:pt>
                <c:pt idx="165">
                  <c:v>-2.04</c:v>
                </c:pt>
                <c:pt idx="166">
                  <c:v>-2.016</c:v>
                </c:pt>
                <c:pt idx="167">
                  <c:v>-1.992</c:v>
                </c:pt>
                <c:pt idx="168">
                  <c:v>-1.968</c:v>
                </c:pt>
                <c:pt idx="169">
                  <c:v>-1.944</c:v>
                </c:pt>
                <c:pt idx="170">
                  <c:v>-1.92</c:v>
                </c:pt>
                <c:pt idx="171">
                  <c:v>-1.8959999999999999</c:v>
                </c:pt>
                <c:pt idx="172">
                  <c:v>-1.8719999999999999</c:v>
                </c:pt>
                <c:pt idx="173">
                  <c:v>-1.8479999999999999</c:v>
                </c:pt>
                <c:pt idx="174">
                  <c:v>-1.8239999999999998</c:v>
                </c:pt>
                <c:pt idx="175">
                  <c:v>-1.7999999999999998</c:v>
                </c:pt>
                <c:pt idx="176">
                  <c:v>-1.7759999999999998</c:v>
                </c:pt>
                <c:pt idx="177">
                  <c:v>-1.7519999999999998</c:v>
                </c:pt>
                <c:pt idx="178">
                  <c:v>-1.7279999999999998</c:v>
                </c:pt>
                <c:pt idx="179">
                  <c:v>-1.7039999999999997</c:v>
                </c:pt>
                <c:pt idx="180">
                  <c:v>-1.6799999999999997</c:v>
                </c:pt>
                <c:pt idx="181">
                  <c:v>-1.6559999999999997</c:v>
                </c:pt>
                <c:pt idx="182">
                  <c:v>-1.6319999999999997</c:v>
                </c:pt>
                <c:pt idx="183">
                  <c:v>-1.6079999999999997</c:v>
                </c:pt>
                <c:pt idx="184">
                  <c:v>-1.5839999999999996</c:v>
                </c:pt>
                <c:pt idx="185">
                  <c:v>-1.5599999999999996</c:v>
                </c:pt>
                <c:pt idx="186">
                  <c:v>-1.5359999999999996</c:v>
                </c:pt>
                <c:pt idx="187">
                  <c:v>-1.5119999999999996</c:v>
                </c:pt>
                <c:pt idx="188">
                  <c:v>-1.4880000000000004</c:v>
                </c:pt>
                <c:pt idx="189">
                  <c:v>-1.4640000000000004</c:v>
                </c:pt>
                <c:pt idx="190">
                  <c:v>-1.4400000000000004</c:v>
                </c:pt>
                <c:pt idx="191">
                  <c:v>-1.4160000000000004</c:v>
                </c:pt>
                <c:pt idx="192">
                  <c:v>-1.3920000000000003</c:v>
                </c:pt>
                <c:pt idx="193">
                  <c:v>-1.3680000000000003</c:v>
                </c:pt>
                <c:pt idx="194">
                  <c:v>-1.3440000000000003</c:v>
                </c:pt>
                <c:pt idx="195">
                  <c:v>-1.3200000000000003</c:v>
                </c:pt>
                <c:pt idx="196">
                  <c:v>-1.2960000000000003</c:v>
                </c:pt>
                <c:pt idx="197">
                  <c:v>-1.2720000000000002</c:v>
                </c:pt>
                <c:pt idx="198">
                  <c:v>-1.2480000000000002</c:v>
                </c:pt>
                <c:pt idx="199">
                  <c:v>-1.2240000000000002</c:v>
                </c:pt>
                <c:pt idx="200">
                  <c:v>-1.2000000000000002</c:v>
                </c:pt>
                <c:pt idx="201">
                  <c:v>-1.1760000000000002</c:v>
                </c:pt>
                <c:pt idx="202">
                  <c:v>-1.1520000000000001</c:v>
                </c:pt>
                <c:pt idx="203">
                  <c:v>-1.1280000000000001</c:v>
                </c:pt>
                <c:pt idx="204">
                  <c:v>-1.1040000000000001</c:v>
                </c:pt>
                <c:pt idx="205">
                  <c:v>-1.08</c:v>
                </c:pt>
                <c:pt idx="206">
                  <c:v>-1.056</c:v>
                </c:pt>
                <c:pt idx="207">
                  <c:v>-1.032</c:v>
                </c:pt>
                <c:pt idx="208">
                  <c:v>-1.008</c:v>
                </c:pt>
                <c:pt idx="209">
                  <c:v>-0.98399999999999999</c:v>
                </c:pt>
                <c:pt idx="210">
                  <c:v>-0.96</c:v>
                </c:pt>
                <c:pt idx="211">
                  <c:v>-0.93599999999999994</c:v>
                </c:pt>
                <c:pt idx="212">
                  <c:v>-0.91199999999999992</c:v>
                </c:pt>
                <c:pt idx="213">
                  <c:v>-0.8879999999999999</c:v>
                </c:pt>
                <c:pt idx="214">
                  <c:v>-0.86399999999999988</c:v>
                </c:pt>
                <c:pt idx="215">
                  <c:v>-0.83999999999999986</c:v>
                </c:pt>
                <c:pt idx="216">
                  <c:v>-0.81599999999999984</c:v>
                </c:pt>
                <c:pt idx="217">
                  <c:v>-0.79199999999999982</c:v>
                </c:pt>
                <c:pt idx="218">
                  <c:v>-0.76799999999999979</c:v>
                </c:pt>
                <c:pt idx="219">
                  <c:v>-0.74399999999999977</c:v>
                </c:pt>
                <c:pt idx="220">
                  <c:v>-0.71999999999999975</c:v>
                </c:pt>
                <c:pt idx="221">
                  <c:v>-0.69599999999999973</c:v>
                </c:pt>
                <c:pt idx="222">
                  <c:v>-0.67199999999999971</c:v>
                </c:pt>
                <c:pt idx="223">
                  <c:v>-0.64799999999999969</c:v>
                </c:pt>
                <c:pt idx="224">
                  <c:v>-0.62399999999999967</c:v>
                </c:pt>
                <c:pt idx="225">
                  <c:v>-0.59999999999999964</c:v>
                </c:pt>
                <c:pt idx="226">
                  <c:v>-0.57599999999999962</c:v>
                </c:pt>
                <c:pt idx="227">
                  <c:v>-0.5519999999999996</c:v>
                </c:pt>
                <c:pt idx="228">
                  <c:v>-0.52799999999999958</c:v>
                </c:pt>
                <c:pt idx="229">
                  <c:v>-0.50399999999999956</c:v>
                </c:pt>
                <c:pt idx="230">
                  <c:v>-0.48000000000000043</c:v>
                </c:pt>
                <c:pt idx="231">
                  <c:v>-0.45600000000000041</c:v>
                </c:pt>
                <c:pt idx="232">
                  <c:v>-0.43200000000000038</c:v>
                </c:pt>
                <c:pt idx="233">
                  <c:v>-0.40800000000000036</c:v>
                </c:pt>
                <c:pt idx="234">
                  <c:v>-0.38400000000000034</c:v>
                </c:pt>
                <c:pt idx="235">
                  <c:v>-0.36000000000000032</c:v>
                </c:pt>
                <c:pt idx="236">
                  <c:v>-0.3360000000000003</c:v>
                </c:pt>
                <c:pt idx="237">
                  <c:v>-0.31200000000000028</c:v>
                </c:pt>
                <c:pt idx="238">
                  <c:v>-0.28800000000000026</c:v>
                </c:pt>
                <c:pt idx="239">
                  <c:v>-0.26400000000000023</c:v>
                </c:pt>
                <c:pt idx="240">
                  <c:v>-0.24000000000000021</c:v>
                </c:pt>
                <c:pt idx="241">
                  <c:v>-0.21600000000000019</c:v>
                </c:pt>
                <c:pt idx="242">
                  <c:v>-0.19200000000000017</c:v>
                </c:pt>
                <c:pt idx="243">
                  <c:v>-0.16800000000000015</c:v>
                </c:pt>
                <c:pt idx="244">
                  <c:v>-0.14400000000000013</c:v>
                </c:pt>
                <c:pt idx="245">
                  <c:v>-0.12000000000000011</c:v>
                </c:pt>
                <c:pt idx="246">
                  <c:v>-9.6000000000000085E-2</c:v>
                </c:pt>
                <c:pt idx="247">
                  <c:v>-7.2000000000000064E-2</c:v>
                </c:pt>
                <c:pt idx="248">
                  <c:v>-4.8000000000000043E-2</c:v>
                </c:pt>
                <c:pt idx="249">
                  <c:v>-2.4000000000000021E-2</c:v>
                </c:pt>
                <c:pt idx="250">
                  <c:v>0</c:v>
                </c:pt>
                <c:pt idx="251">
                  <c:v>2.4000000000000021E-2</c:v>
                </c:pt>
                <c:pt idx="252">
                  <c:v>4.8000000000000043E-2</c:v>
                </c:pt>
                <c:pt idx="253">
                  <c:v>7.2000000000000064E-2</c:v>
                </c:pt>
                <c:pt idx="254">
                  <c:v>9.6000000000000085E-2</c:v>
                </c:pt>
                <c:pt idx="255">
                  <c:v>0.12000000000000011</c:v>
                </c:pt>
                <c:pt idx="256">
                  <c:v>0.14400000000000013</c:v>
                </c:pt>
                <c:pt idx="257">
                  <c:v>0.16800000000000015</c:v>
                </c:pt>
                <c:pt idx="258">
                  <c:v>0.19200000000000017</c:v>
                </c:pt>
                <c:pt idx="259">
                  <c:v>0.21600000000000019</c:v>
                </c:pt>
                <c:pt idx="260">
                  <c:v>0.24000000000000021</c:v>
                </c:pt>
                <c:pt idx="261">
                  <c:v>0.26400000000000023</c:v>
                </c:pt>
                <c:pt idx="262">
                  <c:v>0.28800000000000026</c:v>
                </c:pt>
                <c:pt idx="263">
                  <c:v>0.31200000000000028</c:v>
                </c:pt>
                <c:pt idx="264">
                  <c:v>0.3360000000000003</c:v>
                </c:pt>
                <c:pt idx="265">
                  <c:v>0.36000000000000032</c:v>
                </c:pt>
                <c:pt idx="266">
                  <c:v>0.38400000000000034</c:v>
                </c:pt>
                <c:pt idx="267">
                  <c:v>0.40800000000000036</c:v>
                </c:pt>
                <c:pt idx="268">
                  <c:v>0.43200000000000038</c:v>
                </c:pt>
                <c:pt idx="269">
                  <c:v>0.45600000000000041</c:v>
                </c:pt>
                <c:pt idx="270">
                  <c:v>0.48000000000000043</c:v>
                </c:pt>
                <c:pt idx="271">
                  <c:v>0.50399999999999956</c:v>
                </c:pt>
                <c:pt idx="272">
                  <c:v>0.52799999999999958</c:v>
                </c:pt>
                <c:pt idx="273">
                  <c:v>0.5519999999999996</c:v>
                </c:pt>
                <c:pt idx="274">
                  <c:v>0.57599999999999962</c:v>
                </c:pt>
                <c:pt idx="275">
                  <c:v>0.59999999999999964</c:v>
                </c:pt>
                <c:pt idx="276">
                  <c:v>0.62399999999999967</c:v>
                </c:pt>
                <c:pt idx="277">
                  <c:v>0.64799999999999969</c:v>
                </c:pt>
                <c:pt idx="278">
                  <c:v>0.67199999999999971</c:v>
                </c:pt>
                <c:pt idx="279">
                  <c:v>0.69599999999999973</c:v>
                </c:pt>
                <c:pt idx="280">
                  <c:v>0.71999999999999975</c:v>
                </c:pt>
                <c:pt idx="281">
                  <c:v>0.74399999999999977</c:v>
                </c:pt>
                <c:pt idx="282">
                  <c:v>0.76799999999999979</c:v>
                </c:pt>
                <c:pt idx="283">
                  <c:v>0.79199999999999982</c:v>
                </c:pt>
                <c:pt idx="284">
                  <c:v>0.81599999999999984</c:v>
                </c:pt>
                <c:pt idx="285">
                  <c:v>0.83999999999999986</c:v>
                </c:pt>
                <c:pt idx="286">
                  <c:v>0.86399999999999988</c:v>
                </c:pt>
                <c:pt idx="287">
                  <c:v>0.8879999999999999</c:v>
                </c:pt>
                <c:pt idx="288">
                  <c:v>0.91199999999999992</c:v>
                </c:pt>
                <c:pt idx="289">
                  <c:v>0.93599999999999994</c:v>
                </c:pt>
                <c:pt idx="290">
                  <c:v>0.96</c:v>
                </c:pt>
                <c:pt idx="291">
                  <c:v>0.98399999999999999</c:v>
                </c:pt>
                <c:pt idx="292">
                  <c:v>1.008</c:v>
                </c:pt>
                <c:pt idx="293">
                  <c:v>1.032</c:v>
                </c:pt>
                <c:pt idx="294">
                  <c:v>1.056</c:v>
                </c:pt>
                <c:pt idx="295">
                  <c:v>1.08</c:v>
                </c:pt>
                <c:pt idx="296">
                  <c:v>1.1040000000000001</c:v>
                </c:pt>
                <c:pt idx="297">
                  <c:v>1.1280000000000001</c:v>
                </c:pt>
                <c:pt idx="298">
                  <c:v>1.1520000000000001</c:v>
                </c:pt>
                <c:pt idx="299">
                  <c:v>1.1760000000000002</c:v>
                </c:pt>
                <c:pt idx="300">
                  <c:v>1.2000000000000002</c:v>
                </c:pt>
                <c:pt idx="301">
                  <c:v>1.2240000000000002</c:v>
                </c:pt>
                <c:pt idx="302">
                  <c:v>1.2480000000000002</c:v>
                </c:pt>
                <c:pt idx="303">
                  <c:v>1.2720000000000002</c:v>
                </c:pt>
                <c:pt idx="304">
                  <c:v>1.2960000000000003</c:v>
                </c:pt>
                <c:pt idx="305">
                  <c:v>1.3200000000000003</c:v>
                </c:pt>
                <c:pt idx="306">
                  <c:v>1.3440000000000003</c:v>
                </c:pt>
                <c:pt idx="307">
                  <c:v>1.3680000000000003</c:v>
                </c:pt>
                <c:pt idx="308">
                  <c:v>1.3920000000000003</c:v>
                </c:pt>
                <c:pt idx="309">
                  <c:v>1.4160000000000004</c:v>
                </c:pt>
                <c:pt idx="310">
                  <c:v>1.4400000000000004</c:v>
                </c:pt>
                <c:pt idx="311">
                  <c:v>1.4640000000000004</c:v>
                </c:pt>
                <c:pt idx="312">
                  <c:v>1.4880000000000004</c:v>
                </c:pt>
                <c:pt idx="313">
                  <c:v>1.5119999999999996</c:v>
                </c:pt>
                <c:pt idx="314">
                  <c:v>1.5359999999999996</c:v>
                </c:pt>
                <c:pt idx="315">
                  <c:v>1.5599999999999996</c:v>
                </c:pt>
                <c:pt idx="316">
                  <c:v>1.5839999999999996</c:v>
                </c:pt>
                <c:pt idx="317">
                  <c:v>1.6079999999999997</c:v>
                </c:pt>
                <c:pt idx="318">
                  <c:v>1.6319999999999997</c:v>
                </c:pt>
                <c:pt idx="319">
                  <c:v>1.6559999999999997</c:v>
                </c:pt>
                <c:pt idx="320">
                  <c:v>1.6799999999999997</c:v>
                </c:pt>
                <c:pt idx="321">
                  <c:v>1.7039999999999997</c:v>
                </c:pt>
                <c:pt idx="322">
                  <c:v>1.7279999999999998</c:v>
                </c:pt>
                <c:pt idx="323">
                  <c:v>1.7519999999999998</c:v>
                </c:pt>
                <c:pt idx="324">
                  <c:v>1.7759999999999998</c:v>
                </c:pt>
                <c:pt idx="325">
                  <c:v>1.7999999999999998</c:v>
                </c:pt>
                <c:pt idx="326">
                  <c:v>1.8239999999999998</c:v>
                </c:pt>
                <c:pt idx="327">
                  <c:v>1.8479999999999999</c:v>
                </c:pt>
                <c:pt idx="328">
                  <c:v>1.8719999999999999</c:v>
                </c:pt>
                <c:pt idx="329">
                  <c:v>1.8959999999999999</c:v>
                </c:pt>
                <c:pt idx="330">
                  <c:v>1.92</c:v>
                </c:pt>
                <c:pt idx="331">
                  <c:v>1.944</c:v>
                </c:pt>
                <c:pt idx="332">
                  <c:v>1.968</c:v>
                </c:pt>
                <c:pt idx="333">
                  <c:v>1.992</c:v>
                </c:pt>
                <c:pt idx="334">
                  <c:v>2.016</c:v>
                </c:pt>
                <c:pt idx="335">
                  <c:v>2.0399999999999991</c:v>
                </c:pt>
                <c:pt idx="336">
                  <c:v>2.0640000000000001</c:v>
                </c:pt>
                <c:pt idx="337">
                  <c:v>2.0879999999999992</c:v>
                </c:pt>
                <c:pt idx="338">
                  <c:v>2.1120000000000001</c:v>
                </c:pt>
                <c:pt idx="339">
                  <c:v>2.1359999999999992</c:v>
                </c:pt>
                <c:pt idx="340">
                  <c:v>2.16</c:v>
                </c:pt>
                <c:pt idx="341">
                  <c:v>2.1839999999999993</c:v>
                </c:pt>
                <c:pt idx="342">
                  <c:v>2.2080000000000002</c:v>
                </c:pt>
                <c:pt idx="343">
                  <c:v>2.2319999999999993</c:v>
                </c:pt>
                <c:pt idx="344">
                  <c:v>2.2560000000000002</c:v>
                </c:pt>
                <c:pt idx="345">
                  <c:v>2.2799999999999994</c:v>
                </c:pt>
                <c:pt idx="346">
                  <c:v>2.3040000000000003</c:v>
                </c:pt>
                <c:pt idx="347">
                  <c:v>2.3279999999999994</c:v>
                </c:pt>
                <c:pt idx="348">
                  <c:v>2.3520000000000003</c:v>
                </c:pt>
                <c:pt idx="349">
                  <c:v>2.3759999999999994</c:v>
                </c:pt>
                <c:pt idx="350">
                  <c:v>2.4000000000000004</c:v>
                </c:pt>
                <c:pt idx="351">
                  <c:v>2.4239999999999995</c:v>
                </c:pt>
                <c:pt idx="352">
                  <c:v>2.4480000000000004</c:v>
                </c:pt>
                <c:pt idx="353">
                  <c:v>2.4719999999999995</c:v>
                </c:pt>
                <c:pt idx="354">
                  <c:v>2.4960000000000004</c:v>
                </c:pt>
                <c:pt idx="355">
                  <c:v>2.5199999999999996</c:v>
                </c:pt>
                <c:pt idx="356">
                  <c:v>2.5440000000000005</c:v>
                </c:pt>
                <c:pt idx="357">
                  <c:v>2.5679999999999996</c:v>
                </c:pt>
                <c:pt idx="358">
                  <c:v>2.5920000000000005</c:v>
                </c:pt>
                <c:pt idx="359">
                  <c:v>2.6159999999999997</c:v>
                </c:pt>
                <c:pt idx="360">
                  <c:v>2.6400000000000006</c:v>
                </c:pt>
                <c:pt idx="361">
                  <c:v>2.6639999999999997</c:v>
                </c:pt>
                <c:pt idx="362">
                  <c:v>2.6880000000000006</c:v>
                </c:pt>
                <c:pt idx="363">
                  <c:v>2.7119999999999997</c:v>
                </c:pt>
                <c:pt idx="364">
                  <c:v>2.7360000000000007</c:v>
                </c:pt>
                <c:pt idx="365">
                  <c:v>2.76</c:v>
                </c:pt>
                <c:pt idx="366">
                  <c:v>2.7840000000000007</c:v>
                </c:pt>
                <c:pt idx="367">
                  <c:v>2.8079999999999998</c:v>
                </c:pt>
                <c:pt idx="368">
                  <c:v>2.8320000000000007</c:v>
                </c:pt>
                <c:pt idx="369">
                  <c:v>2.8559999999999999</c:v>
                </c:pt>
                <c:pt idx="370">
                  <c:v>2.8800000000000008</c:v>
                </c:pt>
                <c:pt idx="371">
                  <c:v>2.9039999999999999</c:v>
                </c:pt>
                <c:pt idx="372">
                  <c:v>2.9280000000000008</c:v>
                </c:pt>
                <c:pt idx="373">
                  <c:v>2.952</c:v>
                </c:pt>
                <c:pt idx="374">
                  <c:v>2.9760000000000009</c:v>
                </c:pt>
                <c:pt idx="375">
                  <c:v>3</c:v>
                </c:pt>
                <c:pt idx="376">
                  <c:v>3.0239999999999991</c:v>
                </c:pt>
                <c:pt idx="377">
                  <c:v>3.048</c:v>
                </c:pt>
                <c:pt idx="378">
                  <c:v>3.0719999999999992</c:v>
                </c:pt>
                <c:pt idx="379">
                  <c:v>3.0960000000000001</c:v>
                </c:pt>
                <c:pt idx="380">
                  <c:v>3.1199999999999992</c:v>
                </c:pt>
                <c:pt idx="381">
                  <c:v>3.1440000000000001</c:v>
                </c:pt>
                <c:pt idx="382">
                  <c:v>3.1679999999999993</c:v>
                </c:pt>
                <c:pt idx="383">
                  <c:v>3.1920000000000002</c:v>
                </c:pt>
                <c:pt idx="384">
                  <c:v>3.2159999999999993</c:v>
                </c:pt>
                <c:pt idx="385">
                  <c:v>3.24</c:v>
                </c:pt>
                <c:pt idx="386">
                  <c:v>3.2639999999999993</c:v>
                </c:pt>
                <c:pt idx="387">
                  <c:v>3.2880000000000003</c:v>
                </c:pt>
                <c:pt idx="388">
                  <c:v>3.3119999999999994</c:v>
                </c:pt>
                <c:pt idx="389">
                  <c:v>3.3360000000000003</c:v>
                </c:pt>
                <c:pt idx="390">
                  <c:v>3.3599999999999994</c:v>
                </c:pt>
                <c:pt idx="391">
                  <c:v>3.3840000000000003</c:v>
                </c:pt>
                <c:pt idx="392">
                  <c:v>3.4079999999999995</c:v>
                </c:pt>
                <c:pt idx="393">
                  <c:v>3.4320000000000004</c:v>
                </c:pt>
                <c:pt idx="394">
                  <c:v>3.4559999999999995</c:v>
                </c:pt>
                <c:pt idx="395">
                  <c:v>3.4800000000000004</c:v>
                </c:pt>
                <c:pt idx="396">
                  <c:v>3.5039999999999996</c:v>
                </c:pt>
                <c:pt idx="397">
                  <c:v>3.5280000000000005</c:v>
                </c:pt>
                <c:pt idx="398">
                  <c:v>3.5519999999999996</c:v>
                </c:pt>
                <c:pt idx="399">
                  <c:v>3.5760000000000005</c:v>
                </c:pt>
                <c:pt idx="400">
                  <c:v>3.5999999999999996</c:v>
                </c:pt>
                <c:pt idx="401">
                  <c:v>3.6240000000000006</c:v>
                </c:pt>
                <c:pt idx="402">
                  <c:v>3.6479999999999997</c:v>
                </c:pt>
                <c:pt idx="403">
                  <c:v>3.6720000000000006</c:v>
                </c:pt>
                <c:pt idx="404">
                  <c:v>3.6959999999999997</c:v>
                </c:pt>
                <c:pt idx="405">
                  <c:v>3.7200000000000006</c:v>
                </c:pt>
                <c:pt idx="406">
                  <c:v>3.7439999999999998</c:v>
                </c:pt>
                <c:pt idx="407">
                  <c:v>3.7680000000000007</c:v>
                </c:pt>
                <c:pt idx="408">
                  <c:v>3.7919999999999998</c:v>
                </c:pt>
                <c:pt idx="409">
                  <c:v>3.8160000000000007</c:v>
                </c:pt>
                <c:pt idx="410">
                  <c:v>3.84</c:v>
                </c:pt>
                <c:pt idx="411">
                  <c:v>3.8640000000000008</c:v>
                </c:pt>
                <c:pt idx="412">
                  <c:v>3.8879999999999999</c:v>
                </c:pt>
                <c:pt idx="413">
                  <c:v>3.9120000000000008</c:v>
                </c:pt>
                <c:pt idx="414">
                  <c:v>3.9359999999999999</c:v>
                </c:pt>
                <c:pt idx="415">
                  <c:v>3.9600000000000009</c:v>
                </c:pt>
                <c:pt idx="416">
                  <c:v>3.984</c:v>
                </c:pt>
                <c:pt idx="417">
                  <c:v>4.0079999999999991</c:v>
                </c:pt>
                <c:pt idx="418">
                  <c:v>4.032</c:v>
                </c:pt>
                <c:pt idx="419">
                  <c:v>4.0559999999999992</c:v>
                </c:pt>
                <c:pt idx="420">
                  <c:v>4.08</c:v>
                </c:pt>
                <c:pt idx="421">
                  <c:v>4.1039999999999992</c:v>
                </c:pt>
                <c:pt idx="422">
                  <c:v>4.1280000000000001</c:v>
                </c:pt>
                <c:pt idx="423">
                  <c:v>4.1519999999999992</c:v>
                </c:pt>
                <c:pt idx="424">
                  <c:v>4.1760000000000002</c:v>
                </c:pt>
                <c:pt idx="425">
                  <c:v>4.1999999999999993</c:v>
                </c:pt>
                <c:pt idx="426">
                  <c:v>4.2240000000000002</c:v>
                </c:pt>
                <c:pt idx="427">
                  <c:v>4.2479999999999993</c:v>
                </c:pt>
                <c:pt idx="428">
                  <c:v>4.2720000000000002</c:v>
                </c:pt>
                <c:pt idx="429">
                  <c:v>4.2959999999999994</c:v>
                </c:pt>
                <c:pt idx="430">
                  <c:v>4.32</c:v>
                </c:pt>
                <c:pt idx="431">
                  <c:v>4.3439999999999994</c:v>
                </c:pt>
                <c:pt idx="432">
                  <c:v>4.3680000000000003</c:v>
                </c:pt>
                <c:pt idx="433">
                  <c:v>4.3919999999999995</c:v>
                </c:pt>
                <c:pt idx="434">
                  <c:v>4.4160000000000004</c:v>
                </c:pt>
                <c:pt idx="435">
                  <c:v>4.4399999999999995</c:v>
                </c:pt>
                <c:pt idx="436">
                  <c:v>4.4640000000000004</c:v>
                </c:pt>
                <c:pt idx="437">
                  <c:v>4.4879999999999995</c:v>
                </c:pt>
                <c:pt idx="438">
                  <c:v>4.5120000000000005</c:v>
                </c:pt>
                <c:pt idx="439">
                  <c:v>4.5359999999999996</c:v>
                </c:pt>
                <c:pt idx="440">
                  <c:v>4.5600000000000005</c:v>
                </c:pt>
                <c:pt idx="441">
                  <c:v>4.5839999999999996</c:v>
                </c:pt>
                <c:pt idx="442">
                  <c:v>4.6080000000000005</c:v>
                </c:pt>
                <c:pt idx="443">
                  <c:v>4.6319999999999997</c:v>
                </c:pt>
                <c:pt idx="444">
                  <c:v>4.6560000000000006</c:v>
                </c:pt>
                <c:pt idx="445">
                  <c:v>4.68</c:v>
                </c:pt>
                <c:pt idx="446">
                  <c:v>4.7040000000000006</c:v>
                </c:pt>
                <c:pt idx="447">
                  <c:v>4.7279999999999998</c:v>
                </c:pt>
                <c:pt idx="448">
                  <c:v>4.7520000000000007</c:v>
                </c:pt>
                <c:pt idx="449">
                  <c:v>4.7759999999999998</c:v>
                </c:pt>
                <c:pt idx="450">
                  <c:v>4.8000000000000007</c:v>
                </c:pt>
                <c:pt idx="451">
                  <c:v>4.8239999999999998</c:v>
                </c:pt>
                <c:pt idx="452">
                  <c:v>4.8480000000000008</c:v>
                </c:pt>
                <c:pt idx="453">
                  <c:v>4.8719999999999999</c:v>
                </c:pt>
                <c:pt idx="454">
                  <c:v>4.8960000000000008</c:v>
                </c:pt>
                <c:pt idx="455">
                  <c:v>4.92</c:v>
                </c:pt>
                <c:pt idx="456">
                  <c:v>4.9440000000000008</c:v>
                </c:pt>
                <c:pt idx="457">
                  <c:v>4.968</c:v>
                </c:pt>
                <c:pt idx="458">
                  <c:v>4.9920000000000009</c:v>
                </c:pt>
                <c:pt idx="459">
                  <c:v>5.016</c:v>
                </c:pt>
                <c:pt idx="460">
                  <c:v>5.0399999999999991</c:v>
                </c:pt>
                <c:pt idx="461">
                  <c:v>5.0640000000000001</c:v>
                </c:pt>
                <c:pt idx="462">
                  <c:v>5.0879999999999992</c:v>
                </c:pt>
                <c:pt idx="463">
                  <c:v>5.1120000000000001</c:v>
                </c:pt>
                <c:pt idx="464">
                  <c:v>5.1359999999999992</c:v>
                </c:pt>
                <c:pt idx="465">
                  <c:v>5.16</c:v>
                </c:pt>
                <c:pt idx="466">
                  <c:v>5.1839999999999993</c:v>
                </c:pt>
                <c:pt idx="467">
                  <c:v>5.2080000000000002</c:v>
                </c:pt>
                <c:pt idx="468">
                  <c:v>5.2319999999999993</c:v>
                </c:pt>
                <c:pt idx="469">
                  <c:v>5.2560000000000002</c:v>
                </c:pt>
                <c:pt idx="470">
                  <c:v>5.2799999999999994</c:v>
                </c:pt>
                <c:pt idx="471">
                  <c:v>5.3040000000000003</c:v>
                </c:pt>
                <c:pt idx="472">
                  <c:v>5.3279999999999994</c:v>
                </c:pt>
                <c:pt idx="473">
                  <c:v>5.3520000000000003</c:v>
                </c:pt>
                <c:pt idx="474">
                  <c:v>5.3759999999999994</c:v>
                </c:pt>
                <c:pt idx="475">
                  <c:v>5.4</c:v>
                </c:pt>
                <c:pt idx="476">
                  <c:v>5.4239999999999995</c:v>
                </c:pt>
                <c:pt idx="477">
                  <c:v>5.4480000000000004</c:v>
                </c:pt>
                <c:pt idx="478">
                  <c:v>5.4719999999999995</c:v>
                </c:pt>
                <c:pt idx="479">
                  <c:v>5.4960000000000004</c:v>
                </c:pt>
                <c:pt idx="480">
                  <c:v>5.52</c:v>
                </c:pt>
                <c:pt idx="481">
                  <c:v>5.5440000000000005</c:v>
                </c:pt>
                <c:pt idx="482">
                  <c:v>5.5679999999999996</c:v>
                </c:pt>
                <c:pt idx="483">
                  <c:v>5.5920000000000005</c:v>
                </c:pt>
                <c:pt idx="484">
                  <c:v>5.6159999999999997</c:v>
                </c:pt>
                <c:pt idx="485">
                  <c:v>5.6400000000000006</c:v>
                </c:pt>
                <c:pt idx="486">
                  <c:v>5.6639999999999997</c:v>
                </c:pt>
                <c:pt idx="487">
                  <c:v>5.6880000000000006</c:v>
                </c:pt>
                <c:pt idx="488">
                  <c:v>5.7119999999999997</c:v>
                </c:pt>
                <c:pt idx="489">
                  <c:v>5.7360000000000007</c:v>
                </c:pt>
                <c:pt idx="490">
                  <c:v>5.76</c:v>
                </c:pt>
                <c:pt idx="491">
                  <c:v>5.7840000000000007</c:v>
                </c:pt>
                <c:pt idx="492">
                  <c:v>5.8079999999999998</c:v>
                </c:pt>
                <c:pt idx="493">
                  <c:v>5.8320000000000007</c:v>
                </c:pt>
                <c:pt idx="494">
                  <c:v>5.8559999999999999</c:v>
                </c:pt>
                <c:pt idx="495">
                  <c:v>5.8800000000000008</c:v>
                </c:pt>
                <c:pt idx="496">
                  <c:v>5.9039999999999999</c:v>
                </c:pt>
                <c:pt idx="497">
                  <c:v>5.9280000000000008</c:v>
                </c:pt>
                <c:pt idx="498">
                  <c:v>5.952</c:v>
                </c:pt>
                <c:pt idx="499">
                  <c:v>5.9760000000000009</c:v>
                </c:pt>
                <c:pt idx="500">
                  <c:v>6</c:v>
                </c:pt>
              </c:numCache>
            </c:numRef>
          </c:xVal>
          <c:yVal>
            <c:numRef>
              <c:f>'Fig 1 - single value test'!$E$101:$E$601</c:f>
              <c:numCache>
                <c:formatCode>General</c:formatCode>
                <c:ptCount val="501"/>
                <c:pt idx="0">
                  <c:v>6.0758828498232861E-9</c:v>
                </c:pt>
                <c:pt idx="1">
                  <c:v>7.014919960620633E-9</c:v>
                </c:pt>
                <c:pt idx="2">
                  <c:v>8.094422981541427E-9</c:v>
                </c:pt>
                <c:pt idx="3">
                  <c:v>9.3346688630663452E-9</c:v>
                </c:pt>
                <c:pt idx="4">
                  <c:v>1.0758749212031231E-8</c:v>
                </c:pt>
                <c:pt idx="5">
                  <c:v>1.239294431415013E-8</c:v>
                </c:pt>
                <c:pt idx="6">
                  <c:v>1.4267144462795874E-8</c:v>
                </c:pt>
                <c:pt idx="7">
                  <c:v>1.6415324245220411E-8</c:v>
                </c:pt>
                <c:pt idx="8">
                  <c:v>1.8876076068122808E-8</c:v>
                </c:pt>
                <c:pt idx="9">
                  <c:v>2.1693209899897982E-8</c:v>
                </c:pt>
                <c:pt idx="10">
                  <c:v>2.4916426972950989E-8</c:v>
                </c:pt>
                <c:pt idx="11">
                  <c:v>2.8602076032540175E-8</c:v>
                </c:pt>
                <c:pt idx="12">
                  <c:v>3.2814001645590985E-8</c:v>
                </c:pt>
                <c:pt idx="13">
                  <c:v>3.7624495101197993E-8</c:v>
                </c:pt>
                <c:pt idx="14">
                  <c:v>4.3115359552033492E-8</c:v>
                </c:pt>
                <c:pt idx="15">
                  <c:v>4.937910227110449E-8</c:v>
                </c:pt>
                <c:pt idx="16">
                  <c:v>5.6520268240340859E-8</c:v>
                </c:pt>
                <c:pt idx="17">
                  <c:v>6.465693075604519E-8</c:v>
                </c:pt>
                <c:pt idx="18">
                  <c:v>7.3922356341658018E-8</c:v>
                </c:pt>
                <c:pt idx="19">
                  <c:v>8.4466863011588381E-8</c:v>
                </c:pt>
                <c:pt idx="20">
                  <c:v>9.6459892842733842E-8</c:v>
                </c:pt>
                <c:pt idx="21">
                  <c:v>1.1009232189518106E-7</c:v>
                </c:pt>
                <c:pt idx="22">
                  <c:v>1.2557903279356918E-7</c:v>
                </c:pt>
                <c:pt idx="23">
                  <c:v>1.4316177774957213E-7</c:v>
                </c:pt>
                <c:pt idx="24">
                  <c:v>1.6311236248861487E-7</c:v>
                </c:pt>
                <c:pt idx="25">
                  <c:v>1.8573618445552897E-7</c:v>
                </c:pt>
                <c:pt idx="26">
                  <c:v>2.1137616183074064E-7</c:v>
                </c:pt>
                <c:pt idx="27">
                  <c:v>2.4041709330746573E-7</c:v>
                </c:pt>
                <c:pt idx="28">
                  <c:v>2.7329049227913221E-7</c:v>
                </c:pt>
                <c:pt idx="29">
                  <c:v>3.104799430831489E-7</c:v>
                </c:pt>
                <c:pt idx="30">
                  <c:v>3.5252703126140381E-7</c:v>
                </c:pt>
                <c:pt idx="31">
                  <c:v>4.0003790444932249E-7</c:v>
                </c:pt>
                <c:pt idx="32">
                  <c:v>4.5369052551441214E-7</c:v>
                </c:pt>
                <c:pt idx="33">
                  <c:v>5.1424268495308647E-7</c:v>
                </c:pt>
                <c:pt idx="34">
                  <c:v>5.8254084534283306E-7</c:v>
                </c:pt>
                <c:pt idx="35">
                  <c:v>6.5952989685752167E-7</c:v>
                </c:pt>
                <c:pt idx="36">
                  <c:v>7.4626390950944278E-7</c:v>
                </c:pt>
                <c:pt idx="37">
                  <c:v>8.4391797490514879E-7</c:v>
                </c:pt>
                <c:pt idx="38">
                  <c:v>9.5380123791647124E-7</c:v>
                </c:pt>
                <c:pt idx="39">
                  <c:v>1.0773712267960586E-6</c:v>
                </c:pt>
                <c:pt idx="40">
                  <c:v>1.216249598931318E-6</c:v>
                </c:pt>
                <c:pt idx="41">
                  <c:v>1.3722394286545041E-6</c:v>
                </c:pt>
                <c:pt idx="42">
                  <c:v>1.5473441733317411E-6</c:v>
                </c:pt>
                <c:pt idx="43">
                  <c:v>1.7437884643617589E-6</c:v>
                </c:pt>
                <c:pt idx="44">
                  <c:v>1.9640408807463332E-6</c:v>
                </c:pt>
                <c:pt idx="45">
                  <c:v>2.2108388745684212E-6</c:v>
                </c:pt>
                <c:pt idx="46">
                  <c:v>2.4872160300486798E-6</c:v>
                </c:pt>
                <c:pt idx="47">
                  <c:v>2.7965318508624735E-6</c:v>
                </c:pt>
                <c:pt idx="48">
                  <c:v>3.1425042841019479E-6</c:v>
                </c:pt>
                <c:pt idx="49">
                  <c:v>3.5292452036728565E-6</c:v>
                </c:pt>
                <c:pt idx="50">
                  <c:v>3.9612990910320753E-6</c:v>
                </c:pt>
                <c:pt idx="51">
                  <c:v>4.443685167005601E-6</c:v>
                </c:pt>
                <c:pt idx="52">
                  <c:v>4.9819432449787926E-6</c:v>
                </c:pt>
                <c:pt idx="53">
                  <c:v>5.5821835930201659E-6</c:v>
                </c:pt>
                <c:pt idx="54">
                  <c:v>6.2511411104785546E-6</c:v>
                </c:pt>
                <c:pt idx="55">
                  <c:v>6.996234143270405E-6</c:v>
                </c:pt>
                <c:pt idx="56">
                  <c:v>7.825628281430239E-6</c:v>
                </c:pt>
                <c:pt idx="57">
                  <c:v>8.7483055025099134E-6</c:v>
                </c:pt>
                <c:pt idx="58">
                  <c:v>9.7741390450493509E-6</c:v>
                </c:pt>
                <c:pt idx="59">
                  <c:v>1.0913974417565564E-5</c:v>
                </c:pt>
                <c:pt idx="60">
                  <c:v>1.2179716970268655E-5</c:v>
                </c:pt>
                <c:pt idx="61">
                  <c:v>1.3584426478963919E-5</c:v>
                </c:pt>
                <c:pt idx="62">
                  <c:v>1.5142419213261371E-5</c:v>
                </c:pt>
                <c:pt idx="63">
                  <c:v>1.6869377984230626E-5</c:v>
                </c:pt>
                <c:pt idx="64">
                  <c:v>1.8782470689901945E-5</c:v>
                </c:pt>
                <c:pt idx="65">
                  <c:v>2.0900477900450482E-5</c:v>
                </c:pt>
                <c:pt idx="66">
                  <c:v>2.3243930048373714E-5</c:v>
                </c:pt>
                <c:pt idx="67">
                  <c:v>2.5835254812390093E-5</c:v>
                </c:pt>
                <c:pt idx="68">
                  <c:v>2.8698935306977618E-5</c:v>
                </c:pt>
                <c:pt idx="69">
                  <c:v>3.1861679712324516E-5</c:v>
                </c:pt>
                <c:pt idx="70">
                  <c:v>3.5352603001773097E-5</c:v>
                </c:pt>
                <c:pt idx="71">
                  <c:v>3.9203421445463005E-5</c:v>
                </c:pt>
                <c:pt idx="72">
                  <c:v>4.3448660589589352E-5</c:v>
                </c:pt>
                <c:pt idx="73">
                  <c:v>4.8125877430296982E-5</c:v>
                </c:pt>
                <c:pt idx="74">
                  <c:v>5.3275897519493968E-5</c:v>
                </c:pt>
                <c:pt idx="75">
                  <c:v>5.8943067756539855E-5</c:v>
                </c:pt>
                <c:pt idx="76">
                  <c:v>6.5175525634586447E-5</c:v>
                </c:pt>
                <c:pt idx="77">
                  <c:v>7.2025485723041163E-5</c:v>
                </c:pt>
                <c:pt idx="78">
                  <c:v>7.9549544177881284E-5</c:v>
                </c:pt>
                <c:pt idx="79">
                  <c:v>8.7809002079064242E-5</c:v>
                </c:pt>
                <c:pt idx="80">
                  <c:v>9.687020839871926E-5</c:v>
                </c:pt>
                <c:pt idx="81">
                  <c:v>1.0680492340481771E-4</c:v>
                </c:pt>
                <c:pt idx="82">
                  <c:v>1.1769070330224524E-4</c:v>
                </c:pt>
                <c:pt idx="83">
                  <c:v>1.296113069062539E-4</c:v>
                </c:pt>
                <c:pt idx="84">
                  <c:v>1.4265712513176652E-4</c:v>
                </c:pt>
                <c:pt idx="85">
                  <c:v>1.5692563406553226E-4</c:v>
                </c:pt>
                <c:pt idx="86">
                  <c:v>1.7252187236626288E-4</c:v>
                </c:pt>
                <c:pt idx="87">
                  <c:v>1.8955894371021315E-4</c:v>
                </c:pt>
                <c:pt idx="88">
                  <c:v>2.0815854496572918E-4</c:v>
                </c:pt>
                <c:pt idx="89">
                  <c:v>2.2845152073967242E-4</c:v>
                </c:pt>
                <c:pt idx="90">
                  <c:v>2.5057844489086075E-4</c:v>
                </c:pt>
                <c:pt idx="91">
                  <c:v>2.7469022955031567E-4</c:v>
                </c:pt>
                <c:pt idx="92">
                  <c:v>3.0094876212471999E-4</c:v>
                </c:pt>
                <c:pt idx="93">
                  <c:v>3.2952757068762962E-4</c:v>
                </c:pt>
                <c:pt idx="94">
                  <c:v>3.6061251808220741E-4</c:v>
                </c:pt>
                <c:pt idx="95">
                  <c:v>3.9440252496915622E-4</c:v>
                </c:pt>
                <c:pt idx="96">
                  <c:v>4.3111032195367602E-4</c:v>
                </c:pt>
                <c:pt idx="97">
                  <c:v>4.7096323081532949E-4</c:v>
                </c:pt>
                <c:pt idx="98">
                  <c:v>5.1420397474424319E-4</c:v>
                </c:pt>
                <c:pt idx="99">
                  <c:v>5.6109151735582138E-4</c:v>
                </c:pt>
                <c:pt idx="100">
                  <c:v>6.119019301137719E-4</c:v>
                </c:pt>
                <c:pt idx="101">
                  <c:v>6.6692928763750227E-4</c:v>
                </c:pt>
                <c:pt idx="102">
                  <c:v>7.2648659020460105E-4</c:v>
                </c:pt>
                <c:pt idx="103">
                  <c:v>7.9090671258203761E-4</c:v>
                </c:pt>
                <c:pt idx="104">
                  <c:v>8.605433781307579E-4</c:v>
                </c:pt>
                <c:pt idx="105">
                  <c:v>9.3577215692747977E-4</c:v>
                </c:pt>
                <c:pt idx="106">
                  <c:v>1.0169914864347645E-3</c:v>
                </c:pt>
                <c:pt idx="107">
                  <c:v>1.1046237130258381E-3</c:v>
                </c:pt>
                <c:pt idx="108">
                  <c:v>1.1991161524345093E-3</c:v>
                </c:pt>
                <c:pt idx="109">
                  <c:v>1.3009421669529307E-3</c:v>
                </c:pt>
                <c:pt idx="110">
                  <c:v>1.4106022569413848E-3</c:v>
                </c:pt>
                <c:pt idx="111">
                  <c:v>1.528625163945144E-3</c:v>
                </c:pt>
                <c:pt idx="112">
                  <c:v>1.6555689824342061E-3</c:v>
                </c:pt>
                <c:pt idx="113">
                  <c:v>1.7920222768931734E-3</c:v>
                </c:pt>
                <c:pt idx="114">
                  <c:v>1.9386052006913181E-3</c:v>
                </c:pt>
                <c:pt idx="115">
                  <c:v>2.0959706128579419E-3</c:v>
                </c:pt>
                <c:pt idx="116">
                  <c:v>2.264805188576479E-3</c:v>
                </c:pt>
                <c:pt idx="117">
                  <c:v>2.4458305188934013E-3</c:v>
                </c:pt>
                <c:pt idx="118">
                  <c:v>2.6398041948164515E-3</c:v>
                </c:pt>
                <c:pt idx="119">
                  <c:v>2.8475208706519421E-3</c:v>
                </c:pt>
                <c:pt idx="120">
                  <c:v>3.0698133011047403E-3</c:v>
                </c:pt>
                <c:pt idx="121">
                  <c:v>3.3075533463386006E-3</c:v>
                </c:pt>
                <c:pt idx="122">
                  <c:v>3.5616529388703346E-3</c:v>
                </c:pt>
                <c:pt idx="123">
                  <c:v>3.8330650058511109E-3</c:v>
                </c:pt>
                <c:pt idx="124">
                  <c:v>4.122784339973702E-3</c:v>
                </c:pt>
                <c:pt idx="125">
                  <c:v>4.4318484119380075E-3</c:v>
                </c:pt>
                <c:pt idx="126">
                  <c:v>4.7613381171110044E-3</c:v>
                </c:pt>
                <c:pt idx="127">
                  <c:v>5.1123784487336638E-3</c:v>
                </c:pt>
                <c:pt idx="128">
                  <c:v>5.4861390897588055E-3</c:v>
                </c:pt>
                <c:pt idx="129">
                  <c:v>5.883834915153101E-3</c:v>
                </c:pt>
                <c:pt idx="130">
                  <c:v>6.3067263962659275E-3</c:v>
                </c:pt>
                <c:pt idx="131">
                  <c:v>6.7561198986603012E-3</c:v>
                </c:pt>
                <c:pt idx="132">
                  <c:v>7.2333678646196876E-3</c:v>
                </c:pt>
                <c:pt idx="133">
                  <c:v>7.739868871391698E-3</c:v>
                </c:pt>
                <c:pt idx="134">
                  <c:v>8.2770675561084951E-3</c:v>
                </c:pt>
                <c:pt idx="135">
                  <c:v>8.8464543982372315E-3</c:v>
                </c:pt>
                <c:pt idx="136">
                  <c:v>9.4495653503647182E-3</c:v>
                </c:pt>
                <c:pt idx="137">
                  <c:v>1.0087981308111881E-2</c:v>
                </c:pt>
                <c:pt idx="138">
                  <c:v>1.0763327410007743E-2</c:v>
                </c:pt>
                <c:pt idx="139">
                  <c:v>1.1477272158233751E-2</c:v>
                </c:pt>
                <c:pt idx="140">
                  <c:v>1.2231526351277971E-2</c:v>
                </c:pt>
                <c:pt idx="141">
                  <c:v>1.3027841819719665E-2</c:v>
                </c:pt>
                <c:pt idx="142">
                  <c:v>1.3868009956599181E-2</c:v>
                </c:pt>
                <c:pt idx="143">
                  <c:v>1.4753860034118634E-2</c:v>
                </c:pt>
                <c:pt idx="144">
                  <c:v>1.5687257298768114E-2</c:v>
                </c:pt>
                <c:pt idx="145">
                  <c:v>1.6670100837381057E-2</c:v>
                </c:pt>
                <c:pt idx="146">
                  <c:v>1.7704321207094212E-2</c:v>
                </c:pt>
                <c:pt idx="147">
                  <c:v>1.8791877822721837E-2</c:v>
                </c:pt>
                <c:pt idx="148">
                  <c:v>1.993475609565365E-2</c:v>
                </c:pt>
                <c:pt idx="149">
                  <c:v>2.1134964319050476E-2</c:v>
                </c:pt>
                <c:pt idx="150">
                  <c:v>2.2394530294842899E-2</c:v>
                </c:pt>
                <c:pt idx="151">
                  <c:v>2.3715497698834857E-2</c:v>
                </c:pt>
                <c:pt idx="152">
                  <c:v>2.5099922181077771E-2</c:v>
                </c:pt>
                <c:pt idx="153">
                  <c:v>2.65498671996088E-2</c:v>
                </c:pt>
                <c:pt idx="154">
                  <c:v>2.8067399586640101E-2</c:v>
                </c:pt>
                <c:pt idx="155">
                  <c:v>2.9654584847341278E-2</c:v>
                </c:pt>
                <c:pt idx="156">
                  <c:v>3.131348219247429E-2</c:v>
                </c:pt>
                <c:pt idx="157">
                  <c:v>3.3046139307314801E-2</c:v>
                </c:pt>
                <c:pt idx="158">
                  <c:v>3.4854586860525415E-2</c:v>
                </c:pt>
                <c:pt idx="159">
                  <c:v>3.6740832757928006E-2</c:v>
                </c:pt>
                <c:pt idx="160">
                  <c:v>3.8706856147455608E-2</c:v>
                </c:pt>
                <c:pt idx="161">
                  <c:v>4.0754601182937548E-2</c:v>
                </c:pt>
                <c:pt idx="162">
                  <c:v>4.2885970555787321E-2</c:v>
                </c:pt>
                <c:pt idx="163">
                  <c:v>4.5102818805110016E-2</c:v>
                </c:pt>
                <c:pt idx="164">
                  <c:v>4.7406945418221713E-2</c:v>
                </c:pt>
                <c:pt idx="165">
                  <c:v>4.9800087735070775E-2</c:v>
                </c:pt>
                <c:pt idx="166">
                  <c:v>5.2283913671562113E-2</c:v>
                </c:pt>
                <c:pt idx="167">
                  <c:v>5.4860014278304732E-2</c:v>
                </c:pt>
                <c:pt idx="168">
                  <c:v>5.7529896152820871E-2</c:v>
                </c:pt>
                <c:pt idx="169">
                  <c:v>6.0294973724765701E-2</c:v>
                </c:pt>
                <c:pt idx="170">
                  <c:v>6.3156561435198655E-2</c:v>
                </c:pt>
                <c:pt idx="171">
                  <c:v>6.6115865832415521E-2</c:v>
                </c:pt>
                <c:pt idx="172">
                  <c:v>6.9173977608282505E-2</c:v>
                </c:pt>
                <c:pt idx="173">
                  <c:v>7.2331863600401836E-2</c:v>
                </c:pt>
                <c:pt idx="174">
                  <c:v>7.5590358786774225E-2</c:v>
                </c:pt>
                <c:pt idx="175">
                  <c:v>7.8950158300894177E-2</c:v>
                </c:pt>
                <c:pt idx="176">
                  <c:v>8.2411809496414523E-2</c:v>
                </c:pt>
                <c:pt idx="177">
                  <c:v>8.5975704091632174E-2</c:v>
                </c:pt>
                <c:pt idx="178">
                  <c:v>8.9642070425072398E-2</c:v>
                </c:pt>
                <c:pt idx="179">
                  <c:v>9.3410965854371211E-2</c:v>
                </c:pt>
                <c:pt idx="180">
                  <c:v>9.7282269331467539E-2</c:v>
                </c:pt>
                <c:pt idx="181">
                  <c:v>0.10125567418780883</c:v>
                </c:pt>
                <c:pt idx="182">
                  <c:v>0.10533068116383558</c:v>
                </c:pt>
                <c:pt idx="183">
                  <c:v>0.1095065917174368</c:v>
                </c:pt>
                <c:pt idx="184">
                  <c:v>0.11378250164634682</c:v>
                </c:pt>
                <c:pt idx="185">
                  <c:v>0.11815729505958236</c:v>
                </c:pt>
                <c:pt idx="186">
                  <c:v>0.12262963873298507</c:v>
                </c:pt>
                <c:pt idx="187">
                  <c:v>0.12719797688373657</c:v>
                </c:pt>
                <c:pt idx="188">
                  <c:v>0.13186052639834273</c:v>
                </c:pt>
                <c:pt idx="189">
                  <c:v>0.1366152725480389</c:v>
                </c:pt>
                <c:pt idx="190">
                  <c:v>0.1414599652248387</c:v>
                </c:pt>
                <c:pt idx="191">
                  <c:v>0.1463921157305455</c:v>
                </c:pt>
                <c:pt idx="192">
                  <c:v>0.15140899414994616</c:v>
                </c:pt>
                <c:pt idx="193">
                  <c:v>0.15650762733813126</c:v>
                </c:pt>
                <c:pt idx="194">
                  <c:v>0.1616847975504194</c:v>
                </c:pt>
                <c:pt idx="195">
                  <c:v>0.16693704174171375</c:v>
                </c:pt>
                <c:pt idx="196">
                  <c:v>0.17226065156028758</c:v>
                </c:pt>
                <c:pt idx="197">
                  <c:v>0.1776516740589851</c:v>
                </c:pt>
                <c:pt idx="198">
                  <c:v>0.18310591314463986</c:v>
                </c:pt>
                <c:pt idx="199">
                  <c:v>0.18861893178415948</c:v>
                </c:pt>
                <c:pt idx="200">
                  <c:v>0.19418605498321292</c:v>
                </c:pt>
                <c:pt idx="201">
                  <c:v>0.19980237355078795</c:v>
                </c:pt>
                <c:pt idx="202">
                  <c:v>0.20546274866007688</c:v>
                </c:pt>
                <c:pt idx="203">
                  <c:v>0.21116181721320312</c:v>
                </c:pt>
                <c:pt idx="204">
                  <c:v>0.21689399801423551</c:v>
                </c:pt>
                <c:pt idx="205">
                  <c:v>0.22265349875176113</c:v>
                </c:pt>
                <c:pt idx="206">
                  <c:v>0.22843432378901604</c:v>
                </c:pt>
                <c:pt idx="207">
                  <c:v>0.23423028275621952</c:v>
                </c:pt>
                <c:pt idx="208">
                  <c:v>0.2400349999363395</c:v>
                </c:pt>
                <c:pt idx="209">
                  <c:v>0.24584192443204717</c:v>
                </c:pt>
                <c:pt idx="210">
                  <c:v>0.25164434109811712</c:v>
                </c:pt>
                <c:pt idx="211">
                  <c:v>0.25743538222001205</c:v>
                </c:pt>
                <c:pt idx="212">
                  <c:v>0.2632080399158771</c:v>
                </c:pt>
                <c:pt idx="213">
                  <c:v>0.26895517923567464</c:v>
                </c:pt>
                <c:pt idx="214">
                  <c:v>0.27466955192773695</c:v>
                </c:pt>
                <c:pt idx="215">
                  <c:v>0.28034381083962062</c:v>
                </c:pt>
                <c:pt idx="216">
                  <c:v>0.28597052491682845</c:v>
                </c:pt>
                <c:pt idx="217">
                  <c:v>0.29154219475974724</c:v>
                </c:pt>
                <c:pt idx="218">
                  <c:v>0.2970512686960452</c:v>
                </c:pt>
                <c:pt idx="219">
                  <c:v>0.30249015932280471</c:v>
                </c:pt>
                <c:pt idx="220">
                  <c:v>0.30785126046985301</c:v>
                </c:pt>
                <c:pt idx="221">
                  <c:v>0.3131269645331039</c:v>
                </c:pt>
                <c:pt idx="222">
                  <c:v>0.3183096801242743</c:v>
                </c:pt>
                <c:pt idx="223">
                  <c:v>0.32339184998107995</c:v>
                </c:pt>
                <c:pt idx="224">
                  <c:v>0.32836596907998766</c:v>
                </c:pt>
                <c:pt idx="225">
                  <c:v>0.33322460289179973</c:v>
                </c:pt>
                <c:pt idx="226">
                  <c:v>0.33796040571879715</c:v>
                </c:pt>
                <c:pt idx="227">
                  <c:v>0.34256613905087624</c:v>
                </c:pt>
                <c:pt idx="228">
                  <c:v>0.34703468987709241</c:v>
                </c:pt>
                <c:pt idx="229">
                  <c:v>0.3513590888882841</c:v>
                </c:pt>
                <c:pt idx="230">
                  <c:v>0.35553252850599704</c:v>
                </c:pt>
                <c:pt idx="231">
                  <c:v>0.35954838067276951</c:v>
                </c:pt>
                <c:pt idx="232">
                  <c:v>0.36340021433897718</c:v>
                </c:pt>
                <c:pt idx="233">
                  <c:v>0.36708181258188249</c:v>
                </c:pt>
                <c:pt idx="234">
                  <c:v>0.3705871892932735</c:v>
                </c:pt>
                <c:pt idx="235">
                  <c:v>0.37391060537312837</c:v>
                </c:pt>
                <c:pt idx="236">
                  <c:v>0.37704658436808808</c:v>
                </c:pt>
                <c:pt idx="237">
                  <c:v>0.37998992749516874</c:v>
                </c:pt>
                <c:pt idx="238">
                  <c:v>0.38273572799307848</c:v>
                </c:pt>
                <c:pt idx="239">
                  <c:v>0.38527938474572759</c:v>
                </c:pt>
                <c:pt idx="240">
                  <c:v>0.38761661512501411</c:v>
                </c:pt>
                <c:pt idx="241">
                  <c:v>0.38974346700272944</c:v>
                </c:pt>
                <c:pt idx="242">
                  <c:v>0.39165632988443705</c:v>
                </c:pt>
                <c:pt idx="243">
                  <c:v>0.39335194512142974</c:v>
                </c:pt>
                <c:pt idx="244">
                  <c:v>0.39482741516033976</c:v>
                </c:pt>
                <c:pt idx="245">
                  <c:v>0.3960802117936561</c:v>
                </c:pt>
                <c:pt idx="246">
                  <c:v>0.39710818337826648</c:v>
                </c:pt>
                <c:pt idx="247">
                  <c:v>0.39790956099317593</c:v>
                </c:pt>
                <c:pt idx="248">
                  <c:v>0.39848296351173551</c:v>
                </c:pt>
                <c:pt idx="249">
                  <c:v>0.39882740156802315</c:v>
                </c:pt>
                <c:pt idx="250">
                  <c:v>0.3989422804014327</c:v>
                </c:pt>
                <c:pt idx="251">
                  <c:v>0.39882740156802315</c:v>
                </c:pt>
                <c:pt idx="252">
                  <c:v>0.39848296351173551</c:v>
                </c:pt>
                <c:pt idx="253">
                  <c:v>0.39790956099317593</c:v>
                </c:pt>
                <c:pt idx="254">
                  <c:v>0.39710818337826648</c:v>
                </c:pt>
                <c:pt idx="255">
                  <c:v>0.3960802117936561</c:v>
                </c:pt>
                <c:pt idx="256">
                  <c:v>0.39482741516033976</c:v>
                </c:pt>
                <c:pt idx="257">
                  <c:v>0.39335194512142974</c:v>
                </c:pt>
                <c:pt idx="258">
                  <c:v>0.39165632988443705</c:v>
                </c:pt>
                <c:pt idx="259">
                  <c:v>0.38974346700272944</c:v>
                </c:pt>
                <c:pt idx="260">
                  <c:v>0.38761661512501411</c:v>
                </c:pt>
                <c:pt idx="261">
                  <c:v>0.38527938474572759</c:v>
                </c:pt>
                <c:pt idx="262">
                  <c:v>0.38273572799307848</c:v>
                </c:pt>
                <c:pt idx="263">
                  <c:v>0.37998992749516874</c:v>
                </c:pt>
                <c:pt idx="264">
                  <c:v>0.37704658436808808</c:v>
                </c:pt>
                <c:pt idx="265">
                  <c:v>0.37391060537312837</c:v>
                </c:pt>
                <c:pt idx="266">
                  <c:v>0.3705871892932735</c:v>
                </c:pt>
                <c:pt idx="267">
                  <c:v>0.36708181258188249</c:v>
                </c:pt>
                <c:pt idx="268">
                  <c:v>0.36340021433897718</c:v>
                </c:pt>
                <c:pt idx="269">
                  <c:v>0.35954838067276951</c:v>
                </c:pt>
                <c:pt idx="270">
                  <c:v>0.35553252850599704</c:v>
                </c:pt>
                <c:pt idx="271">
                  <c:v>0.3513590888882841</c:v>
                </c:pt>
                <c:pt idx="272">
                  <c:v>0.34703468987709241</c:v>
                </c:pt>
                <c:pt idx="273">
                  <c:v>0.34256613905087624</c:v>
                </c:pt>
                <c:pt idx="274">
                  <c:v>0.33796040571879715</c:v>
                </c:pt>
                <c:pt idx="275">
                  <c:v>0.33322460289179973</c:v>
                </c:pt>
                <c:pt idx="276">
                  <c:v>0.32836596907998766</c:v>
                </c:pt>
                <c:pt idx="277">
                  <c:v>0.32339184998107995</c:v>
                </c:pt>
                <c:pt idx="278">
                  <c:v>0.3183096801242743</c:v>
                </c:pt>
                <c:pt idx="279">
                  <c:v>0.3131269645331039</c:v>
                </c:pt>
                <c:pt idx="280">
                  <c:v>0.30785126046985301</c:v>
                </c:pt>
                <c:pt idx="281">
                  <c:v>0.30249015932280471</c:v>
                </c:pt>
                <c:pt idx="282">
                  <c:v>0.2970512686960452</c:v>
                </c:pt>
                <c:pt idx="283">
                  <c:v>0.29154219475974724</c:v>
                </c:pt>
                <c:pt idx="284">
                  <c:v>0.28597052491682845</c:v>
                </c:pt>
                <c:pt idx="285">
                  <c:v>0.28034381083962062</c:v>
                </c:pt>
                <c:pt idx="286">
                  <c:v>0.27466955192773695</c:v>
                </c:pt>
                <c:pt idx="287">
                  <c:v>0.26895517923567464</c:v>
                </c:pt>
                <c:pt idx="288">
                  <c:v>0.2632080399158771</c:v>
                </c:pt>
                <c:pt idx="289">
                  <c:v>0.25743538222001205</c:v>
                </c:pt>
                <c:pt idx="290">
                  <c:v>0.25164434109811712</c:v>
                </c:pt>
                <c:pt idx="291">
                  <c:v>0.24584192443204717</c:v>
                </c:pt>
                <c:pt idx="292">
                  <c:v>0.2400349999363395</c:v>
                </c:pt>
                <c:pt idx="293">
                  <c:v>0.23423028275621952</c:v>
                </c:pt>
                <c:pt idx="294">
                  <c:v>0.22843432378901604</c:v>
                </c:pt>
                <c:pt idx="295">
                  <c:v>0.22265349875176113</c:v>
                </c:pt>
                <c:pt idx="296">
                  <c:v>0.21689399801423551</c:v>
                </c:pt>
                <c:pt idx="297">
                  <c:v>0.21116181721320312</c:v>
                </c:pt>
                <c:pt idx="298">
                  <c:v>0.20546274866007688</c:v>
                </c:pt>
                <c:pt idx="299">
                  <c:v>0.19980237355078795</c:v>
                </c:pt>
                <c:pt idx="300">
                  <c:v>0.19418605498321292</c:v>
                </c:pt>
                <c:pt idx="301">
                  <c:v>0.18861893178415948</c:v>
                </c:pt>
                <c:pt idx="302">
                  <c:v>0.18310591314463986</c:v>
                </c:pt>
                <c:pt idx="303">
                  <c:v>0.1776516740589851</c:v>
                </c:pt>
                <c:pt idx="304">
                  <c:v>0.17226065156028758</c:v>
                </c:pt>
                <c:pt idx="305">
                  <c:v>0.16693704174171375</c:v>
                </c:pt>
                <c:pt idx="306">
                  <c:v>0.1616847975504194</c:v>
                </c:pt>
                <c:pt idx="307">
                  <c:v>0.15650762733813126</c:v>
                </c:pt>
                <c:pt idx="308">
                  <c:v>0.15140899414994616</c:v>
                </c:pt>
                <c:pt idx="309">
                  <c:v>0.1463921157305455</c:v>
                </c:pt>
                <c:pt idx="310">
                  <c:v>0.1414599652248387</c:v>
                </c:pt>
                <c:pt idx="311">
                  <c:v>0.1366152725480389</c:v>
                </c:pt>
                <c:pt idx="312">
                  <c:v>0.13186052639834273</c:v>
                </c:pt>
                <c:pt idx="313">
                  <c:v>0.12719797688373657</c:v>
                </c:pt>
                <c:pt idx="314">
                  <c:v>0.12262963873298507</c:v>
                </c:pt>
                <c:pt idx="315">
                  <c:v>0.11815729505958236</c:v>
                </c:pt>
                <c:pt idx="316">
                  <c:v>0.11378250164634682</c:v>
                </c:pt>
                <c:pt idx="317">
                  <c:v>0.1095065917174368</c:v>
                </c:pt>
                <c:pt idx="318">
                  <c:v>0.10533068116383558</c:v>
                </c:pt>
                <c:pt idx="319">
                  <c:v>0.10125567418780883</c:v>
                </c:pt>
                <c:pt idx="320">
                  <c:v>9.7282269331467539E-2</c:v>
                </c:pt>
                <c:pt idx="321">
                  <c:v>9.3410965854371211E-2</c:v>
                </c:pt>
                <c:pt idx="322">
                  <c:v>8.9642070425072398E-2</c:v>
                </c:pt>
                <c:pt idx="323">
                  <c:v>8.5975704091632174E-2</c:v>
                </c:pt>
                <c:pt idx="324">
                  <c:v>8.2411809496414523E-2</c:v>
                </c:pt>
                <c:pt idx="325">
                  <c:v>7.8950158300894177E-2</c:v>
                </c:pt>
                <c:pt idx="326">
                  <c:v>7.5590358786774225E-2</c:v>
                </c:pt>
                <c:pt idx="327">
                  <c:v>7.2331863600401836E-2</c:v>
                </c:pt>
                <c:pt idx="328">
                  <c:v>6.9173977608282505E-2</c:v>
                </c:pt>
                <c:pt idx="329">
                  <c:v>6.6115865832415521E-2</c:v>
                </c:pt>
                <c:pt idx="330">
                  <c:v>6.3156561435198655E-2</c:v>
                </c:pt>
                <c:pt idx="331">
                  <c:v>6.0294973724765701E-2</c:v>
                </c:pt>
                <c:pt idx="332">
                  <c:v>5.7529896152820871E-2</c:v>
                </c:pt>
                <c:pt idx="333">
                  <c:v>5.4860014278304732E-2</c:v>
                </c:pt>
                <c:pt idx="334">
                  <c:v>5.2283913671562113E-2</c:v>
                </c:pt>
                <c:pt idx="335">
                  <c:v>4.9800087735070858E-2</c:v>
                </c:pt>
                <c:pt idx="336">
                  <c:v>4.7406945418221713E-2</c:v>
                </c:pt>
                <c:pt idx="337">
                  <c:v>4.5102818805110099E-2</c:v>
                </c:pt>
                <c:pt idx="338">
                  <c:v>4.2885970555787321E-2</c:v>
                </c:pt>
                <c:pt idx="339">
                  <c:v>4.0754601182937618E-2</c:v>
                </c:pt>
                <c:pt idx="340">
                  <c:v>3.8706856147455608E-2</c:v>
                </c:pt>
                <c:pt idx="341">
                  <c:v>3.6740832757928069E-2</c:v>
                </c:pt>
                <c:pt idx="342">
                  <c:v>3.4854586860525415E-2</c:v>
                </c:pt>
                <c:pt idx="343">
                  <c:v>3.3046139307314877E-2</c:v>
                </c:pt>
                <c:pt idx="344">
                  <c:v>3.1313482192474262E-2</c:v>
                </c:pt>
                <c:pt idx="345">
                  <c:v>2.9654584847341316E-2</c:v>
                </c:pt>
                <c:pt idx="346">
                  <c:v>2.8067399586640077E-2</c:v>
                </c:pt>
                <c:pt idx="347">
                  <c:v>2.6549867199608838E-2</c:v>
                </c:pt>
                <c:pt idx="348">
                  <c:v>2.5099922181077736E-2</c:v>
                </c:pt>
                <c:pt idx="349">
                  <c:v>2.3715497698834888E-2</c:v>
                </c:pt>
                <c:pt idx="350">
                  <c:v>2.2394530294842882E-2</c:v>
                </c:pt>
                <c:pt idx="351">
                  <c:v>2.1134964319050504E-2</c:v>
                </c:pt>
                <c:pt idx="352">
                  <c:v>1.9934756095653629E-2</c:v>
                </c:pt>
                <c:pt idx="353">
                  <c:v>1.8791877822721854E-2</c:v>
                </c:pt>
                <c:pt idx="354">
                  <c:v>1.7704321207094198E-2</c:v>
                </c:pt>
                <c:pt idx="355">
                  <c:v>1.6670100837381078E-2</c:v>
                </c:pt>
                <c:pt idx="356">
                  <c:v>1.56872572987681E-2</c:v>
                </c:pt>
                <c:pt idx="357">
                  <c:v>1.4753860034118655E-2</c:v>
                </c:pt>
                <c:pt idx="358">
                  <c:v>1.386800995659916E-2</c:v>
                </c:pt>
                <c:pt idx="359">
                  <c:v>1.3027841819719681E-2</c:v>
                </c:pt>
                <c:pt idx="360">
                  <c:v>1.2231526351277954E-2</c:v>
                </c:pt>
                <c:pt idx="361">
                  <c:v>1.1477272158233767E-2</c:v>
                </c:pt>
                <c:pt idx="362">
                  <c:v>1.0763327410007729E-2</c:v>
                </c:pt>
                <c:pt idx="363">
                  <c:v>1.008798130811189E-2</c:v>
                </c:pt>
                <c:pt idx="364">
                  <c:v>9.449565350364706E-3</c:v>
                </c:pt>
                <c:pt idx="365">
                  <c:v>8.8464543982372315E-3</c:v>
                </c:pt>
                <c:pt idx="366">
                  <c:v>8.277067556108476E-3</c:v>
                </c:pt>
                <c:pt idx="367">
                  <c:v>7.739868871391698E-3</c:v>
                </c:pt>
                <c:pt idx="368">
                  <c:v>7.2333678646196676E-3</c:v>
                </c:pt>
                <c:pt idx="369">
                  <c:v>6.7561198986603012E-3</c:v>
                </c:pt>
                <c:pt idx="370">
                  <c:v>6.3067263962659102E-3</c:v>
                </c:pt>
                <c:pt idx="371">
                  <c:v>5.883834915153101E-3</c:v>
                </c:pt>
                <c:pt idx="372">
                  <c:v>5.4861390897587908E-3</c:v>
                </c:pt>
                <c:pt idx="373">
                  <c:v>5.1123784487336638E-3</c:v>
                </c:pt>
                <c:pt idx="374">
                  <c:v>4.7613381171109914E-3</c:v>
                </c:pt>
                <c:pt idx="375">
                  <c:v>4.4318484119380075E-3</c:v>
                </c:pt>
                <c:pt idx="376">
                  <c:v>4.1227843399737132E-3</c:v>
                </c:pt>
                <c:pt idx="377">
                  <c:v>3.8330650058511109E-3</c:v>
                </c:pt>
                <c:pt idx="378">
                  <c:v>3.5616529388703441E-3</c:v>
                </c:pt>
                <c:pt idx="379">
                  <c:v>3.3075533463386006E-3</c:v>
                </c:pt>
                <c:pt idx="380">
                  <c:v>3.0698133011047486E-3</c:v>
                </c:pt>
                <c:pt idx="381">
                  <c:v>2.8475208706519421E-3</c:v>
                </c:pt>
                <c:pt idx="382">
                  <c:v>2.6398041948164589E-3</c:v>
                </c:pt>
                <c:pt idx="383">
                  <c:v>2.4458305188934013E-3</c:v>
                </c:pt>
                <c:pt idx="384">
                  <c:v>2.2648051885764847E-3</c:v>
                </c:pt>
                <c:pt idx="385">
                  <c:v>2.0959706128579419E-3</c:v>
                </c:pt>
                <c:pt idx="386">
                  <c:v>1.9386052006913198E-3</c:v>
                </c:pt>
                <c:pt idx="387">
                  <c:v>1.7920222768931717E-3</c:v>
                </c:pt>
                <c:pt idx="388">
                  <c:v>1.6555689824342091E-3</c:v>
                </c:pt>
                <c:pt idx="389">
                  <c:v>1.5286251639451411E-3</c:v>
                </c:pt>
                <c:pt idx="390">
                  <c:v>1.4106022569413861E-3</c:v>
                </c:pt>
                <c:pt idx="391">
                  <c:v>1.3009421669529281E-3</c:v>
                </c:pt>
                <c:pt idx="392">
                  <c:v>1.1991161524345115E-3</c:v>
                </c:pt>
                <c:pt idx="393">
                  <c:v>1.1046237130258364E-3</c:v>
                </c:pt>
                <c:pt idx="394">
                  <c:v>1.0169914864347654E-3</c:v>
                </c:pt>
                <c:pt idx="395">
                  <c:v>9.3577215692747804E-4</c:v>
                </c:pt>
                <c:pt idx="396">
                  <c:v>8.6054337813075866E-4</c:v>
                </c:pt>
                <c:pt idx="397">
                  <c:v>7.9090671258203685E-4</c:v>
                </c:pt>
                <c:pt idx="398">
                  <c:v>7.2648659020460235E-4</c:v>
                </c:pt>
                <c:pt idx="399">
                  <c:v>6.6692928763750108E-4</c:v>
                </c:pt>
                <c:pt idx="400">
                  <c:v>6.1190193011377298E-4</c:v>
                </c:pt>
                <c:pt idx="401">
                  <c:v>5.610915173558204E-4</c:v>
                </c:pt>
                <c:pt idx="402">
                  <c:v>5.1420397474424406E-4</c:v>
                </c:pt>
                <c:pt idx="403">
                  <c:v>4.7096323081532873E-4</c:v>
                </c:pt>
                <c:pt idx="404">
                  <c:v>4.3111032195367678E-4</c:v>
                </c:pt>
                <c:pt idx="405">
                  <c:v>3.9440252496915552E-4</c:v>
                </c:pt>
                <c:pt idx="406">
                  <c:v>3.6061251808220806E-4</c:v>
                </c:pt>
                <c:pt idx="407">
                  <c:v>3.2952757068762842E-4</c:v>
                </c:pt>
                <c:pt idx="408">
                  <c:v>3.0094876212471999E-4</c:v>
                </c:pt>
                <c:pt idx="409">
                  <c:v>2.746902295503147E-4</c:v>
                </c:pt>
                <c:pt idx="410">
                  <c:v>2.5057844489086075E-4</c:v>
                </c:pt>
                <c:pt idx="411">
                  <c:v>2.2845152073967183E-4</c:v>
                </c:pt>
                <c:pt idx="412">
                  <c:v>2.0815854496572918E-4</c:v>
                </c:pt>
                <c:pt idx="413">
                  <c:v>1.8955894371021248E-4</c:v>
                </c:pt>
                <c:pt idx="414">
                  <c:v>1.7252187236626288E-4</c:v>
                </c:pt>
                <c:pt idx="415">
                  <c:v>1.5692563406553169E-4</c:v>
                </c:pt>
                <c:pt idx="416">
                  <c:v>1.4265712513176652E-4</c:v>
                </c:pt>
                <c:pt idx="417">
                  <c:v>1.2961130690625436E-4</c:v>
                </c:pt>
                <c:pt idx="418">
                  <c:v>1.1769070330224524E-4</c:v>
                </c:pt>
                <c:pt idx="419">
                  <c:v>1.0680492340481808E-4</c:v>
                </c:pt>
                <c:pt idx="420">
                  <c:v>9.687020839871926E-5</c:v>
                </c:pt>
                <c:pt idx="421">
                  <c:v>8.7809002079064554E-5</c:v>
                </c:pt>
                <c:pt idx="422">
                  <c:v>7.9549544177881284E-5</c:v>
                </c:pt>
                <c:pt idx="423">
                  <c:v>7.2025485723041421E-5</c:v>
                </c:pt>
                <c:pt idx="424">
                  <c:v>6.5175525634586447E-5</c:v>
                </c:pt>
                <c:pt idx="425">
                  <c:v>5.8943067756540058E-5</c:v>
                </c:pt>
                <c:pt idx="426">
                  <c:v>5.3275897519493968E-5</c:v>
                </c:pt>
                <c:pt idx="427">
                  <c:v>4.8125877430297145E-5</c:v>
                </c:pt>
                <c:pt idx="428">
                  <c:v>4.3448660589589352E-5</c:v>
                </c:pt>
                <c:pt idx="429">
                  <c:v>3.9203421445463147E-5</c:v>
                </c:pt>
                <c:pt idx="430">
                  <c:v>3.5352603001773097E-5</c:v>
                </c:pt>
                <c:pt idx="431">
                  <c:v>3.1861679712324632E-5</c:v>
                </c:pt>
                <c:pt idx="432">
                  <c:v>2.8698935306977618E-5</c:v>
                </c:pt>
                <c:pt idx="433">
                  <c:v>2.5835254812390093E-5</c:v>
                </c:pt>
                <c:pt idx="434">
                  <c:v>2.3243930048373714E-5</c:v>
                </c:pt>
                <c:pt idx="435">
                  <c:v>2.0900477900450482E-5</c:v>
                </c:pt>
                <c:pt idx="436">
                  <c:v>1.8782470689901945E-5</c:v>
                </c:pt>
                <c:pt idx="437">
                  <c:v>1.6869377984230626E-5</c:v>
                </c:pt>
                <c:pt idx="438">
                  <c:v>1.5142419213261371E-5</c:v>
                </c:pt>
                <c:pt idx="439">
                  <c:v>1.3584426478963919E-5</c:v>
                </c:pt>
                <c:pt idx="440">
                  <c:v>1.2179716970268655E-5</c:v>
                </c:pt>
                <c:pt idx="441">
                  <c:v>1.0913974417565564E-5</c:v>
                </c:pt>
                <c:pt idx="442">
                  <c:v>9.7741390450493509E-6</c:v>
                </c:pt>
                <c:pt idx="443">
                  <c:v>8.7483055025099134E-6</c:v>
                </c:pt>
                <c:pt idx="444">
                  <c:v>7.8256282814302102E-6</c:v>
                </c:pt>
                <c:pt idx="445">
                  <c:v>6.996234143270405E-6</c:v>
                </c:pt>
                <c:pt idx="446">
                  <c:v>6.2511411104785215E-6</c:v>
                </c:pt>
                <c:pt idx="447">
                  <c:v>5.5821835930201659E-6</c:v>
                </c:pt>
                <c:pt idx="448">
                  <c:v>4.9819432449787756E-6</c:v>
                </c:pt>
                <c:pt idx="449">
                  <c:v>4.443685167005601E-6</c:v>
                </c:pt>
                <c:pt idx="450">
                  <c:v>3.9612990910320609E-6</c:v>
                </c:pt>
                <c:pt idx="451">
                  <c:v>3.5292452036728565E-6</c:v>
                </c:pt>
                <c:pt idx="452">
                  <c:v>3.1425042841019365E-6</c:v>
                </c:pt>
                <c:pt idx="453">
                  <c:v>2.7965318508624735E-6</c:v>
                </c:pt>
                <c:pt idx="454">
                  <c:v>2.4872160300486709E-6</c:v>
                </c:pt>
                <c:pt idx="455">
                  <c:v>2.2108388745684212E-6</c:v>
                </c:pt>
                <c:pt idx="456">
                  <c:v>1.9640408807463227E-6</c:v>
                </c:pt>
                <c:pt idx="457">
                  <c:v>1.7437884643617589E-6</c:v>
                </c:pt>
                <c:pt idx="458">
                  <c:v>1.5473441733317354E-6</c:v>
                </c:pt>
                <c:pt idx="459">
                  <c:v>1.3722394286545041E-6</c:v>
                </c:pt>
                <c:pt idx="460">
                  <c:v>1.2162495989313246E-6</c:v>
                </c:pt>
                <c:pt idx="461">
                  <c:v>1.0773712267960586E-6</c:v>
                </c:pt>
                <c:pt idx="462">
                  <c:v>9.5380123791647633E-7</c:v>
                </c:pt>
                <c:pt idx="463">
                  <c:v>8.4391797490514879E-7</c:v>
                </c:pt>
                <c:pt idx="464">
                  <c:v>7.4626390950944681E-7</c:v>
                </c:pt>
                <c:pt idx="465">
                  <c:v>6.5952989685752167E-7</c:v>
                </c:pt>
                <c:pt idx="466">
                  <c:v>5.8254084534283518E-7</c:v>
                </c:pt>
                <c:pt idx="467">
                  <c:v>5.1424268495308647E-7</c:v>
                </c:pt>
                <c:pt idx="468">
                  <c:v>4.5369052551441447E-7</c:v>
                </c:pt>
                <c:pt idx="469">
                  <c:v>4.0003790444932249E-7</c:v>
                </c:pt>
                <c:pt idx="470">
                  <c:v>3.5252703126140567E-7</c:v>
                </c:pt>
                <c:pt idx="471">
                  <c:v>3.104799430831489E-7</c:v>
                </c:pt>
                <c:pt idx="472">
                  <c:v>2.7329049227913364E-7</c:v>
                </c:pt>
                <c:pt idx="473">
                  <c:v>2.4041709330746573E-7</c:v>
                </c:pt>
                <c:pt idx="474">
                  <c:v>2.1137616183074136E-7</c:v>
                </c:pt>
                <c:pt idx="475">
                  <c:v>1.8573618445552897E-7</c:v>
                </c:pt>
                <c:pt idx="476">
                  <c:v>1.6311236248861543E-7</c:v>
                </c:pt>
                <c:pt idx="477">
                  <c:v>1.4316177774957213E-7</c:v>
                </c:pt>
                <c:pt idx="478">
                  <c:v>1.2557903279356918E-7</c:v>
                </c:pt>
                <c:pt idx="479">
                  <c:v>1.1009232189518106E-7</c:v>
                </c:pt>
                <c:pt idx="480">
                  <c:v>9.6459892842733842E-8</c:v>
                </c:pt>
                <c:pt idx="481">
                  <c:v>8.4466863011587931E-8</c:v>
                </c:pt>
                <c:pt idx="482">
                  <c:v>7.3922356341658018E-8</c:v>
                </c:pt>
                <c:pt idx="483">
                  <c:v>6.4656930756044859E-8</c:v>
                </c:pt>
                <c:pt idx="484">
                  <c:v>5.6520268240340859E-8</c:v>
                </c:pt>
                <c:pt idx="485">
                  <c:v>4.9379102271104225E-8</c:v>
                </c:pt>
                <c:pt idx="486">
                  <c:v>4.3115359552033492E-8</c:v>
                </c:pt>
                <c:pt idx="487">
                  <c:v>3.7624495101197867E-8</c:v>
                </c:pt>
                <c:pt idx="488">
                  <c:v>3.2814001645590985E-8</c:v>
                </c:pt>
                <c:pt idx="489">
                  <c:v>2.8602076032539976E-8</c:v>
                </c:pt>
                <c:pt idx="490">
                  <c:v>2.4916426972950989E-8</c:v>
                </c:pt>
                <c:pt idx="491">
                  <c:v>2.1693209899897903E-8</c:v>
                </c:pt>
                <c:pt idx="492">
                  <c:v>1.8876076068122808E-8</c:v>
                </c:pt>
                <c:pt idx="493">
                  <c:v>1.6415324245220292E-8</c:v>
                </c:pt>
                <c:pt idx="494">
                  <c:v>1.4267144462795874E-8</c:v>
                </c:pt>
                <c:pt idx="495">
                  <c:v>1.239294431415004E-8</c:v>
                </c:pt>
                <c:pt idx="496">
                  <c:v>1.0758749212031231E-8</c:v>
                </c:pt>
                <c:pt idx="497">
                  <c:v>9.3346688630663104E-9</c:v>
                </c:pt>
                <c:pt idx="498">
                  <c:v>8.094422981541427E-9</c:v>
                </c:pt>
                <c:pt idx="499">
                  <c:v>7.0149199606205826E-9</c:v>
                </c:pt>
                <c:pt idx="500">
                  <c:v>6.0758828498232861E-9</c:v>
                </c:pt>
              </c:numCache>
            </c:numRef>
          </c:yVal>
          <c:smooth val="0"/>
        </c:ser>
        <c:ser>
          <c:idx val="2"/>
          <c:order val="1"/>
          <c:tx>
            <c:v>random sample (x)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'Fig 1 - single value test'!$I$100</c:f>
              <c:numCache>
                <c:formatCode>General</c:formatCode>
                <c:ptCount val="1"/>
                <c:pt idx="0">
                  <c:v>8.387985011316984E-2</c:v>
                </c:pt>
              </c:numCache>
            </c:numRef>
          </c:xVal>
          <c:yVal>
            <c:numRef>
              <c:f>'Fig 1 - single value test'!$I$101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15616"/>
        <c:axId val="69873664"/>
      </c:scatterChart>
      <c:valAx>
        <c:axId val="68015616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out"/>
        <c:minorTickMark val="out"/>
        <c:tickLblPos val="nextTo"/>
        <c:crossAx val="69873664"/>
        <c:crosses val="autoZero"/>
        <c:crossBetween val="midCat"/>
        <c:majorUnit val="1"/>
        <c:minorUnit val="0.2"/>
      </c:valAx>
      <c:valAx>
        <c:axId val="69873664"/>
        <c:scaling>
          <c:orientation val="minMax"/>
          <c:max val="0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68015616"/>
        <c:crossesAt val="4"/>
        <c:crossBetween val="midCat"/>
      </c:valAx>
      <c:valAx>
        <c:axId val="69875584"/>
        <c:scaling>
          <c:orientation val="minMax"/>
          <c:max val="0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90698112"/>
        <c:crossesAt val="1"/>
        <c:crossBetween val="midCat"/>
      </c:valAx>
      <c:catAx>
        <c:axId val="90698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75584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2"/>
          <c:tx>
            <c:v>P(X &gt;= x)</c:v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cat>
            <c:numRef>
              <c:f>'Fig 1 - single value test'!$D$101:$D$201</c:f>
              <c:numCache>
                <c:formatCode>General</c:formatCode>
                <c:ptCount val="1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-5.4240000000000004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-4.6080000000000005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-4.3440000000000003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-3.7440000000000002</c:v>
                </c:pt>
                <c:pt idx="95">
                  <c:v>-3.72</c:v>
                </c:pt>
                <c:pt idx="96">
                  <c:v>-3.6960000000000002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</c:numCache>
            </c:numRef>
          </c:cat>
          <c:val>
            <c:numRef>
              <c:f>'Fig 1 - single value test'!$F$101:$F$601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0.39710818337826648</c:v>
                </c:pt>
                <c:pt idx="255">
                  <c:v>0.3960802117936561</c:v>
                </c:pt>
                <c:pt idx="256">
                  <c:v>0.39482741516033976</c:v>
                </c:pt>
                <c:pt idx="257">
                  <c:v>0.39335194512142974</c:v>
                </c:pt>
                <c:pt idx="258">
                  <c:v>0.39165632988443705</c:v>
                </c:pt>
                <c:pt idx="259">
                  <c:v>0.38974346700272944</c:v>
                </c:pt>
                <c:pt idx="260">
                  <c:v>0.38761661512501411</c:v>
                </c:pt>
                <c:pt idx="261">
                  <c:v>0.38527938474572759</c:v>
                </c:pt>
                <c:pt idx="262">
                  <c:v>0.38273572799307848</c:v>
                </c:pt>
                <c:pt idx="263">
                  <c:v>0.37998992749516874</c:v>
                </c:pt>
                <c:pt idx="264">
                  <c:v>0.37704658436808808</c:v>
                </c:pt>
                <c:pt idx="265">
                  <c:v>0.37391060537312837</c:v>
                </c:pt>
                <c:pt idx="266">
                  <c:v>0.3705871892932735</c:v>
                </c:pt>
                <c:pt idx="267">
                  <c:v>0.36708181258188249</c:v>
                </c:pt>
                <c:pt idx="268">
                  <c:v>0.36340021433897718</c:v>
                </c:pt>
                <c:pt idx="269">
                  <c:v>0.35954838067276951</c:v>
                </c:pt>
                <c:pt idx="270">
                  <c:v>0.35553252850599704</c:v>
                </c:pt>
                <c:pt idx="271">
                  <c:v>0.3513590888882841</c:v>
                </c:pt>
                <c:pt idx="272">
                  <c:v>0.34703468987709241</c:v>
                </c:pt>
                <c:pt idx="273">
                  <c:v>0.34256613905087624</c:v>
                </c:pt>
                <c:pt idx="274">
                  <c:v>0.33796040571879715</c:v>
                </c:pt>
                <c:pt idx="275">
                  <c:v>0.33322460289179973</c:v>
                </c:pt>
                <c:pt idx="276">
                  <c:v>0.32836596907998766</c:v>
                </c:pt>
                <c:pt idx="277">
                  <c:v>0.32339184998107995</c:v>
                </c:pt>
                <c:pt idx="278">
                  <c:v>0.3183096801242743</c:v>
                </c:pt>
                <c:pt idx="279">
                  <c:v>0.3131269645331039</c:v>
                </c:pt>
                <c:pt idx="280">
                  <c:v>0.30785126046985301</c:v>
                </c:pt>
                <c:pt idx="281">
                  <c:v>0.30249015932280471</c:v>
                </c:pt>
                <c:pt idx="282">
                  <c:v>0.2970512686960452</c:v>
                </c:pt>
                <c:pt idx="283">
                  <c:v>0.29154219475974724</c:v>
                </c:pt>
                <c:pt idx="284">
                  <c:v>0.28597052491682845</c:v>
                </c:pt>
                <c:pt idx="285">
                  <c:v>0.28034381083962062</c:v>
                </c:pt>
                <c:pt idx="286">
                  <c:v>0.27466955192773695</c:v>
                </c:pt>
                <c:pt idx="287">
                  <c:v>0.26895517923567464</c:v>
                </c:pt>
                <c:pt idx="288">
                  <c:v>0.2632080399158771</c:v>
                </c:pt>
                <c:pt idx="289">
                  <c:v>0.25743538222001205</c:v>
                </c:pt>
                <c:pt idx="290">
                  <c:v>0.25164434109811712</c:v>
                </c:pt>
                <c:pt idx="291">
                  <c:v>0.24584192443204717</c:v>
                </c:pt>
                <c:pt idx="292">
                  <c:v>0.2400349999363395</c:v>
                </c:pt>
                <c:pt idx="293">
                  <c:v>0.23423028275621952</c:v>
                </c:pt>
                <c:pt idx="294">
                  <c:v>0.22843432378901604</c:v>
                </c:pt>
                <c:pt idx="295">
                  <c:v>0.22265349875176113</c:v>
                </c:pt>
                <c:pt idx="296">
                  <c:v>0.21689399801423551</c:v>
                </c:pt>
                <c:pt idx="297">
                  <c:v>0.21116181721320312</c:v>
                </c:pt>
                <c:pt idx="298">
                  <c:v>0.20546274866007688</c:v>
                </c:pt>
                <c:pt idx="299">
                  <c:v>0.19980237355078795</c:v>
                </c:pt>
                <c:pt idx="300">
                  <c:v>0.19418605498321292</c:v>
                </c:pt>
                <c:pt idx="301">
                  <c:v>0.18861893178415948</c:v>
                </c:pt>
                <c:pt idx="302">
                  <c:v>0.18310591314463986</c:v>
                </c:pt>
                <c:pt idx="303">
                  <c:v>0.1776516740589851</c:v>
                </c:pt>
                <c:pt idx="304">
                  <c:v>0.17226065156028758</c:v>
                </c:pt>
                <c:pt idx="305">
                  <c:v>0.16693704174171375</c:v>
                </c:pt>
                <c:pt idx="306">
                  <c:v>0.1616847975504194</c:v>
                </c:pt>
                <c:pt idx="307">
                  <c:v>0.15650762733813126</c:v>
                </c:pt>
                <c:pt idx="308">
                  <c:v>0.15140899414994616</c:v>
                </c:pt>
                <c:pt idx="309">
                  <c:v>0.1463921157305455</c:v>
                </c:pt>
                <c:pt idx="310">
                  <c:v>0.1414599652248387</c:v>
                </c:pt>
                <c:pt idx="311">
                  <c:v>0.1366152725480389</c:v>
                </c:pt>
                <c:pt idx="312">
                  <c:v>0.13186052639834273</c:v>
                </c:pt>
                <c:pt idx="313">
                  <c:v>0.12719797688373657</c:v>
                </c:pt>
                <c:pt idx="314">
                  <c:v>0.12262963873298507</c:v>
                </c:pt>
                <c:pt idx="315">
                  <c:v>0.11815729505958236</c:v>
                </c:pt>
                <c:pt idx="316">
                  <c:v>0.11378250164634682</c:v>
                </c:pt>
                <c:pt idx="317">
                  <c:v>0.1095065917174368</c:v>
                </c:pt>
                <c:pt idx="318">
                  <c:v>0.10533068116383558</c:v>
                </c:pt>
                <c:pt idx="319">
                  <c:v>0.10125567418780883</c:v>
                </c:pt>
                <c:pt idx="320">
                  <c:v>9.7282269331467539E-2</c:v>
                </c:pt>
                <c:pt idx="321">
                  <c:v>9.3410965854371211E-2</c:v>
                </c:pt>
                <c:pt idx="322">
                  <c:v>8.9642070425072398E-2</c:v>
                </c:pt>
                <c:pt idx="323">
                  <c:v>8.5975704091632174E-2</c:v>
                </c:pt>
                <c:pt idx="324">
                  <c:v>8.2411809496414523E-2</c:v>
                </c:pt>
                <c:pt idx="325">
                  <c:v>7.8950158300894177E-2</c:v>
                </c:pt>
                <c:pt idx="326">
                  <c:v>7.5590358786774225E-2</c:v>
                </c:pt>
                <c:pt idx="327">
                  <c:v>7.2331863600401836E-2</c:v>
                </c:pt>
                <c:pt idx="328">
                  <c:v>6.9173977608282505E-2</c:v>
                </c:pt>
                <c:pt idx="329">
                  <c:v>6.6115865832415521E-2</c:v>
                </c:pt>
                <c:pt idx="330">
                  <c:v>6.3156561435198655E-2</c:v>
                </c:pt>
                <c:pt idx="331">
                  <c:v>6.0294973724765701E-2</c:v>
                </c:pt>
                <c:pt idx="332">
                  <c:v>5.7529896152820871E-2</c:v>
                </c:pt>
                <c:pt idx="333">
                  <c:v>5.4860014278304732E-2</c:v>
                </c:pt>
                <c:pt idx="334">
                  <c:v>5.2283913671562113E-2</c:v>
                </c:pt>
                <c:pt idx="335">
                  <c:v>4.9800087735070858E-2</c:v>
                </c:pt>
                <c:pt idx="336">
                  <c:v>4.7406945418221713E-2</c:v>
                </c:pt>
                <c:pt idx="337">
                  <c:v>4.5102818805110099E-2</c:v>
                </c:pt>
                <c:pt idx="338">
                  <c:v>4.2885970555787321E-2</c:v>
                </c:pt>
                <c:pt idx="339">
                  <c:v>4.0754601182937618E-2</c:v>
                </c:pt>
                <c:pt idx="340">
                  <c:v>3.8706856147455608E-2</c:v>
                </c:pt>
                <c:pt idx="341">
                  <c:v>3.6740832757928069E-2</c:v>
                </c:pt>
                <c:pt idx="342">
                  <c:v>3.4854586860525415E-2</c:v>
                </c:pt>
                <c:pt idx="343">
                  <c:v>3.3046139307314877E-2</c:v>
                </c:pt>
                <c:pt idx="344">
                  <c:v>3.1313482192474262E-2</c:v>
                </c:pt>
                <c:pt idx="345">
                  <c:v>2.9654584847341316E-2</c:v>
                </c:pt>
                <c:pt idx="346">
                  <c:v>2.8067399586640077E-2</c:v>
                </c:pt>
                <c:pt idx="347">
                  <c:v>2.6549867199608838E-2</c:v>
                </c:pt>
                <c:pt idx="348">
                  <c:v>2.5099922181077736E-2</c:v>
                </c:pt>
                <c:pt idx="349">
                  <c:v>2.3715497698834888E-2</c:v>
                </c:pt>
                <c:pt idx="350">
                  <c:v>2.2394530294842882E-2</c:v>
                </c:pt>
                <c:pt idx="351">
                  <c:v>2.1134964319050504E-2</c:v>
                </c:pt>
                <c:pt idx="352">
                  <c:v>1.9934756095653629E-2</c:v>
                </c:pt>
                <c:pt idx="353">
                  <c:v>1.8791877822721854E-2</c:v>
                </c:pt>
                <c:pt idx="354">
                  <c:v>1.7704321207094198E-2</c:v>
                </c:pt>
                <c:pt idx="355">
                  <c:v>1.6670100837381078E-2</c:v>
                </c:pt>
                <c:pt idx="356">
                  <c:v>1.56872572987681E-2</c:v>
                </c:pt>
                <c:pt idx="357">
                  <c:v>1.4753860034118655E-2</c:v>
                </c:pt>
                <c:pt idx="358">
                  <c:v>1.386800995659916E-2</c:v>
                </c:pt>
                <c:pt idx="359">
                  <c:v>1.3027841819719681E-2</c:v>
                </c:pt>
                <c:pt idx="360">
                  <c:v>1.2231526351277954E-2</c:v>
                </c:pt>
                <c:pt idx="361">
                  <c:v>1.1477272158233767E-2</c:v>
                </c:pt>
                <c:pt idx="362">
                  <c:v>1.0763327410007729E-2</c:v>
                </c:pt>
                <c:pt idx="363">
                  <c:v>1.008798130811189E-2</c:v>
                </c:pt>
                <c:pt idx="364">
                  <c:v>9.449565350364706E-3</c:v>
                </c:pt>
                <c:pt idx="365">
                  <c:v>8.8464543982372315E-3</c:v>
                </c:pt>
                <c:pt idx="366">
                  <c:v>8.277067556108476E-3</c:v>
                </c:pt>
                <c:pt idx="367">
                  <c:v>7.739868871391698E-3</c:v>
                </c:pt>
                <c:pt idx="368">
                  <c:v>7.2333678646196676E-3</c:v>
                </c:pt>
                <c:pt idx="369">
                  <c:v>6.7561198986603012E-3</c:v>
                </c:pt>
                <c:pt idx="370">
                  <c:v>6.3067263962659102E-3</c:v>
                </c:pt>
                <c:pt idx="371">
                  <c:v>5.883834915153101E-3</c:v>
                </c:pt>
                <c:pt idx="372">
                  <c:v>5.4861390897587908E-3</c:v>
                </c:pt>
                <c:pt idx="373">
                  <c:v>5.1123784487336638E-3</c:v>
                </c:pt>
                <c:pt idx="374">
                  <c:v>4.7613381171109914E-3</c:v>
                </c:pt>
                <c:pt idx="375">
                  <c:v>4.4318484119380075E-3</c:v>
                </c:pt>
                <c:pt idx="376">
                  <c:v>4.1227843399737132E-3</c:v>
                </c:pt>
                <c:pt idx="377">
                  <c:v>3.8330650058511109E-3</c:v>
                </c:pt>
                <c:pt idx="378">
                  <c:v>3.5616529388703441E-3</c:v>
                </c:pt>
                <c:pt idx="379">
                  <c:v>3.3075533463386006E-3</c:v>
                </c:pt>
                <c:pt idx="380">
                  <c:v>3.0698133011047486E-3</c:v>
                </c:pt>
                <c:pt idx="381">
                  <c:v>2.8475208706519421E-3</c:v>
                </c:pt>
                <c:pt idx="382">
                  <c:v>2.6398041948164589E-3</c:v>
                </c:pt>
                <c:pt idx="383">
                  <c:v>2.4458305188934013E-3</c:v>
                </c:pt>
                <c:pt idx="384">
                  <c:v>2.2648051885764847E-3</c:v>
                </c:pt>
                <c:pt idx="385">
                  <c:v>2.0959706128579419E-3</c:v>
                </c:pt>
                <c:pt idx="386">
                  <c:v>1.9386052006913198E-3</c:v>
                </c:pt>
                <c:pt idx="387">
                  <c:v>1.7920222768931717E-3</c:v>
                </c:pt>
                <c:pt idx="388">
                  <c:v>1.6555689824342091E-3</c:v>
                </c:pt>
                <c:pt idx="389">
                  <c:v>1.5286251639451411E-3</c:v>
                </c:pt>
                <c:pt idx="390">
                  <c:v>1.4106022569413861E-3</c:v>
                </c:pt>
                <c:pt idx="391">
                  <c:v>1.3009421669529281E-3</c:v>
                </c:pt>
                <c:pt idx="392">
                  <c:v>1.1991161524345115E-3</c:v>
                </c:pt>
                <c:pt idx="393">
                  <c:v>1.1046237130258364E-3</c:v>
                </c:pt>
                <c:pt idx="394">
                  <c:v>1.0169914864347654E-3</c:v>
                </c:pt>
                <c:pt idx="395">
                  <c:v>9.3577215692747804E-4</c:v>
                </c:pt>
                <c:pt idx="396">
                  <c:v>8.6054337813075866E-4</c:v>
                </c:pt>
                <c:pt idx="397">
                  <c:v>7.9090671258203685E-4</c:v>
                </c:pt>
                <c:pt idx="398">
                  <c:v>7.2648659020460235E-4</c:v>
                </c:pt>
                <c:pt idx="399">
                  <c:v>6.6692928763750108E-4</c:v>
                </c:pt>
                <c:pt idx="400">
                  <c:v>6.1190193011377298E-4</c:v>
                </c:pt>
                <c:pt idx="401">
                  <c:v>5.610915173558204E-4</c:v>
                </c:pt>
                <c:pt idx="402">
                  <c:v>5.1420397474424406E-4</c:v>
                </c:pt>
                <c:pt idx="403">
                  <c:v>4.7096323081532873E-4</c:v>
                </c:pt>
                <c:pt idx="404">
                  <c:v>4.3111032195367678E-4</c:v>
                </c:pt>
                <c:pt idx="405">
                  <c:v>3.9440252496915552E-4</c:v>
                </c:pt>
                <c:pt idx="406">
                  <c:v>3.6061251808220806E-4</c:v>
                </c:pt>
                <c:pt idx="407">
                  <c:v>3.2952757068762842E-4</c:v>
                </c:pt>
                <c:pt idx="408">
                  <c:v>3.0094876212471999E-4</c:v>
                </c:pt>
                <c:pt idx="409">
                  <c:v>2.746902295503147E-4</c:v>
                </c:pt>
                <c:pt idx="410">
                  <c:v>2.5057844489086075E-4</c:v>
                </c:pt>
                <c:pt idx="411">
                  <c:v>2.2845152073967183E-4</c:v>
                </c:pt>
                <c:pt idx="412">
                  <c:v>2.0815854496572918E-4</c:v>
                </c:pt>
                <c:pt idx="413">
                  <c:v>1.8955894371021248E-4</c:v>
                </c:pt>
                <c:pt idx="414">
                  <c:v>1.7252187236626288E-4</c:v>
                </c:pt>
                <c:pt idx="415">
                  <c:v>1.5692563406553169E-4</c:v>
                </c:pt>
                <c:pt idx="416">
                  <c:v>1.4265712513176652E-4</c:v>
                </c:pt>
                <c:pt idx="417">
                  <c:v>1.2961130690625436E-4</c:v>
                </c:pt>
                <c:pt idx="418">
                  <c:v>1.1769070330224524E-4</c:v>
                </c:pt>
                <c:pt idx="419">
                  <c:v>1.0680492340481808E-4</c:v>
                </c:pt>
                <c:pt idx="420">
                  <c:v>9.687020839871926E-5</c:v>
                </c:pt>
                <c:pt idx="421">
                  <c:v>8.7809002079064554E-5</c:v>
                </c:pt>
                <c:pt idx="422">
                  <c:v>7.9549544177881284E-5</c:v>
                </c:pt>
                <c:pt idx="423">
                  <c:v>7.2025485723041421E-5</c:v>
                </c:pt>
                <c:pt idx="424">
                  <c:v>6.5175525634586447E-5</c:v>
                </c:pt>
                <c:pt idx="425">
                  <c:v>5.8943067756540058E-5</c:v>
                </c:pt>
                <c:pt idx="426">
                  <c:v>5.3275897519493968E-5</c:v>
                </c:pt>
                <c:pt idx="427">
                  <c:v>4.8125877430297145E-5</c:v>
                </c:pt>
                <c:pt idx="428">
                  <c:v>4.3448660589589352E-5</c:v>
                </c:pt>
                <c:pt idx="429">
                  <c:v>3.9203421445463147E-5</c:v>
                </c:pt>
                <c:pt idx="430">
                  <c:v>3.5352603001773097E-5</c:v>
                </c:pt>
                <c:pt idx="431">
                  <c:v>3.1861679712324632E-5</c:v>
                </c:pt>
                <c:pt idx="432">
                  <c:v>2.8698935306977618E-5</c:v>
                </c:pt>
                <c:pt idx="433">
                  <c:v>2.5835254812390093E-5</c:v>
                </c:pt>
                <c:pt idx="434">
                  <c:v>2.3243930048373714E-5</c:v>
                </c:pt>
                <c:pt idx="435">
                  <c:v>2.0900477900450482E-5</c:v>
                </c:pt>
                <c:pt idx="436">
                  <c:v>1.8782470689901945E-5</c:v>
                </c:pt>
                <c:pt idx="437">
                  <c:v>1.6869377984230626E-5</c:v>
                </c:pt>
                <c:pt idx="438">
                  <c:v>1.5142419213261371E-5</c:v>
                </c:pt>
                <c:pt idx="439">
                  <c:v>1.3584426478963919E-5</c:v>
                </c:pt>
                <c:pt idx="440">
                  <c:v>1.2179716970268655E-5</c:v>
                </c:pt>
                <c:pt idx="441">
                  <c:v>1.0913974417565564E-5</c:v>
                </c:pt>
                <c:pt idx="442">
                  <c:v>9.7741390450493509E-6</c:v>
                </c:pt>
                <c:pt idx="443">
                  <c:v>8.7483055025099134E-6</c:v>
                </c:pt>
                <c:pt idx="444">
                  <c:v>7.8256282814302102E-6</c:v>
                </c:pt>
                <c:pt idx="445">
                  <c:v>6.996234143270405E-6</c:v>
                </c:pt>
                <c:pt idx="446">
                  <c:v>6.2511411104785215E-6</c:v>
                </c:pt>
                <c:pt idx="447">
                  <c:v>5.5821835930201659E-6</c:v>
                </c:pt>
                <c:pt idx="448">
                  <c:v>4.9819432449787756E-6</c:v>
                </c:pt>
                <c:pt idx="449">
                  <c:v>4.443685167005601E-6</c:v>
                </c:pt>
                <c:pt idx="450">
                  <c:v>3.9612990910320609E-6</c:v>
                </c:pt>
                <c:pt idx="451">
                  <c:v>3.5292452036728565E-6</c:v>
                </c:pt>
                <c:pt idx="452">
                  <c:v>3.1425042841019365E-6</c:v>
                </c:pt>
                <c:pt idx="453">
                  <c:v>2.7965318508624735E-6</c:v>
                </c:pt>
                <c:pt idx="454">
                  <c:v>2.4872160300486709E-6</c:v>
                </c:pt>
                <c:pt idx="455">
                  <c:v>2.2108388745684212E-6</c:v>
                </c:pt>
                <c:pt idx="456">
                  <c:v>1.9640408807463227E-6</c:v>
                </c:pt>
                <c:pt idx="457">
                  <c:v>1.7437884643617589E-6</c:v>
                </c:pt>
                <c:pt idx="458">
                  <c:v>1.5473441733317354E-6</c:v>
                </c:pt>
                <c:pt idx="459">
                  <c:v>1.3722394286545041E-6</c:v>
                </c:pt>
                <c:pt idx="460">
                  <c:v>1.2162495989313246E-6</c:v>
                </c:pt>
                <c:pt idx="461">
                  <c:v>1.0773712267960586E-6</c:v>
                </c:pt>
                <c:pt idx="462">
                  <c:v>9.5380123791647633E-7</c:v>
                </c:pt>
                <c:pt idx="463">
                  <c:v>8.4391797490514879E-7</c:v>
                </c:pt>
                <c:pt idx="464">
                  <c:v>7.4626390950944681E-7</c:v>
                </c:pt>
                <c:pt idx="465">
                  <c:v>6.5952989685752167E-7</c:v>
                </c:pt>
                <c:pt idx="466">
                  <c:v>5.8254084534283518E-7</c:v>
                </c:pt>
                <c:pt idx="467">
                  <c:v>5.1424268495308647E-7</c:v>
                </c:pt>
                <c:pt idx="468">
                  <c:v>4.5369052551441447E-7</c:v>
                </c:pt>
                <c:pt idx="469">
                  <c:v>4.0003790444932249E-7</c:v>
                </c:pt>
                <c:pt idx="470">
                  <c:v>3.5252703126140567E-7</c:v>
                </c:pt>
                <c:pt idx="471">
                  <c:v>3.104799430831489E-7</c:v>
                </c:pt>
                <c:pt idx="472">
                  <c:v>2.7329049227913364E-7</c:v>
                </c:pt>
                <c:pt idx="473">
                  <c:v>2.4041709330746573E-7</c:v>
                </c:pt>
                <c:pt idx="474">
                  <c:v>2.1137616183074136E-7</c:v>
                </c:pt>
                <c:pt idx="475">
                  <c:v>1.8573618445552897E-7</c:v>
                </c:pt>
                <c:pt idx="476">
                  <c:v>1.6311236248861543E-7</c:v>
                </c:pt>
                <c:pt idx="477">
                  <c:v>1.4316177774957213E-7</c:v>
                </c:pt>
                <c:pt idx="478">
                  <c:v>1.2557903279356918E-7</c:v>
                </c:pt>
                <c:pt idx="479">
                  <c:v>1.1009232189518106E-7</c:v>
                </c:pt>
                <c:pt idx="480">
                  <c:v>9.6459892842733842E-8</c:v>
                </c:pt>
                <c:pt idx="481">
                  <c:v>8.4466863011587931E-8</c:v>
                </c:pt>
                <c:pt idx="482">
                  <c:v>7.3922356341658018E-8</c:v>
                </c:pt>
                <c:pt idx="483">
                  <c:v>6.4656930756044859E-8</c:v>
                </c:pt>
                <c:pt idx="484">
                  <c:v>5.6520268240340859E-8</c:v>
                </c:pt>
                <c:pt idx="485">
                  <c:v>4.9379102271104225E-8</c:v>
                </c:pt>
                <c:pt idx="486">
                  <c:v>4.3115359552033492E-8</c:v>
                </c:pt>
                <c:pt idx="487">
                  <c:v>3.7624495101197867E-8</c:v>
                </c:pt>
                <c:pt idx="488">
                  <c:v>3.2814001645590985E-8</c:v>
                </c:pt>
                <c:pt idx="489">
                  <c:v>2.8602076032539976E-8</c:v>
                </c:pt>
                <c:pt idx="490">
                  <c:v>2.4916426972950989E-8</c:v>
                </c:pt>
                <c:pt idx="491">
                  <c:v>2.1693209899897903E-8</c:v>
                </c:pt>
                <c:pt idx="492">
                  <c:v>1.8876076068122808E-8</c:v>
                </c:pt>
                <c:pt idx="493">
                  <c:v>1.6415324245220292E-8</c:v>
                </c:pt>
                <c:pt idx="494">
                  <c:v>1.4267144462795874E-8</c:v>
                </c:pt>
                <c:pt idx="495">
                  <c:v>1.239294431415004E-8</c:v>
                </c:pt>
                <c:pt idx="496">
                  <c:v>1.0758749212031231E-8</c:v>
                </c:pt>
                <c:pt idx="497">
                  <c:v>9.3346688630663104E-9</c:v>
                </c:pt>
                <c:pt idx="498">
                  <c:v>8.094422981541427E-9</c:v>
                </c:pt>
                <c:pt idx="499">
                  <c:v>7.0149199606205826E-9</c:v>
                </c:pt>
                <c:pt idx="500">
                  <c:v>6.0758828498232861E-9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06400"/>
        <c:axId val="40404864"/>
      </c:areaChart>
      <c:scatterChart>
        <c:scatterStyle val="lineMarker"/>
        <c:varyColors val="0"/>
        <c:ser>
          <c:idx val="0"/>
          <c:order val="0"/>
          <c:tx>
            <c:v>H0</c:v>
          </c:tx>
          <c:spPr>
            <a:ln w="25400">
              <a:solidFill>
                <a:schemeClr val="tx1"/>
              </a:solidFill>
            </a:ln>
            <a:effectLst/>
          </c:spPr>
          <c:marker>
            <c:symbol val="none"/>
          </c:marker>
          <c:xVal>
            <c:numRef>
              <c:f>'Fig 1 - single value test'!$D$101:$D$601</c:f>
              <c:numCache>
                <c:formatCode>General</c:formatCode>
                <c:ptCount val="5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-5.4240000000000004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-4.6080000000000005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-4.3440000000000003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-3.7440000000000002</c:v>
                </c:pt>
                <c:pt idx="95">
                  <c:v>-3.72</c:v>
                </c:pt>
                <c:pt idx="96">
                  <c:v>-3.6960000000000002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  <c:pt idx="101">
                  <c:v>-3.5760000000000001</c:v>
                </c:pt>
                <c:pt idx="102">
                  <c:v>-3.552</c:v>
                </c:pt>
                <c:pt idx="103">
                  <c:v>-3.528</c:v>
                </c:pt>
                <c:pt idx="104">
                  <c:v>-3.504</c:v>
                </c:pt>
                <c:pt idx="105">
                  <c:v>-3.48</c:v>
                </c:pt>
                <c:pt idx="106">
                  <c:v>-3.456</c:v>
                </c:pt>
                <c:pt idx="107">
                  <c:v>-3.4319999999999999</c:v>
                </c:pt>
                <c:pt idx="108">
                  <c:v>-3.4079999999999999</c:v>
                </c:pt>
                <c:pt idx="109">
                  <c:v>-3.3839999999999999</c:v>
                </c:pt>
                <c:pt idx="110">
                  <c:v>-3.36</c:v>
                </c:pt>
                <c:pt idx="111">
                  <c:v>-3.3359999999999999</c:v>
                </c:pt>
                <c:pt idx="112">
                  <c:v>-3.3119999999999998</c:v>
                </c:pt>
                <c:pt idx="113">
                  <c:v>-3.2879999999999998</c:v>
                </c:pt>
                <c:pt idx="114">
                  <c:v>-3.2639999999999998</c:v>
                </c:pt>
                <c:pt idx="115">
                  <c:v>-3.24</c:v>
                </c:pt>
                <c:pt idx="116">
                  <c:v>-3.2160000000000002</c:v>
                </c:pt>
                <c:pt idx="117">
                  <c:v>-3.1920000000000002</c:v>
                </c:pt>
                <c:pt idx="118">
                  <c:v>-3.1680000000000001</c:v>
                </c:pt>
                <c:pt idx="119">
                  <c:v>-3.1440000000000001</c:v>
                </c:pt>
                <c:pt idx="120">
                  <c:v>-3.12</c:v>
                </c:pt>
                <c:pt idx="121">
                  <c:v>-3.0960000000000001</c:v>
                </c:pt>
                <c:pt idx="122">
                  <c:v>-3.0720000000000001</c:v>
                </c:pt>
                <c:pt idx="123">
                  <c:v>-3.048</c:v>
                </c:pt>
                <c:pt idx="124">
                  <c:v>-3.024</c:v>
                </c:pt>
                <c:pt idx="125">
                  <c:v>-3</c:v>
                </c:pt>
                <c:pt idx="126">
                  <c:v>-2.976</c:v>
                </c:pt>
                <c:pt idx="127">
                  <c:v>-2.952</c:v>
                </c:pt>
                <c:pt idx="128">
                  <c:v>-2.9279999999999999</c:v>
                </c:pt>
                <c:pt idx="129">
                  <c:v>-2.9039999999999999</c:v>
                </c:pt>
                <c:pt idx="130">
                  <c:v>-2.88</c:v>
                </c:pt>
                <c:pt idx="131">
                  <c:v>-2.8559999999999999</c:v>
                </c:pt>
                <c:pt idx="132">
                  <c:v>-2.8319999999999999</c:v>
                </c:pt>
                <c:pt idx="133">
                  <c:v>-2.8079999999999998</c:v>
                </c:pt>
                <c:pt idx="134">
                  <c:v>-2.7839999999999998</c:v>
                </c:pt>
                <c:pt idx="135">
                  <c:v>-2.76</c:v>
                </c:pt>
                <c:pt idx="136">
                  <c:v>-2.7360000000000002</c:v>
                </c:pt>
                <c:pt idx="137">
                  <c:v>-2.7120000000000002</c:v>
                </c:pt>
                <c:pt idx="138">
                  <c:v>-2.6880000000000002</c:v>
                </c:pt>
                <c:pt idx="139">
                  <c:v>-2.6640000000000001</c:v>
                </c:pt>
                <c:pt idx="140">
                  <c:v>-2.64</c:v>
                </c:pt>
                <c:pt idx="141">
                  <c:v>-2.6160000000000001</c:v>
                </c:pt>
                <c:pt idx="142">
                  <c:v>-2.5920000000000001</c:v>
                </c:pt>
                <c:pt idx="143">
                  <c:v>-2.5680000000000001</c:v>
                </c:pt>
                <c:pt idx="144">
                  <c:v>-2.544</c:v>
                </c:pt>
                <c:pt idx="145">
                  <c:v>-2.52</c:v>
                </c:pt>
                <c:pt idx="146">
                  <c:v>-2.496</c:v>
                </c:pt>
                <c:pt idx="147">
                  <c:v>-2.472</c:v>
                </c:pt>
                <c:pt idx="148">
                  <c:v>-2.448</c:v>
                </c:pt>
                <c:pt idx="149">
                  <c:v>-2.4239999999999999</c:v>
                </c:pt>
                <c:pt idx="150">
                  <c:v>-2.4</c:v>
                </c:pt>
                <c:pt idx="151">
                  <c:v>-2.3759999999999999</c:v>
                </c:pt>
                <c:pt idx="152">
                  <c:v>-2.3519999999999999</c:v>
                </c:pt>
                <c:pt idx="153">
                  <c:v>-2.3279999999999998</c:v>
                </c:pt>
                <c:pt idx="154">
                  <c:v>-2.3039999999999998</c:v>
                </c:pt>
                <c:pt idx="155">
                  <c:v>-2.2799999999999998</c:v>
                </c:pt>
                <c:pt idx="156">
                  <c:v>-2.2559999999999998</c:v>
                </c:pt>
                <c:pt idx="157">
                  <c:v>-2.2320000000000002</c:v>
                </c:pt>
                <c:pt idx="158">
                  <c:v>-2.2080000000000002</c:v>
                </c:pt>
                <c:pt idx="159">
                  <c:v>-2.1840000000000002</c:v>
                </c:pt>
                <c:pt idx="160">
                  <c:v>-2.16</c:v>
                </c:pt>
                <c:pt idx="161">
                  <c:v>-2.1360000000000001</c:v>
                </c:pt>
                <c:pt idx="162">
                  <c:v>-2.1120000000000001</c:v>
                </c:pt>
                <c:pt idx="163">
                  <c:v>-2.0880000000000001</c:v>
                </c:pt>
                <c:pt idx="164">
                  <c:v>-2.0640000000000001</c:v>
                </c:pt>
                <c:pt idx="165">
                  <c:v>-2.04</c:v>
                </c:pt>
                <c:pt idx="166">
                  <c:v>-2.016</c:v>
                </c:pt>
                <c:pt idx="167">
                  <c:v>-1.992</c:v>
                </c:pt>
                <c:pt idx="168">
                  <c:v>-1.968</c:v>
                </c:pt>
                <c:pt idx="169">
                  <c:v>-1.944</c:v>
                </c:pt>
                <c:pt idx="170">
                  <c:v>-1.92</c:v>
                </c:pt>
                <c:pt idx="171">
                  <c:v>-1.8959999999999999</c:v>
                </c:pt>
                <c:pt idx="172">
                  <c:v>-1.8719999999999999</c:v>
                </c:pt>
                <c:pt idx="173">
                  <c:v>-1.8479999999999999</c:v>
                </c:pt>
                <c:pt idx="174">
                  <c:v>-1.8239999999999998</c:v>
                </c:pt>
                <c:pt idx="175">
                  <c:v>-1.7999999999999998</c:v>
                </c:pt>
                <c:pt idx="176">
                  <c:v>-1.7759999999999998</c:v>
                </c:pt>
                <c:pt idx="177">
                  <c:v>-1.7519999999999998</c:v>
                </c:pt>
                <c:pt idx="178">
                  <c:v>-1.7279999999999998</c:v>
                </c:pt>
                <c:pt idx="179">
                  <c:v>-1.7039999999999997</c:v>
                </c:pt>
                <c:pt idx="180">
                  <c:v>-1.6799999999999997</c:v>
                </c:pt>
                <c:pt idx="181">
                  <c:v>-1.6559999999999997</c:v>
                </c:pt>
                <c:pt idx="182">
                  <c:v>-1.6319999999999997</c:v>
                </c:pt>
                <c:pt idx="183">
                  <c:v>-1.6079999999999997</c:v>
                </c:pt>
                <c:pt idx="184">
                  <c:v>-1.5839999999999996</c:v>
                </c:pt>
                <c:pt idx="185">
                  <c:v>-1.5599999999999996</c:v>
                </c:pt>
                <c:pt idx="186">
                  <c:v>-1.5359999999999996</c:v>
                </c:pt>
                <c:pt idx="187">
                  <c:v>-1.5119999999999996</c:v>
                </c:pt>
                <c:pt idx="188">
                  <c:v>-1.4880000000000004</c:v>
                </c:pt>
                <c:pt idx="189">
                  <c:v>-1.4640000000000004</c:v>
                </c:pt>
                <c:pt idx="190">
                  <c:v>-1.4400000000000004</c:v>
                </c:pt>
                <c:pt idx="191">
                  <c:v>-1.4160000000000004</c:v>
                </c:pt>
                <c:pt idx="192">
                  <c:v>-1.3920000000000003</c:v>
                </c:pt>
                <c:pt idx="193">
                  <c:v>-1.3680000000000003</c:v>
                </c:pt>
                <c:pt idx="194">
                  <c:v>-1.3440000000000003</c:v>
                </c:pt>
                <c:pt idx="195">
                  <c:v>-1.3200000000000003</c:v>
                </c:pt>
                <c:pt idx="196">
                  <c:v>-1.2960000000000003</c:v>
                </c:pt>
                <c:pt idx="197">
                  <c:v>-1.2720000000000002</c:v>
                </c:pt>
                <c:pt idx="198">
                  <c:v>-1.2480000000000002</c:v>
                </c:pt>
                <c:pt idx="199">
                  <c:v>-1.2240000000000002</c:v>
                </c:pt>
                <c:pt idx="200">
                  <c:v>-1.2000000000000002</c:v>
                </c:pt>
                <c:pt idx="201">
                  <c:v>-1.1760000000000002</c:v>
                </c:pt>
                <c:pt idx="202">
                  <c:v>-1.1520000000000001</c:v>
                </c:pt>
                <c:pt idx="203">
                  <c:v>-1.1280000000000001</c:v>
                </c:pt>
                <c:pt idx="204">
                  <c:v>-1.1040000000000001</c:v>
                </c:pt>
                <c:pt idx="205">
                  <c:v>-1.08</c:v>
                </c:pt>
                <c:pt idx="206">
                  <c:v>-1.056</c:v>
                </c:pt>
                <c:pt idx="207">
                  <c:v>-1.032</c:v>
                </c:pt>
                <c:pt idx="208">
                  <c:v>-1.008</c:v>
                </c:pt>
                <c:pt idx="209">
                  <c:v>-0.98399999999999999</c:v>
                </c:pt>
                <c:pt idx="210">
                  <c:v>-0.96</c:v>
                </c:pt>
                <c:pt idx="211">
                  <c:v>-0.93599999999999994</c:v>
                </c:pt>
                <c:pt idx="212">
                  <c:v>-0.91199999999999992</c:v>
                </c:pt>
                <c:pt idx="213">
                  <c:v>-0.8879999999999999</c:v>
                </c:pt>
                <c:pt idx="214">
                  <c:v>-0.86399999999999988</c:v>
                </c:pt>
                <c:pt idx="215">
                  <c:v>-0.83999999999999986</c:v>
                </c:pt>
                <c:pt idx="216">
                  <c:v>-0.81599999999999984</c:v>
                </c:pt>
                <c:pt idx="217">
                  <c:v>-0.79199999999999982</c:v>
                </c:pt>
                <c:pt idx="218">
                  <c:v>-0.76799999999999979</c:v>
                </c:pt>
                <c:pt idx="219">
                  <c:v>-0.74399999999999977</c:v>
                </c:pt>
                <c:pt idx="220">
                  <c:v>-0.71999999999999975</c:v>
                </c:pt>
                <c:pt idx="221">
                  <c:v>-0.69599999999999973</c:v>
                </c:pt>
                <c:pt idx="222">
                  <c:v>-0.67199999999999971</c:v>
                </c:pt>
                <c:pt idx="223">
                  <c:v>-0.64799999999999969</c:v>
                </c:pt>
                <c:pt idx="224">
                  <c:v>-0.62399999999999967</c:v>
                </c:pt>
                <c:pt idx="225">
                  <c:v>-0.59999999999999964</c:v>
                </c:pt>
                <c:pt idx="226">
                  <c:v>-0.57599999999999962</c:v>
                </c:pt>
                <c:pt idx="227">
                  <c:v>-0.5519999999999996</c:v>
                </c:pt>
                <c:pt idx="228">
                  <c:v>-0.52799999999999958</c:v>
                </c:pt>
                <c:pt idx="229">
                  <c:v>-0.50399999999999956</c:v>
                </c:pt>
                <c:pt idx="230">
                  <c:v>-0.48000000000000043</c:v>
                </c:pt>
                <c:pt idx="231">
                  <c:v>-0.45600000000000041</c:v>
                </c:pt>
                <c:pt idx="232">
                  <c:v>-0.43200000000000038</c:v>
                </c:pt>
                <c:pt idx="233">
                  <c:v>-0.40800000000000036</c:v>
                </c:pt>
                <c:pt idx="234">
                  <c:v>-0.38400000000000034</c:v>
                </c:pt>
                <c:pt idx="235">
                  <c:v>-0.36000000000000032</c:v>
                </c:pt>
                <c:pt idx="236">
                  <c:v>-0.3360000000000003</c:v>
                </c:pt>
                <c:pt idx="237">
                  <c:v>-0.31200000000000028</c:v>
                </c:pt>
                <c:pt idx="238">
                  <c:v>-0.28800000000000026</c:v>
                </c:pt>
                <c:pt idx="239">
                  <c:v>-0.26400000000000023</c:v>
                </c:pt>
                <c:pt idx="240">
                  <c:v>-0.24000000000000021</c:v>
                </c:pt>
                <c:pt idx="241">
                  <c:v>-0.21600000000000019</c:v>
                </c:pt>
                <c:pt idx="242">
                  <c:v>-0.19200000000000017</c:v>
                </c:pt>
                <c:pt idx="243">
                  <c:v>-0.16800000000000015</c:v>
                </c:pt>
                <c:pt idx="244">
                  <c:v>-0.14400000000000013</c:v>
                </c:pt>
                <c:pt idx="245">
                  <c:v>-0.12000000000000011</c:v>
                </c:pt>
                <c:pt idx="246">
                  <c:v>-9.6000000000000085E-2</c:v>
                </c:pt>
                <c:pt idx="247">
                  <c:v>-7.2000000000000064E-2</c:v>
                </c:pt>
                <c:pt idx="248">
                  <c:v>-4.8000000000000043E-2</c:v>
                </c:pt>
                <c:pt idx="249">
                  <c:v>-2.4000000000000021E-2</c:v>
                </c:pt>
                <c:pt idx="250">
                  <c:v>0</c:v>
                </c:pt>
                <c:pt idx="251">
                  <c:v>2.4000000000000021E-2</c:v>
                </c:pt>
                <c:pt idx="252">
                  <c:v>4.8000000000000043E-2</c:v>
                </c:pt>
                <c:pt idx="253">
                  <c:v>7.2000000000000064E-2</c:v>
                </c:pt>
                <c:pt idx="254">
                  <c:v>9.6000000000000085E-2</c:v>
                </c:pt>
                <c:pt idx="255">
                  <c:v>0.12000000000000011</c:v>
                </c:pt>
                <c:pt idx="256">
                  <c:v>0.14400000000000013</c:v>
                </c:pt>
                <c:pt idx="257">
                  <c:v>0.16800000000000015</c:v>
                </c:pt>
                <c:pt idx="258">
                  <c:v>0.19200000000000017</c:v>
                </c:pt>
                <c:pt idx="259">
                  <c:v>0.21600000000000019</c:v>
                </c:pt>
                <c:pt idx="260">
                  <c:v>0.24000000000000021</c:v>
                </c:pt>
                <c:pt idx="261">
                  <c:v>0.26400000000000023</c:v>
                </c:pt>
                <c:pt idx="262">
                  <c:v>0.28800000000000026</c:v>
                </c:pt>
                <c:pt idx="263">
                  <c:v>0.31200000000000028</c:v>
                </c:pt>
                <c:pt idx="264">
                  <c:v>0.3360000000000003</c:v>
                </c:pt>
                <c:pt idx="265">
                  <c:v>0.36000000000000032</c:v>
                </c:pt>
                <c:pt idx="266">
                  <c:v>0.38400000000000034</c:v>
                </c:pt>
                <c:pt idx="267">
                  <c:v>0.40800000000000036</c:v>
                </c:pt>
                <c:pt idx="268">
                  <c:v>0.43200000000000038</c:v>
                </c:pt>
                <c:pt idx="269">
                  <c:v>0.45600000000000041</c:v>
                </c:pt>
                <c:pt idx="270">
                  <c:v>0.48000000000000043</c:v>
                </c:pt>
                <c:pt idx="271">
                  <c:v>0.50399999999999956</c:v>
                </c:pt>
                <c:pt idx="272">
                  <c:v>0.52799999999999958</c:v>
                </c:pt>
                <c:pt idx="273">
                  <c:v>0.5519999999999996</c:v>
                </c:pt>
                <c:pt idx="274">
                  <c:v>0.57599999999999962</c:v>
                </c:pt>
                <c:pt idx="275">
                  <c:v>0.59999999999999964</c:v>
                </c:pt>
                <c:pt idx="276">
                  <c:v>0.62399999999999967</c:v>
                </c:pt>
                <c:pt idx="277">
                  <c:v>0.64799999999999969</c:v>
                </c:pt>
                <c:pt idx="278">
                  <c:v>0.67199999999999971</c:v>
                </c:pt>
                <c:pt idx="279">
                  <c:v>0.69599999999999973</c:v>
                </c:pt>
                <c:pt idx="280">
                  <c:v>0.71999999999999975</c:v>
                </c:pt>
                <c:pt idx="281">
                  <c:v>0.74399999999999977</c:v>
                </c:pt>
                <c:pt idx="282">
                  <c:v>0.76799999999999979</c:v>
                </c:pt>
                <c:pt idx="283">
                  <c:v>0.79199999999999982</c:v>
                </c:pt>
                <c:pt idx="284">
                  <c:v>0.81599999999999984</c:v>
                </c:pt>
                <c:pt idx="285">
                  <c:v>0.83999999999999986</c:v>
                </c:pt>
                <c:pt idx="286">
                  <c:v>0.86399999999999988</c:v>
                </c:pt>
                <c:pt idx="287">
                  <c:v>0.8879999999999999</c:v>
                </c:pt>
                <c:pt idx="288">
                  <c:v>0.91199999999999992</c:v>
                </c:pt>
                <c:pt idx="289">
                  <c:v>0.93599999999999994</c:v>
                </c:pt>
                <c:pt idx="290">
                  <c:v>0.96</c:v>
                </c:pt>
                <c:pt idx="291">
                  <c:v>0.98399999999999999</c:v>
                </c:pt>
                <c:pt idx="292">
                  <c:v>1.008</c:v>
                </c:pt>
                <c:pt idx="293">
                  <c:v>1.032</c:v>
                </c:pt>
                <c:pt idx="294">
                  <c:v>1.056</c:v>
                </c:pt>
                <c:pt idx="295">
                  <c:v>1.08</c:v>
                </c:pt>
                <c:pt idx="296">
                  <c:v>1.1040000000000001</c:v>
                </c:pt>
                <c:pt idx="297">
                  <c:v>1.1280000000000001</c:v>
                </c:pt>
                <c:pt idx="298">
                  <c:v>1.1520000000000001</c:v>
                </c:pt>
                <c:pt idx="299">
                  <c:v>1.1760000000000002</c:v>
                </c:pt>
                <c:pt idx="300">
                  <c:v>1.2000000000000002</c:v>
                </c:pt>
                <c:pt idx="301">
                  <c:v>1.2240000000000002</c:v>
                </c:pt>
                <c:pt idx="302">
                  <c:v>1.2480000000000002</c:v>
                </c:pt>
                <c:pt idx="303">
                  <c:v>1.2720000000000002</c:v>
                </c:pt>
                <c:pt idx="304">
                  <c:v>1.2960000000000003</c:v>
                </c:pt>
                <c:pt idx="305">
                  <c:v>1.3200000000000003</c:v>
                </c:pt>
                <c:pt idx="306">
                  <c:v>1.3440000000000003</c:v>
                </c:pt>
                <c:pt idx="307">
                  <c:v>1.3680000000000003</c:v>
                </c:pt>
                <c:pt idx="308">
                  <c:v>1.3920000000000003</c:v>
                </c:pt>
                <c:pt idx="309">
                  <c:v>1.4160000000000004</c:v>
                </c:pt>
                <c:pt idx="310">
                  <c:v>1.4400000000000004</c:v>
                </c:pt>
                <c:pt idx="311">
                  <c:v>1.4640000000000004</c:v>
                </c:pt>
                <c:pt idx="312">
                  <c:v>1.4880000000000004</c:v>
                </c:pt>
                <c:pt idx="313">
                  <c:v>1.5119999999999996</c:v>
                </c:pt>
                <c:pt idx="314">
                  <c:v>1.5359999999999996</c:v>
                </c:pt>
                <c:pt idx="315">
                  <c:v>1.5599999999999996</c:v>
                </c:pt>
                <c:pt idx="316">
                  <c:v>1.5839999999999996</c:v>
                </c:pt>
                <c:pt idx="317">
                  <c:v>1.6079999999999997</c:v>
                </c:pt>
                <c:pt idx="318">
                  <c:v>1.6319999999999997</c:v>
                </c:pt>
                <c:pt idx="319">
                  <c:v>1.6559999999999997</c:v>
                </c:pt>
                <c:pt idx="320">
                  <c:v>1.6799999999999997</c:v>
                </c:pt>
                <c:pt idx="321">
                  <c:v>1.7039999999999997</c:v>
                </c:pt>
                <c:pt idx="322">
                  <c:v>1.7279999999999998</c:v>
                </c:pt>
                <c:pt idx="323">
                  <c:v>1.7519999999999998</c:v>
                </c:pt>
                <c:pt idx="324">
                  <c:v>1.7759999999999998</c:v>
                </c:pt>
                <c:pt idx="325">
                  <c:v>1.7999999999999998</c:v>
                </c:pt>
                <c:pt idx="326">
                  <c:v>1.8239999999999998</c:v>
                </c:pt>
                <c:pt idx="327">
                  <c:v>1.8479999999999999</c:v>
                </c:pt>
                <c:pt idx="328">
                  <c:v>1.8719999999999999</c:v>
                </c:pt>
                <c:pt idx="329">
                  <c:v>1.8959999999999999</c:v>
                </c:pt>
                <c:pt idx="330">
                  <c:v>1.92</c:v>
                </c:pt>
                <c:pt idx="331">
                  <c:v>1.944</c:v>
                </c:pt>
                <c:pt idx="332">
                  <c:v>1.968</c:v>
                </c:pt>
                <c:pt idx="333">
                  <c:v>1.992</c:v>
                </c:pt>
                <c:pt idx="334">
                  <c:v>2.016</c:v>
                </c:pt>
                <c:pt idx="335">
                  <c:v>2.0399999999999991</c:v>
                </c:pt>
                <c:pt idx="336">
                  <c:v>2.0640000000000001</c:v>
                </c:pt>
                <c:pt idx="337">
                  <c:v>2.0879999999999992</c:v>
                </c:pt>
                <c:pt idx="338">
                  <c:v>2.1120000000000001</c:v>
                </c:pt>
                <c:pt idx="339">
                  <c:v>2.1359999999999992</c:v>
                </c:pt>
                <c:pt idx="340">
                  <c:v>2.16</c:v>
                </c:pt>
                <c:pt idx="341">
                  <c:v>2.1839999999999993</c:v>
                </c:pt>
                <c:pt idx="342">
                  <c:v>2.2080000000000002</c:v>
                </c:pt>
                <c:pt idx="343">
                  <c:v>2.2319999999999993</c:v>
                </c:pt>
                <c:pt idx="344">
                  <c:v>2.2560000000000002</c:v>
                </c:pt>
                <c:pt idx="345">
                  <c:v>2.2799999999999994</c:v>
                </c:pt>
                <c:pt idx="346">
                  <c:v>2.3040000000000003</c:v>
                </c:pt>
                <c:pt idx="347">
                  <c:v>2.3279999999999994</c:v>
                </c:pt>
                <c:pt idx="348">
                  <c:v>2.3520000000000003</c:v>
                </c:pt>
                <c:pt idx="349">
                  <c:v>2.3759999999999994</c:v>
                </c:pt>
                <c:pt idx="350">
                  <c:v>2.4000000000000004</c:v>
                </c:pt>
                <c:pt idx="351">
                  <c:v>2.4239999999999995</c:v>
                </c:pt>
                <c:pt idx="352">
                  <c:v>2.4480000000000004</c:v>
                </c:pt>
                <c:pt idx="353">
                  <c:v>2.4719999999999995</c:v>
                </c:pt>
                <c:pt idx="354">
                  <c:v>2.4960000000000004</c:v>
                </c:pt>
                <c:pt idx="355">
                  <c:v>2.5199999999999996</c:v>
                </c:pt>
                <c:pt idx="356">
                  <c:v>2.5440000000000005</c:v>
                </c:pt>
                <c:pt idx="357">
                  <c:v>2.5679999999999996</c:v>
                </c:pt>
                <c:pt idx="358">
                  <c:v>2.5920000000000005</c:v>
                </c:pt>
                <c:pt idx="359">
                  <c:v>2.6159999999999997</c:v>
                </c:pt>
                <c:pt idx="360">
                  <c:v>2.6400000000000006</c:v>
                </c:pt>
                <c:pt idx="361">
                  <c:v>2.6639999999999997</c:v>
                </c:pt>
                <c:pt idx="362">
                  <c:v>2.6880000000000006</c:v>
                </c:pt>
                <c:pt idx="363">
                  <c:v>2.7119999999999997</c:v>
                </c:pt>
                <c:pt idx="364">
                  <c:v>2.7360000000000007</c:v>
                </c:pt>
                <c:pt idx="365">
                  <c:v>2.76</c:v>
                </c:pt>
                <c:pt idx="366">
                  <c:v>2.7840000000000007</c:v>
                </c:pt>
                <c:pt idx="367">
                  <c:v>2.8079999999999998</c:v>
                </c:pt>
                <c:pt idx="368">
                  <c:v>2.8320000000000007</c:v>
                </c:pt>
                <c:pt idx="369">
                  <c:v>2.8559999999999999</c:v>
                </c:pt>
                <c:pt idx="370">
                  <c:v>2.8800000000000008</c:v>
                </c:pt>
                <c:pt idx="371">
                  <c:v>2.9039999999999999</c:v>
                </c:pt>
                <c:pt idx="372">
                  <c:v>2.9280000000000008</c:v>
                </c:pt>
                <c:pt idx="373">
                  <c:v>2.952</c:v>
                </c:pt>
                <c:pt idx="374">
                  <c:v>2.9760000000000009</c:v>
                </c:pt>
                <c:pt idx="375">
                  <c:v>3</c:v>
                </c:pt>
                <c:pt idx="376">
                  <c:v>3.0239999999999991</c:v>
                </c:pt>
                <c:pt idx="377">
                  <c:v>3.048</c:v>
                </c:pt>
                <c:pt idx="378">
                  <c:v>3.0719999999999992</c:v>
                </c:pt>
                <c:pt idx="379">
                  <c:v>3.0960000000000001</c:v>
                </c:pt>
                <c:pt idx="380">
                  <c:v>3.1199999999999992</c:v>
                </c:pt>
                <c:pt idx="381">
                  <c:v>3.1440000000000001</c:v>
                </c:pt>
                <c:pt idx="382">
                  <c:v>3.1679999999999993</c:v>
                </c:pt>
                <c:pt idx="383">
                  <c:v>3.1920000000000002</c:v>
                </c:pt>
                <c:pt idx="384">
                  <c:v>3.2159999999999993</c:v>
                </c:pt>
                <c:pt idx="385">
                  <c:v>3.24</c:v>
                </c:pt>
                <c:pt idx="386">
                  <c:v>3.2639999999999993</c:v>
                </c:pt>
                <c:pt idx="387">
                  <c:v>3.2880000000000003</c:v>
                </c:pt>
                <c:pt idx="388">
                  <c:v>3.3119999999999994</c:v>
                </c:pt>
                <c:pt idx="389">
                  <c:v>3.3360000000000003</c:v>
                </c:pt>
                <c:pt idx="390">
                  <c:v>3.3599999999999994</c:v>
                </c:pt>
                <c:pt idx="391">
                  <c:v>3.3840000000000003</c:v>
                </c:pt>
                <c:pt idx="392">
                  <c:v>3.4079999999999995</c:v>
                </c:pt>
                <c:pt idx="393">
                  <c:v>3.4320000000000004</c:v>
                </c:pt>
                <c:pt idx="394">
                  <c:v>3.4559999999999995</c:v>
                </c:pt>
                <c:pt idx="395">
                  <c:v>3.4800000000000004</c:v>
                </c:pt>
                <c:pt idx="396">
                  <c:v>3.5039999999999996</c:v>
                </c:pt>
                <c:pt idx="397">
                  <c:v>3.5280000000000005</c:v>
                </c:pt>
                <c:pt idx="398">
                  <c:v>3.5519999999999996</c:v>
                </c:pt>
                <c:pt idx="399">
                  <c:v>3.5760000000000005</c:v>
                </c:pt>
                <c:pt idx="400">
                  <c:v>3.5999999999999996</c:v>
                </c:pt>
                <c:pt idx="401">
                  <c:v>3.6240000000000006</c:v>
                </c:pt>
                <c:pt idx="402">
                  <c:v>3.6479999999999997</c:v>
                </c:pt>
                <c:pt idx="403">
                  <c:v>3.6720000000000006</c:v>
                </c:pt>
                <c:pt idx="404">
                  <c:v>3.6959999999999997</c:v>
                </c:pt>
                <c:pt idx="405">
                  <c:v>3.7200000000000006</c:v>
                </c:pt>
                <c:pt idx="406">
                  <c:v>3.7439999999999998</c:v>
                </c:pt>
                <c:pt idx="407">
                  <c:v>3.7680000000000007</c:v>
                </c:pt>
                <c:pt idx="408">
                  <c:v>3.7919999999999998</c:v>
                </c:pt>
                <c:pt idx="409">
                  <c:v>3.8160000000000007</c:v>
                </c:pt>
                <c:pt idx="410">
                  <c:v>3.84</c:v>
                </c:pt>
                <c:pt idx="411">
                  <c:v>3.8640000000000008</c:v>
                </c:pt>
                <c:pt idx="412">
                  <c:v>3.8879999999999999</c:v>
                </c:pt>
                <c:pt idx="413">
                  <c:v>3.9120000000000008</c:v>
                </c:pt>
                <c:pt idx="414">
                  <c:v>3.9359999999999999</c:v>
                </c:pt>
                <c:pt idx="415">
                  <c:v>3.9600000000000009</c:v>
                </c:pt>
                <c:pt idx="416">
                  <c:v>3.984</c:v>
                </c:pt>
                <c:pt idx="417">
                  <c:v>4.0079999999999991</c:v>
                </c:pt>
                <c:pt idx="418">
                  <c:v>4.032</c:v>
                </c:pt>
                <c:pt idx="419">
                  <c:v>4.0559999999999992</c:v>
                </c:pt>
                <c:pt idx="420">
                  <c:v>4.08</c:v>
                </c:pt>
                <c:pt idx="421">
                  <c:v>4.1039999999999992</c:v>
                </c:pt>
                <c:pt idx="422">
                  <c:v>4.1280000000000001</c:v>
                </c:pt>
                <c:pt idx="423">
                  <c:v>4.1519999999999992</c:v>
                </c:pt>
                <c:pt idx="424">
                  <c:v>4.1760000000000002</c:v>
                </c:pt>
                <c:pt idx="425">
                  <c:v>4.1999999999999993</c:v>
                </c:pt>
                <c:pt idx="426">
                  <c:v>4.2240000000000002</c:v>
                </c:pt>
                <c:pt idx="427">
                  <c:v>4.2479999999999993</c:v>
                </c:pt>
                <c:pt idx="428">
                  <c:v>4.2720000000000002</c:v>
                </c:pt>
                <c:pt idx="429">
                  <c:v>4.2959999999999994</c:v>
                </c:pt>
                <c:pt idx="430">
                  <c:v>4.32</c:v>
                </c:pt>
                <c:pt idx="431">
                  <c:v>4.3439999999999994</c:v>
                </c:pt>
                <c:pt idx="432">
                  <c:v>4.3680000000000003</c:v>
                </c:pt>
                <c:pt idx="433">
                  <c:v>4.3919999999999995</c:v>
                </c:pt>
                <c:pt idx="434">
                  <c:v>4.4160000000000004</c:v>
                </c:pt>
                <c:pt idx="435">
                  <c:v>4.4399999999999995</c:v>
                </c:pt>
                <c:pt idx="436">
                  <c:v>4.4640000000000004</c:v>
                </c:pt>
                <c:pt idx="437">
                  <c:v>4.4879999999999995</c:v>
                </c:pt>
                <c:pt idx="438">
                  <c:v>4.5120000000000005</c:v>
                </c:pt>
                <c:pt idx="439">
                  <c:v>4.5359999999999996</c:v>
                </c:pt>
                <c:pt idx="440">
                  <c:v>4.5600000000000005</c:v>
                </c:pt>
                <c:pt idx="441">
                  <c:v>4.5839999999999996</c:v>
                </c:pt>
                <c:pt idx="442">
                  <c:v>4.6080000000000005</c:v>
                </c:pt>
                <c:pt idx="443">
                  <c:v>4.6319999999999997</c:v>
                </c:pt>
                <c:pt idx="444">
                  <c:v>4.6560000000000006</c:v>
                </c:pt>
                <c:pt idx="445">
                  <c:v>4.68</c:v>
                </c:pt>
                <c:pt idx="446">
                  <c:v>4.7040000000000006</c:v>
                </c:pt>
                <c:pt idx="447">
                  <c:v>4.7279999999999998</c:v>
                </c:pt>
                <c:pt idx="448">
                  <c:v>4.7520000000000007</c:v>
                </c:pt>
                <c:pt idx="449">
                  <c:v>4.7759999999999998</c:v>
                </c:pt>
                <c:pt idx="450">
                  <c:v>4.8000000000000007</c:v>
                </c:pt>
                <c:pt idx="451">
                  <c:v>4.8239999999999998</c:v>
                </c:pt>
                <c:pt idx="452">
                  <c:v>4.8480000000000008</c:v>
                </c:pt>
                <c:pt idx="453">
                  <c:v>4.8719999999999999</c:v>
                </c:pt>
                <c:pt idx="454">
                  <c:v>4.8960000000000008</c:v>
                </c:pt>
                <c:pt idx="455">
                  <c:v>4.92</c:v>
                </c:pt>
                <c:pt idx="456">
                  <c:v>4.9440000000000008</c:v>
                </c:pt>
                <c:pt idx="457">
                  <c:v>4.968</c:v>
                </c:pt>
                <c:pt idx="458">
                  <c:v>4.9920000000000009</c:v>
                </c:pt>
                <c:pt idx="459">
                  <c:v>5.016</c:v>
                </c:pt>
                <c:pt idx="460">
                  <c:v>5.0399999999999991</c:v>
                </c:pt>
                <c:pt idx="461">
                  <c:v>5.0640000000000001</c:v>
                </c:pt>
                <c:pt idx="462">
                  <c:v>5.0879999999999992</c:v>
                </c:pt>
                <c:pt idx="463">
                  <c:v>5.1120000000000001</c:v>
                </c:pt>
                <c:pt idx="464">
                  <c:v>5.1359999999999992</c:v>
                </c:pt>
                <c:pt idx="465">
                  <c:v>5.16</c:v>
                </c:pt>
                <c:pt idx="466">
                  <c:v>5.1839999999999993</c:v>
                </c:pt>
                <c:pt idx="467">
                  <c:v>5.2080000000000002</c:v>
                </c:pt>
                <c:pt idx="468">
                  <c:v>5.2319999999999993</c:v>
                </c:pt>
                <c:pt idx="469">
                  <c:v>5.2560000000000002</c:v>
                </c:pt>
                <c:pt idx="470">
                  <c:v>5.2799999999999994</c:v>
                </c:pt>
                <c:pt idx="471">
                  <c:v>5.3040000000000003</c:v>
                </c:pt>
                <c:pt idx="472">
                  <c:v>5.3279999999999994</c:v>
                </c:pt>
                <c:pt idx="473">
                  <c:v>5.3520000000000003</c:v>
                </c:pt>
                <c:pt idx="474">
                  <c:v>5.3759999999999994</c:v>
                </c:pt>
                <c:pt idx="475">
                  <c:v>5.4</c:v>
                </c:pt>
                <c:pt idx="476">
                  <c:v>5.4239999999999995</c:v>
                </c:pt>
                <c:pt idx="477">
                  <c:v>5.4480000000000004</c:v>
                </c:pt>
                <c:pt idx="478">
                  <c:v>5.4719999999999995</c:v>
                </c:pt>
                <c:pt idx="479">
                  <c:v>5.4960000000000004</c:v>
                </c:pt>
                <c:pt idx="480">
                  <c:v>5.52</c:v>
                </c:pt>
                <c:pt idx="481">
                  <c:v>5.5440000000000005</c:v>
                </c:pt>
                <c:pt idx="482">
                  <c:v>5.5679999999999996</c:v>
                </c:pt>
                <c:pt idx="483">
                  <c:v>5.5920000000000005</c:v>
                </c:pt>
                <c:pt idx="484">
                  <c:v>5.6159999999999997</c:v>
                </c:pt>
                <c:pt idx="485">
                  <c:v>5.6400000000000006</c:v>
                </c:pt>
                <c:pt idx="486">
                  <c:v>5.6639999999999997</c:v>
                </c:pt>
                <c:pt idx="487">
                  <c:v>5.6880000000000006</c:v>
                </c:pt>
                <c:pt idx="488">
                  <c:v>5.7119999999999997</c:v>
                </c:pt>
                <c:pt idx="489">
                  <c:v>5.7360000000000007</c:v>
                </c:pt>
                <c:pt idx="490">
                  <c:v>5.76</c:v>
                </c:pt>
                <c:pt idx="491">
                  <c:v>5.7840000000000007</c:v>
                </c:pt>
                <c:pt idx="492">
                  <c:v>5.8079999999999998</c:v>
                </c:pt>
                <c:pt idx="493">
                  <c:v>5.8320000000000007</c:v>
                </c:pt>
                <c:pt idx="494">
                  <c:v>5.8559999999999999</c:v>
                </c:pt>
                <c:pt idx="495">
                  <c:v>5.8800000000000008</c:v>
                </c:pt>
                <c:pt idx="496">
                  <c:v>5.9039999999999999</c:v>
                </c:pt>
                <c:pt idx="497">
                  <c:v>5.9280000000000008</c:v>
                </c:pt>
                <c:pt idx="498">
                  <c:v>5.952</c:v>
                </c:pt>
                <c:pt idx="499">
                  <c:v>5.9760000000000009</c:v>
                </c:pt>
                <c:pt idx="500">
                  <c:v>6</c:v>
                </c:pt>
              </c:numCache>
            </c:numRef>
          </c:xVal>
          <c:yVal>
            <c:numRef>
              <c:f>'Fig 1 - single value test'!$E$101:$E$601</c:f>
              <c:numCache>
                <c:formatCode>General</c:formatCode>
                <c:ptCount val="501"/>
                <c:pt idx="0">
                  <c:v>6.0758828498232861E-9</c:v>
                </c:pt>
                <c:pt idx="1">
                  <c:v>7.014919960620633E-9</c:v>
                </c:pt>
                <c:pt idx="2">
                  <c:v>8.094422981541427E-9</c:v>
                </c:pt>
                <c:pt idx="3">
                  <c:v>9.3346688630663452E-9</c:v>
                </c:pt>
                <c:pt idx="4">
                  <c:v>1.0758749212031231E-8</c:v>
                </c:pt>
                <c:pt idx="5">
                  <c:v>1.239294431415013E-8</c:v>
                </c:pt>
                <c:pt idx="6">
                  <c:v>1.4267144462795874E-8</c:v>
                </c:pt>
                <c:pt idx="7">
                  <c:v>1.6415324245220411E-8</c:v>
                </c:pt>
                <c:pt idx="8">
                  <c:v>1.8876076068122808E-8</c:v>
                </c:pt>
                <c:pt idx="9">
                  <c:v>2.1693209899897982E-8</c:v>
                </c:pt>
                <c:pt idx="10">
                  <c:v>2.4916426972950989E-8</c:v>
                </c:pt>
                <c:pt idx="11">
                  <c:v>2.8602076032540175E-8</c:v>
                </c:pt>
                <c:pt idx="12">
                  <c:v>3.2814001645590985E-8</c:v>
                </c:pt>
                <c:pt idx="13">
                  <c:v>3.7624495101197993E-8</c:v>
                </c:pt>
                <c:pt idx="14">
                  <c:v>4.3115359552033492E-8</c:v>
                </c:pt>
                <c:pt idx="15">
                  <c:v>4.937910227110449E-8</c:v>
                </c:pt>
                <c:pt idx="16">
                  <c:v>5.6520268240340859E-8</c:v>
                </c:pt>
                <c:pt idx="17">
                  <c:v>6.465693075604519E-8</c:v>
                </c:pt>
                <c:pt idx="18">
                  <c:v>7.3922356341658018E-8</c:v>
                </c:pt>
                <c:pt idx="19">
                  <c:v>8.4466863011588381E-8</c:v>
                </c:pt>
                <c:pt idx="20">
                  <c:v>9.6459892842733842E-8</c:v>
                </c:pt>
                <c:pt idx="21">
                  <c:v>1.1009232189518106E-7</c:v>
                </c:pt>
                <c:pt idx="22">
                  <c:v>1.2557903279356918E-7</c:v>
                </c:pt>
                <c:pt idx="23">
                  <c:v>1.4316177774957213E-7</c:v>
                </c:pt>
                <c:pt idx="24">
                  <c:v>1.6311236248861487E-7</c:v>
                </c:pt>
                <c:pt idx="25">
                  <c:v>1.8573618445552897E-7</c:v>
                </c:pt>
                <c:pt idx="26">
                  <c:v>2.1137616183074064E-7</c:v>
                </c:pt>
                <c:pt idx="27">
                  <c:v>2.4041709330746573E-7</c:v>
                </c:pt>
                <c:pt idx="28">
                  <c:v>2.7329049227913221E-7</c:v>
                </c:pt>
                <c:pt idx="29">
                  <c:v>3.104799430831489E-7</c:v>
                </c:pt>
                <c:pt idx="30">
                  <c:v>3.5252703126140381E-7</c:v>
                </c:pt>
                <c:pt idx="31">
                  <c:v>4.0003790444932249E-7</c:v>
                </c:pt>
                <c:pt idx="32">
                  <c:v>4.5369052551441214E-7</c:v>
                </c:pt>
                <c:pt idx="33">
                  <c:v>5.1424268495308647E-7</c:v>
                </c:pt>
                <c:pt idx="34">
                  <c:v>5.8254084534283306E-7</c:v>
                </c:pt>
                <c:pt idx="35">
                  <c:v>6.5952989685752167E-7</c:v>
                </c:pt>
                <c:pt idx="36">
                  <c:v>7.4626390950944278E-7</c:v>
                </c:pt>
                <c:pt idx="37">
                  <c:v>8.4391797490514879E-7</c:v>
                </c:pt>
                <c:pt idx="38">
                  <c:v>9.5380123791647124E-7</c:v>
                </c:pt>
                <c:pt idx="39">
                  <c:v>1.0773712267960586E-6</c:v>
                </c:pt>
                <c:pt idx="40">
                  <c:v>1.216249598931318E-6</c:v>
                </c:pt>
                <c:pt idx="41">
                  <c:v>1.3722394286545041E-6</c:v>
                </c:pt>
                <c:pt idx="42">
                  <c:v>1.5473441733317411E-6</c:v>
                </c:pt>
                <c:pt idx="43">
                  <c:v>1.7437884643617589E-6</c:v>
                </c:pt>
                <c:pt idx="44">
                  <c:v>1.9640408807463332E-6</c:v>
                </c:pt>
                <c:pt idx="45">
                  <c:v>2.2108388745684212E-6</c:v>
                </c:pt>
                <c:pt idx="46">
                  <c:v>2.4872160300486798E-6</c:v>
                </c:pt>
                <c:pt idx="47">
                  <c:v>2.7965318508624735E-6</c:v>
                </c:pt>
                <c:pt idx="48">
                  <c:v>3.1425042841019479E-6</c:v>
                </c:pt>
                <c:pt idx="49">
                  <c:v>3.5292452036728565E-6</c:v>
                </c:pt>
                <c:pt idx="50">
                  <c:v>3.9612990910320753E-6</c:v>
                </c:pt>
                <c:pt idx="51">
                  <c:v>4.443685167005601E-6</c:v>
                </c:pt>
                <c:pt idx="52">
                  <c:v>4.9819432449787926E-6</c:v>
                </c:pt>
                <c:pt idx="53">
                  <c:v>5.5821835930201659E-6</c:v>
                </c:pt>
                <c:pt idx="54">
                  <c:v>6.2511411104785546E-6</c:v>
                </c:pt>
                <c:pt idx="55">
                  <c:v>6.996234143270405E-6</c:v>
                </c:pt>
                <c:pt idx="56">
                  <c:v>7.825628281430239E-6</c:v>
                </c:pt>
                <c:pt idx="57">
                  <c:v>8.7483055025099134E-6</c:v>
                </c:pt>
                <c:pt idx="58">
                  <c:v>9.7741390450493509E-6</c:v>
                </c:pt>
                <c:pt idx="59">
                  <c:v>1.0913974417565564E-5</c:v>
                </c:pt>
                <c:pt idx="60">
                  <c:v>1.2179716970268655E-5</c:v>
                </c:pt>
                <c:pt idx="61">
                  <c:v>1.3584426478963919E-5</c:v>
                </c:pt>
                <c:pt idx="62">
                  <c:v>1.5142419213261371E-5</c:v>
                </c:pt>
                <c:pt idx="63">
                  <c:v>1.6869377984230626E-5</c:v>
                </c:pt>
                <c:pt idx="64">
                  <c:v>1.8782470689901945E-5</c:v>
                </c:pt>
                <c:pt idx="65">
                  <c:v>2.0900477900450482E-5</c:v>
                </c:pt>
                <c:pt idx="66">
                  <c:v>2.3243930048373714E-5</c:v>
                </c:pt>
                <c:pt idx="67">
                  <c:v>2.5835254812390093E-5</c:v>
                </c:pt>
                <c:pt idx="68">
                  <c:v>2.8698935306977618E-5</c:v>
                </c:pt>
                <c:pt idx="69">
                  <c:v>3.1861679712324516E-5</c:v>
                </c:pt>
                <c:pt idx="70">
                  <c:v>3.5352603001773097E-5</c:v>
                </c:pt>
                <c:pt idx="71">
                  <c:v>3.9203421445463005E-5</c:v>
                </c:pt>
                <c:pt idx="72">
                  <c:v>4.3448660589589352E-5</c:v>
                </c:pt>
                <c:pt idx="73">
                  <c:v>4.8125877430296982E-5</c:v>
                </c:pt>
                <c:pt idx="74">
                  <c:v>5.3275897519493968E-5</c:v>
                </c:pt>
                <c:pt idx="75">
                  <c:v>5.8943067756539855E-5</c:v>
                </c:pt>
                <c:pt idx="76">
                  <c:v>6.5175525634586447E-5</c:v>
                </c:pt>
                <c:pt idx="77">
                  <c:v>7.2025485723041163E-5</c:v>
                </c:pt>
                <c:pt idx="78">
                  <c:v>7.9549544177881284E-5</c:v>
                </c:pt>
                <c:pt idx="79">
                  <c:v>8.7809002079064242E-5</c:v>
                </c:pt>
                <c:pt idx="80">
                  <c:v>9.687020839871926E-5</c:v>
                </c:pt>
                <c:pt idx="81">
                  <c:v>1.0680492340481771E-4</c:v>
                </c:pt>
                <c:pt idx="82">
                  <c:v>1.1769070330224524E-4</c:v>
                </c:pt>
                <c:pt idx="83">
                  <c:v>1.296113069062539E-4</c:v>
                </c:pt>
                <c:pt idx="84">
                  <c:v>1.4265712513176652E-4</c:v>
                </c:pt>
                <c:pt idx="85">
                  <c:v>1.5692563406553226E-4</c:v>
                </c:pt>
                <c:pt idx="86">
                  <c:v>1.7252187236626288E-4</c:v>
                </c:pt>
                <c:pt idx="87">
                  <c:v>1.8955894371021315E-4</c:v>
                </c:pt>
                <c:pt idx="88">
                  <c:v>2.0815854496572918E-4</c:v>
                </c:pt>
                <c:pt idx="89">
                  <c:v>2.2845152073967242E-4</c:v>
                </c:pt>
                <c:pt idx="90">
                  <c:v>2.5057844489086075E-4</c:v>
                </c:pt>
                <c:pt idx="91">
                  <c:v>2.7469022955031567E-4</c:v>
                </c:pt>
                <c:pt idx="92">
                  <c:v>3.0094876212471999E-4</c:v>
                </c:pt>
                <c:pt idx="93">
                  <c:v>3.2952757068762962E-4</c:v>
                </c:pt>
                <c:pt idx="94">
                  <c:v>3.6061251808220741E-4</c:v>
                </c:pt>
                <c:pt idx="95">
                  <c:v>3.9440252496915622E-4</c:v>
                </c:pt>
                <c:pt idx="96">
                  <c:v>4.3111032195367602E-4</c:v>
                </c:pt>
                <c:pt idx="97">
                  <c:v>4.7096323081532949E-4</c:v>
                </c:pt>
                <c:pt idx="98">
                  <c:v>5.1420397474424319E-4</c:v>
                </c:pt>
                <c:pt idx="99">
                  <c:v>5.6109151735582138E-4</c:v>
                </c:pt>
                <c:pt idx="100">
                  <c:v>6.119019301137719E-4</c:v>
                </c:pt>
                <c:pt idx="101">
                  <c:v>6.6692928763750227E-4</c:v>
                </c:pt>
                <c:pt idx="102">
                  <c:v>7.2648659020460105E-4</c:v>
                </c:pt>
                <c:pt idx="103">
                  <c:v>7.9090671258203761E-4</c:v>
                </c:pt>
                <c:pt idx="104">
                  <c:v>8.605433781307579E-4</c:v>
                </c:pt>
                <c:pt idx="105">
                  <c:v>9.3577215692747977E-4</c:v>
                </c:pt>
                <c:pt idx="106">
                  <c:v>1.0169914864347645E-3</c:v>
                </c:pt>
                <c:pt idx="107">
                  <c:v>1.1046237130258381E-3</c:v>
                </c:pt>
                <c:pt idx="108">
                  <c:v>1.1991161524345093E-3</c:v>
                </c:pt>
                <c:pt idx="109">
                  <c:v>1.3009421669529307E-3</c:v>
                </c:pt>
                <c:pt idx="110">
                  <c:v>1.4106022569413848E-3</c:v>
                </c:pt>
                <c:pt idx="111">
                  <c:v>1.528625163945144E-3</c:v>
                </c:pt>
                <c:pt idx="112">
                  <c:v>1.6555689824342061E-3</c:v>
                </c:pt>
                <c:pt idx="113">
                  <c:v>1.7920222768931734E-3</c:v>
                </c:pt>
                <c:pt idx="114">
                  <c:v>1.9386052006913181E-3</c:v>
                </c:pt>
                <c:pt idx="115">
                  <c:v>2.0959706128579419E-3</c:v>
                </c:pt>
                <c:pt idx="116">
                  <c:v>2.264805188576479E-3</c:v>
                </c:pt>
                <c:pt idx="117">
                  <c:v>2.4458305188934013E-3</c:v>
                </c:pt>
                <c:pt idx="118">
                  <c:v>2.6398041948164515E-3</c:v>
                </c:pt>
                <c:pt idx="119">
                  <c:v>2.8475208706519421E-3</c:v>
                </c:pt>
                <c:pt idx="120">
                  <c:v>3.0698133011047403E-3</c:v>
                </c:pt>
                <c:pt idx="121">
                  <c:v>3.3075533463386006E-3</c:v>
                </c:pt>
                <c:pt idx="122">
                  <c:v>3.5616529388703346E-3</c:v>
                </c:pt>
                <c:pt idx="123">
                  <c:v>3.8330650058511109E-3</c:v>
                </c:pt>
                <c:pt idx="124">
                  <c:v>4.122784339973702E-3</c:v>
                </c:pt>
                <c:pt idx="125">
                  <c:v>4.4318484119380075E-3</c:v>
                </c:pt>
                <c:pt idx="126">
                  <c:v>4.7613381171110044E-3</c:v>
                </c:pt>
                <c:pt idx="127">
                  <c:v>5.1123784487336638E-3</c:v>
                </c:pt>
                <c:pt idx="128">
                  <c:v>5.4861390897588055E-3</c:v>
                </c:pt>
                <c:pt idx="129">
                  <c:v>5.883834915153101E-3</c:v>
                </c:pt>
                <c:pt idx="130">
                  <c:v>6.3067263962659275E-3</c:v>
                </c:pt>
                <c:pt idx="131">
                  <c:v>6.7561198986603012E-3</c:v>
                </c:pt>
                <c:pt idx="132">
                  <c:v>7.2333678646196876E-3</c:v>
                </c:pt>
                <c:pt idx="133">
                  <c:v>7.739868871391698E-3</c:v>
                </c:pt>
                <c:pt idx="134">
                  <c:v>8.2770675561084951E-3</c:v>
                </c:pt>
                <c:pt idx="135">
                  <c:v>8.8464543982372315E-3</c:v>
                </c:pt>
                <c:pt idx="136">
                  <c:v>9.4495653503647182E-3</c:v>
                </c:pt>
                <c:pt idx="137">
                  <c:v>1.0087981308111881E-2</c:v>
                </c:pt>
                <c:pt idx="138">
                  <c:v>1.0763327410007743E-2</c:v>
                </c:pt>
                <c:pt idx="139">
                  <c:v>1.1477272158233751E-2</c:v>
                </c:pt>
                <c:pt idx="140">
                  <c:v>1.2231526351277971E-2</c:v>
                </c:pt>
                <c:pt idx="141">
                  <c:v>1.3027841819719665E-2</c:v>
                </c:pt>
                <c:pt idx="142">
                  <c:v>1.3868009956599181E-2</c:v>
                </c:pt>
                <c:pt idx="143">
                  <c:v>1.4753860034118634E-2</c:v>
                </c:pt>
                <c:pt idx="144">
                  <c:v>1.5687257298768114E-2</c:v>
                </c:pt>
                <c:pt idx="145">
                  <c:v>1.6670100837381057E-2</c:v>
                </c:pt>
                <c:pt idx="146">
                  <c:v>1.7704321207094212E-2</c:v>
                </c:pt>
                <c:pt idx="147">
                  <c:v>1.8791877822721837E-2</c:v>
                </c:pt>
                <c:pt idx="148">
                  <c:v>1.993475609565365E-2</c:v>
                </c:pt>
                <c:pt idx="149">
                  <c:v>2.1134964319050476E-2</c:v>
                </c:pt>
                <c:pt idx="150">
                  <c:v>2.2394530294842899E-2</c:v>
                </c:pt>
                <c:pt idx="151">
                  <c:v>2.3715497698834857E-2</c:v>
                </c:pt>
                <c:pt idx="152">
                  <c:v>2.5099922181077771E-2</c:v>
                </c:pt>
                <c:pt idx="153">
                  <c:v>2.65498671996088E-2</c:v>
                </c:pt>
                <c:pt idx="154">
                  <c:v>2.8067399586640101E-2</c:v>
                </c:pt>
                <c:pt idx="155">
                  <c:v>2.9654584847341278E-2</c:v>
                </c:pt>
                <c:pt idx="156">
                  <c:v>3.131348219247429E-2</c:v>
                </c:pt>
                <c:pt idx="157">
                  <c:v>3.3046139307314801E-2</c:v>
                </c:pt>
                <c:pt idx="158">
                  <c:v>3.4854586860525415E-2</c:v>
                </c:pt>
                <c:pt idx="159">
                  <c:v>3.6740832757928006E-2</c:v>
                </c:pt>
                <c:pt idx="160">
                  <c:v>3.8706856147455608E-2</c:v>
                </c:pt>
                <c:pt idx="161">
                  <c:v>4.0754601182937548E-2</c:v>
                </c:pt>
                <c:pt idx="162">
                  <c:v>4.2885970555787321E-2</c:v>
                </c:pt>
                <c:pt idx="163">
                  <c:v>4.5102818805110016E-2</c:v>
                </c:pt>
                <c:pt idx="164">
                  <c:v>4.7406945418221713E-2</c:v>
                </c:pt>
                <c:pt idx="165">
                  <c:v>4.9800087735070775E-2</c:v>
                </c:pt>
                <c:pt idx="166">
                  <c:v>5.2283913671562113E-2</c:v>
                </c:pt>
                <c:pt idx="167">
                  <c:v>5.4860014278304732E-2</c:v>
                </c:pt>
                <c:pt idx="168">
                  <c:v>5.7529896152820871E-2</c:v>
                </c:pt>
                <c:pt idx="169">
                  <c:v>6.0294973724765701E-2</c:v>
                </c:pt>
                <c:pt idx="170">
                  <c:v>6.3156561435198655E-2</c:v>
                </c:pt>
                <c:pt idx="171">
                  <c:v>6.6115865832415521E-2</c:v>
                </c:pt>
                <c:pt idx="172">
                  <c:v>6.9173977608282505E-2</c:v>
                </c:pt>
                <c:pt idx="173">
                  <c:v>7.2331863600401836E-2</c:v>
                </c:pt>
                <c:pt idx="174">
                  <c:v>7.5590358786774225E-2</c:v>
                </c:pt>
                <c:pt idx="175">
                  <c:v>7.8950158300894177E-2</c:v>
                </c:pt>
                <c:pt idx="176">
                  <c:v>8.2411809496414523E-2</c:v>
                </c:pt>
                <c:pt idx="177">
                  <c:v>8.5975704091632174E-2</c:v>
                </c:pt>
                <c:pt idx="178">
                  <c:v>8.9642070425072398E-2</c:v>
                </c:pt>
                <c:pt idx="179">
                  <c:v>9.3410965854371211E-2</c:v>
                </c:pt>
                <c:pt idx="180">
                  <c:v>9.7282269331467539E-2</c:v>
                </c:pt>
                <c:pt idx="181">
                  <c:v>0.10125567418780883</c:v>
                </c:pt>
                <c:pt idx="182">
                  <c:v>0.10533068116383558</c:v>
                </c:pt>
                <c:pt idx="183">
                  <c:v>0.1095065917174368</c:v>
                </c:pt>
                <c:pt idx="184">
                  <c:v>0.11378250164634682</c:v>
                </c:pt>
                <c:pt idx="185">
                  <c:v>0.11815729505958236</c:v>
                </c:pt>
                <c:pt idx="186">
                  <c:v>0.12262963873298507</c:v>
                </c:pt>
                <c:pt idx="187">
                  <c:v>0.12719797688373657</c:v>
                </c:pt>
                <c:pt idx="188">
                  <c:v>0.13186052639834273</c:v>
                </c:pt>
                <c:pt idx="189">
                  <c:v>0.1366152725480389</c:v>
                </c:pt>
                <c:pt idx="190">
                  <c:v>0.1414599652248387</c:v>
                </c:pt>
                <c:pt idx="191">
                  <c:v>0.1463921157305455</c:v>
                </c:pt>
                <c:pt idx="192">
                  <c:v>0.15140899414994616</c:v>
                </c:pt>
                <c:pt idx="193">
                  <c:v>0.15650762733813126</c:v>
                </c:pt>
                <c:pt idx="194">
                  <c:v>0.1616847975504194</c:v>
                </c:pt>
                <c:pt idx="195">
                  <c:v>0.16693704174171375</c:v>
                </c:pt>
                <c:pt idx="196">
                  <c:v>0.17226065156028758</c:v>
                </c:pt>
                <c:pt idx="197">
                  <c:v>0.1776516740589851</c:v>
                </c:pt>
                <c:pt idx="198">
                  <c:v>0.18310591314463986</c:v>
                </c:pt>
                <c:pt idx="199">
                  <c:v>0.18861893178415948</c:v>
                </c:pt>
                <c:pt idx="200">
                  <c:v>0.19418605498321292</c:v>
                </c:pt>
                <c:pt idx="201">
                  <c:v>0.19980237355078795</c:v>
                </c:pt>
                <c:pt idx="202">
                  <c:v>0.20546274866007688</c:v>
                </c:pt>
                <c:pt idx="203">
                  <c:v>0.21116181721320312</c:v>
                </c:pt>
                <c:pt idx="204">
                  <c:v>0.21689399801423551</c:v>
                </c:pt>
                <c:pt idx="205">
                  <c:v>0.22265349875176113</c:v>
                </c:pt>
                <c:pt idx="206">
                  <c:v>0.22843432378901604</c:v>
                </c:pt>
                <c:pt idx="207">
                  <c:v>0.23423028275621952</c:v>
                </c:pt>
                <c:pt idx="208">
                  <c:v>0.2400349999363395</c:v>
                </c:pt>
                <c:pt idx="209">
                  <c:v>0.24584192443204717</c:v>
                </c:pt>
                <c:pt idx="210">
                  <c:v>0.25164434109811712</c:v>
                </c:pt>
                <c:pt idx="211">
                  <c:v>0.25743538222001205</c:v>
                </c:pt>
                <c:pt idx="212">
                  <c:v>0.2632080399158771</c:v>
                </c:pt>
                <c:pt idx="213">
                  <c:v>0.26895517923567464</c:v>
                </c:pt>
                <c:pt idx="214">
                  <c:v>0.27466955192773695</c:v>
                </c:pt>
                <c:pt idx="215">
                  <c:v>0.28034381083962062</c:v>
                </c:pt>
                <c:pt idx="216">
                  <c:v>0.28597052491682845</c:v>
                </c:pt>
                <c:pt idx="217">
                  <c:v>0.29154219475974724</c:v>
                </c:pt>
                <c:pt idx="218">
                  <c:v>0.2970512686960452</c:v>
                </c:pt>
                <c:pt idx="219">
                  <c:v>0.30249015932280471</c:v>
                </c:pt>
                <c:pt idx="220">
                  <c:v>0.30785126046985301</c:v>
                </c:pt>
                <c:pt idx="221">
                  <c:v>0.3131269645331039</c:v>
                </c:pt>
                <c:pt idx="222">
                  <c:v>0.3183096801242743</c:v>
                </c:pt>
                <c:pt idx="223">
                  <c:v>0.32339184998107995</c:v>
                </c:pt>
                <c:pt idx="224">
                  <c:v>0.32836596907998766</c:v>
                </c:pt>
                <c:pt idx="225">
                  <c:v>0.33322460289179973</c:v>
                </c:pt>
                <c:pt idx="226">
                  <c:v>0.33796040571879715</c:v>
                </c:pt>
                <c:pt idx="227">
                  <c:v>0.34256613905087624</c:v>
                </c:pt>
                <c:pt idx="228">
                  <c:v>0.34703468987709241</c:v>
                </c:pt>
                <c:pt idx="229">
                  <c:v>0.3513590888882841</c:v>
                </c:pt>
                <c:pt idx="230">
                  <c:v>0.35553252850599704</c:v>
                </c:pt>
                <c:pt idx="231">
                  <c:v>0.35954838067276951</c:v>
                </c:pt>
                <c:pt idx="232">
                  <c:v>0.36340021433897718</c:v>
                </c:pt>
                <c:pt idx="233">
                  <c:v>0.36708181258188249</c:v>
                </c:pt>
                <c:pt idx="234">
                  <c:v>0.3705871892932735</c:v>
                </c:pt>
                <c:pt idx="235">
                  <c:v>0.37391060537312837</c:v>
                </c:pt>
                <c:pt idx="236">
                  <c:v>0.37704658436808808</c:v>
                </c:pt>
                <c:pt idx="237">
                  <c:v>0.37998992749516874</c:v>
                </c:pt>
                <c:pt idx="238">
                  <c:v>0.38273572799307848</c:v>
                </c:pt>
                <c:pt idx="239">
                  <c:v>0.38527938474572759</c:v>
                </c:pt>
                <c:pt idx="240">
                  <c:v>0.38761661512501411</c:v>
                </c:pt>
                <c:pt idx="241">
                  <c:v>0.38974346700272944</c:v>
                </c:pt>
                <c:pt idx="242">
                  <c:v>0.39165632988443705</c:v>
                </c:pt>
                <c:pt idx="243">
                  <c:v>0.39335194512142974</c:v>
                </c:pt>
                <c:pt idx="244">
                  <c:v>0.39482741516033976</c:v>
                </c:pt>
                <c:pt idx="245">
                  <c:v>0.3960802117936561</c:v>
                </c:pt>
                <c:pt idx="246">
                  <c:v>0.39710818337826648</c:v>
                </c:pt>
                <c:pt idx="247">
                  <c:v>0.39790956099317593</c:v>
                </c:pt>
                <c:pt idx="248">
                  <c:v>0.39848296351173551</c:v>
                </c:pt>
                <c:pt idx="249">
                  <c:v>0.39882740156802315</c:v>
                </c:pt>
                <c:pt idx="250">
                  <c:v>0.3989422804014327</c:v>
                </c:pt>
                <c:pt idx="251">
                  <c:v>0.39882740156802315</c:v>
                </c:pt>
                <c:pt idx="252">
                  <c:v>0.39848296351173551</c:v>
                </c:pt>
                <c:pt idx="253">
                  <c:v>0.39790956099317593</c:v>
                </c:pt>
                <c:pt idx="254">
                  <c:v>0.39710818337826648</c:v>
                </c:pt>
                <c:pt idx="255">
                  <c:v>0.3960802117936561</c:v>
                </c:pt>
                <c:pt idx="256">
                  <c:v>0.39482741516033976</c:v>
                </c:pt>
                <c:pt idx="257">
                  <c:v>0.39335194512142974</c:v>
                </c:pt>
                <c:pt idx="258">
                  <c:v>0.39165632988443705</c:v>
                </c:pt>
                <c:pt idx="259">
                  <c:v>0.38974346700272944</c:v>
                </c:pt>
                <c:pt idx="260">
                  <c:v>0.38761661512501411</c:v>
                </c:pt>
                <c:pt idx="261">
                  <c:v>0.38527938474572759</c:v>
                </c:pt>
                <c:pt idx="262">
                  <c:v>0.38273572799307848</c:v>
                </c:pt>
                <c:pt idx="263">
                  <c:v>0.37998992749516874</c:v>
                </c:pt>
                <c:pt idx="264">
                  <c:v>0.37704658436808808</c:v>
                </c:pt>
                <c:pt idx="265">
                  <c:v>0.37391060537312837</c:v>
                </c:pt>
                <c:pt idx="266">
                  <c:v>0.3705871892932735</c:v>
                </c:pt>
                <c:pt idx="267">
                  <c:v>0.36708181258188249</c:v>
                </c:pt>
                <c:pt idx="268">
                  <c:v>0.36340021433897718</c:v>
                </c:pt>
                <c:pt idx="269">
                  <c:v>0.35954838067276951</c:v>
                </c:pt>
                <c:pt idx="270">
                  <c:v>0.35553252850599704</c:v>
                </c:pt>
                <c:pt idx="271">
                  <c:v>0.3513590888882841</c:v>
                </c:pt>
                <c:pt idx="272">
                  <c:v>0.34703468987709241</c:v>
                </c:pt>
                <c:pt idx="273">
                  <c:v>0.34256613905087624</c:v>
                </c:pt>
                <c:pt idx="274">
                  <c:v>0.33796040571879715</c:v>
                </c:pt>
                <c:pt idx="275">
                  <c:v>0.33322460289179973</c:v>
                </c:pt>
                <c:pt idx="276">
                  <c:v>0.32836596907998766</c:v>
                </c:pt>
                <c:pt idx="277">
                  <c:v>0.32339184998107995</c:v>
                </c:pt>
                <c:pt idx="278">
                  <c:v>0.3183096801242743</c:v>
                </c:pt>
                <c:pt idx="279">
                  <c:v>0.3131269645331039</c:v>
                </c:pt>
                <c:pt idx="280">
                  <c:v>0.30785126046985301</c:v>
                </c:pt>
                <c:pt idx="281">
                  <c:v>0.30249015932280471</c:v>
                </c:pt>
                <c:pt idx="282">
                  <c:v>0.2970512686960452</c:v>
                </c:pt>
                <c:pt idx="283">
                  <c:v>0.29154219475974724</c:v>
                </c:pt>
                <c:pt idx="284">
                  <c:v>0.28597052491682845</c:v>
                </c:pt>
                <c:pt idx="285">
                  <c:v>0.28034381083962062</c:v>
                </c:pt>
                <c:pt idx="286">
                  <c:v>0.27466955192773695</c:v>
                </c:pt>
                <c:pt idx="287">
                  <c:v>0.26895517923567464</c:v>
                </c:pt>
                <c:pt idx="288">
                  <c:v>0.2632080399158771</c:v>
                </c:pt>
                <c:pt idx="289">
                  <c:v>0.25743538222001205</c:v>
                </c:pt>
                <c:pt idx="290">
                  <c:v>0.25164434109811712</c:v>
                </c:pt>
                <c:pt idx="291">
                  <c:v>0.24584192443204717</c:v>
                </c:pt>
                <c:pt idx="292">
                  <c:v>0.2400349999363395</c:v>
                </c:pt>
                <c:pt idx="293">
                  <c:v>0.23423028275621952</c:v>
                </c:pt>
                <c:pt idx="294">
                  <c:v>0.22843432378901604</c:v>
                </c:pt>
                <c:pt idx="295">
                  <c:v>0.22265349875176113</c:v>
                </c:pt>
                <c:pt idx="296">
                  <c:v>0.21689399801423551</c:v>
                </c:pt>
                <c:pt idx="297">
                  <c:v>0.21116181721320312</c:v>
                </c:pt>
                <c:pt idx="298">
                  <c:v>0.20546274866007688</c:v>
                </c:pt>
                <c:pt idx="299">
                  <c:v>0.19980237355078795</c:v>
                </c:pt>
                <c:pt idx="300">
                  <c:v>0.19418605498321292</c:v>
                </c:pt>
                <c:pt idx="301">
                  <c:v>0.18861893178415948</c:v>
                </c:pt>
                <c:pt idx="302">
                  <c:v>0.18310591314463986</c:v>
                </c:pt>
                <c:pt idx="303">
                  <c:v>0.1776516740589851</c:v>
                </c:pt>
                <c:pt idx="304">
                  <c:v>0.17226065156028758</c:v>
                </c:pt>
                <c:pt idx="305">
                  <c:v>0.16693704174171375</c:v>
                </c:pt>
                <c:pt idx="306">
                  <c:v>0.1616847975504194</c:v>
                </c:pt>
                <c:pt idx="307">
                  <c:v>0.15650762733813126</c:v>
                </c:pt>
                <c:pt idx="308">
                  <c:v>0.15140899414994616</c:v>
                </c:pt>
                <c:pt idx="309">
                  <c:v>0.1463921157305455</c:v>
                </c:pt>
                <c:pt idx="310">
                  <c:v>0.1414599652248387</c:v>
                </c:pt>
                <c:pt idx="311">
                  <c:v>0.1366152725480389</c:v>
                </c:pt>
                <c:pt idx="312">
                  <c:v>0.13186052639834273</c:v>
                </c:pt>
                <c:pt idx="313">
                  <c:v>0.12719797688373657</c:v>
                </c:pt>
                <c:pt idx="314">
                  <c:v>0.12262963873298507</c:v>
                </c:pt>
                <c:pt idx="315">
                  <c:v>0.11815729505958236</c:v>
                </c:pt>
                <c:pt idx="316">
                  <c:v>0.11378250164634682</c:v>
                </c:pt>
                <c:pt idx="317">
                  <c:v>0.1095065917174368</c:v>
                </c:pt>
                <c:pt idx="318">
                  <c:v>0.10533068116383558</c:v>
                </c:pt>
                <c:pt idx="319">
                  <c:v>0.10125567418780883</c:v>
                </c:pt>
                <c:pt idx="320">
                  <c:v>9.7282269331467539E-2</c:v>
                </c:pt>
                <c:pt idx="321">
                  <c:v>9.3410965854371211E-2</c:v>
                </c:pt>
                <c:pt idx="322">
                  <c:v>8.9642070425072398E-2</c:v>
                </c:pt>
                <c:pt idx="323">
                  <c:v>8.5975704091632174E-2</c:v>
                </c:pt>
                <c:pt idx="324">
                  <c:v>8.2411809496414523E-2</c:v>
                </c:pt>
                <c:pt idx="325">
                  <c:v>7.8950158300894177E-2</c:v>
                </c:pt>
                <c:pt idx="326">
                  <c:v>7.5590358786774225E-2</c:v>
                </c:pt>
                <c:pt idx="327">
                  <c:v>7.2331863600401836E-2</c:v>
                </c:pt>
                <c:pt idx="328">
                  <c:v>6.9173977608282505E-2</c:v>
                </c:pt>
                <c:pt idx="329">
                  <c:v>6.6115865832415521E-2</c:v>
                </c:pt>
                <c:pt idx="330">
                  <c:v>6.3156561435198655E-2</c:v>
                </c:pt>
                <c:pt idx="331">
                  <c:v>6.0294973724765701E-2</c:v>
                </c:pt>
                <c:pt idx="332">
                  <c:v>5.7529896152820871E-2</c:v>
                </c:pt>
                <c:pt idx="333">
                  <c:v>5.4860014278304732E-2</c:v>
                </c:pt>
                <c:pt idx="334">
                  <c:v>5.2283913671562113E-2</c:v>
                </c:pt>
                <c:pt idx="335">
                  <c:v>4.9800087735070858E-2</c:v>
                </c:pt>
                <c:pt idx="336">
                  <c:v>4.7406945418221713E-2</c:v>
                </c:pt>
                <c:pt idx="337">
                  <c:v>4.5102818805110099E-2</c:v>
                </c:pt>
                <c:pt idx="338">
                  <c:v>4.2885970555787321E-2</c:v>
                </c:pt>
                <c:pt idx="339">
                  <c:v>4.0754601182937618E-2</c:v>
                </c:pt>
                <c:pt idx="340">
                  <c:v>3.8706856147455608E-2</c:v>
                </c:pt>
                <c:pt idx="341">
                  <c:v>3.6740832757928069E-2</c:v>
                </c:pt>
                <c:pt idx="342">
                  <c:v>3.4854586860525415E-2</c:v>
                </c:pt>
                <c:pt idx="343">
                  <c:v>3.3046139307314877E-2</c:v>
                </c:pt>
                <c:pt idx="344">
                  <c:v>3.1313482192474262E-2</c:v>
                </c:pt>
                <c:pt idx="345">
                  <c:v>2.9654584847341316E-2</c:v>
                </c:pt>
                <c:pt idx="346">
                  <c:v>2.8067399586640077E-2</c:v>
                </c:pt>
                <c:pt idx="347">
                  <c:v>2.6549867199608838E-2</c:v>
                </c:pt>
                <c:pt idx="348">
                  <c:v>2.5099922181077736E-2</c:v>
                </c:pt>
                <c:pt idx="349">
                  <c:v>2.3715497698834888E-2</c:v>
                </c:pt>
                <c:pt idx="350">
                  <c:v>2.2394530294842882E-2</c:v>
                </c:pt>
                <c:pt idx="351">
                  <c:v>2.1134964319050504E-2</c:v>
                </c:pt>
                <c:pt idx="352">
                  <c:v>1.9934756095653629E-2</c:v>
                </c:pt>
                <c:pt idx="353">
                  <c:v>1.8791877822721854E-2</c:v>
                </c:pt>
                <c:pt idx="354">
                  <c:v>1.7704321207094198E-2</c:v>
                </c:pt>
                <c:pt idx="355">
                  <c:v>1.6670100837381078E-2</c:v>
                </c:pt>
                <c:pt idx="356">
                  <c:v>1.56872572987681E-2</c:v>
                </c:pt>
                <c:pt idx="357">
                  <c:v>1.4753860034118655E-2</c:v>
                </c:pt>
                <c:pt idx="358">
                  <c:v>1.386800995659916E-2</c:v>
                </c:pt>
                <c:pt idx="359">
                  <c:v>1.3027841819719681E-2</c:v>
                </c:pt>
                <c:pt idx="360">
                  <c:v>1.2231526351277954E-2</c:v>
                </c:pt>
                <c:pt idx="361">
                  <c:v>1.1477272158233767E-2</c:v>
                </c:pt>
                <c:pt idx="362">
                  <c:v>1.0763327410007729E-2</c:v>
                </c:pt>
                <c:pt idx="363">
                  <c:v>1.008798130811189E-2</c:v>
                </c:pt>
                <c:pt idx="364">
                  <c:v>9.449565350364706E-3</c:v>
                </c:pt>
                <c:pt idx="365">
                  <c:v>8.8464543982372315E-3</c:v>
                </c:pt>
                <c:pt idx="366">
                  <c:v>8.277067556108476E-3</c:v>
                </c:pt>
                <c:pt idx="367">
                  <c:v>7.739868871391698E-3</c:v>
                </c:pt>
                <c:pt idx="368">
                  <c:v>7.2333678646196676E-3</c:v>
                </c:pt>
                <c:pt idx="369">
                  <c:v>6.7561198986603012E-3</c:v>
                </c:pt>
                <c:pt idx="370">
                  <c:v>6.3067263962659102E-3</c:v>
                </c:pt>
                <c:pt idx="371">
                  <c:v>5.883834915153101E-3</c:v>
                </c:pt>
                <c:pt idx="372">
                  <c:v>5.4861390897587908E-3</c:v>
                </c:pt>
                <c:pt idx="373">
                  <c:v>5.1123784487336638E-3</c:v>
                </c:pt>
                <c:pt idx="374">
                  <c:v>4.7613381171109914E-3</c:v>
                </c:pt>
                <c:pt idx="375">
                  <c:v>4.4318484119380075E-3</c:v>
                </c:pt>
                <c:pt idx="376">
                  <c:v>4.1227843399737132E-3</c:v>
                </c:pt>
                <c:pt idx="377">
                  <c:v>3.8330650058511109E-3</c:v>
                </c:pt>
                <c:pt idx="378">
                  <c:v>3.5616529388703441E-3</c:v>
                </c:pt>
                <c:pt idx="379">
                  <c:v>3.3075533463386006E-3</c:v>
                </c:pt>
                <c:pt idx="380">
                  <c:v>3.0698133011047486E-3</c:v>
                </c:pt>
                <c:pt idx="381">
                  <c:v>2.8475208706519421E-3</c:v>
                </c:pt>
                <c:pt idx="382">
                  <c:v>2.6398041948164589E-3</c:v>
                </c:pt>
                <c:pt idx="383">
                  <c:v>2.4458305188934013E-3</c:v>
                </c:pt>
                <c:pt idx="384">
                  <c:v>2.2648051885764847E-3</c:v>
                </c:pt>
                <c:pt idx="385">
                  <c:v>2.0959706128579419E-3</c:v>
                </c:pt>
                <c:pt idx="386">
                  <c:v>1.9386052006913198E-3</c:v>
                </c:pt>
                <c:pt idx="387">
                  <c:v>1.7920222768931717E-3</c:v>
                </c:pt>
                <c:pt idx="388">
                  <c:v>1.6555689824342091E-3</c:v>
                </c:pt>
                <c:pt idx="389">
                  <c:v>1.5286251639451411E-3</c:v>
                </c:pt>
                <c:pt idx="390">
                  <c:v>1.4106022569413861E-3</c:v>
                </c:pt>
                <c:pt idx="391">
                  <c:v>1.3009421669529281E-3</c:v>
                </c:pt>
                <c:pt idx="392">
                  <c:v>1.1991161524345115E-3</c:v>
                </c:pt>
                <c:pt idx="393">
                  <c:v>1.1046237130258364E-3</c:v>
                </c:pt>
                <c:pt idx="394">
                  <c:v>1.0169914864347654E-3</c:v>
                </c:pt>
                <c:pt idx="395">
                  <c:v>9.3577215692747804E-4</c:v>
                </c:pt>
                <c:pt idx="396">
                  <c:v>8.6054337813075866E-4</c:v>
                </c:pt>
                <c:pt idx="397">
                  <c:v>7.9090671258203685E-4</c:v>
                </c:pt>
                <c:pt idx="398">
                  <c:v>7.2648659020460235E-4</c:v>
                </c:pt>
                <c:pt idx="399">
                  <c:v>6.6692928763750108E-4</c:v>
                </c:pt>
                <c:pt idx="400">
                  <c:v>6.1190193011377298E-4</c:v>
                </c:pt>
                <c:pt idx="401">
                  <c:v>5.610915173558204E-4</c:v>
                </c:pt>
                <c:pt idx="402">
                  <c:v>5.1420397474424406E-4</c:v>
                </c:pt>
                <c:pt idx="403">
                  <c:v>4.7096323081532873E-4</c:v>
                </c:pt>
                <c:pt idx="404">
                  <c:v>4.3111032195367678E-4</c:v>
                </c:pt>
                <c:pt idx="405">
                  <c:v>3.9440252496915552E-4</c:v>
                </c:pt>
                <c:pt idx="406">
                  <c:v>3.6061251808220806E-4</c:v>
                </c:pt>
                <c:pt idx="407">
                  <c:v>3.2952757068762842E-4</c:v>
                </c:pt>
                <c:pt idx="408">
                  <c:v>3.0094876212471999E-4</c:v>
                </c:pt>
                <c:pt idx="409">
                  <c:v>2.746902295503147E-4</c:v>
                </c:pt>
                <c:pt idx="410">
                  <c:v>2.5057844489086075E-4</c:v>
                </c:pt>
                <c:pt idx="411">
                  <c:v>2.2845152073967183E-4</c:v>
                </c:pt>
                <c:pt idx="412">
                  <c:v>2.0815854496572918E-4</c:v>
                </c:pt>
                <c:pt idx="413">
                  <c:v>1.8955894371021248E-4</c:v>
                </c:pt>
                <c:pt idx="414">
                  <c:v>1.7252187236626288E-4</c:v>
                </c:pt>
                <c:pt idx="415">
                  <c:v>1.5692563406553169E-4</c:v>
                </c:pt>
                <c:pt idx="416">
                  <c:v>1.4265712513176652E-4</c:v>
                </c:pt>
                <c:pt idx="417">
                  <c:v>1.2961130690625436E-4</c:v>
                </c:pt>
                <c:pt idx="418">
                  <c:v>1.1769070330224524E-4</c:v>
                </c:pt>
                <c:pt idx="419">
                  <c:v>1.0680492340481808E-4</c:v>
                </c:pt>
                <c:pt idx="420">
                  <c:v>9.687020839871926E-5</c:v>
                </c:pt>
                <c:pt idx="421">
                  <c:v>8.7809002079064554E-5</c:v>
                </c:pt>
                <c:pt idx="422">
                  <c:v>7.9549544177881284E-5</c:v>
                </c:pt>
                <c:pt idx="423">
                  <c:v>7.2025485723041421E-5</c:v>
                </c:pt>
                <c:pt idx="424">
                  <c:v>6.5175525634586447E-5</c:v>
                </c:pt>
                <c:pt idx="425">
                  <c:v>5.8943067756540058E-5</c:v>
                </c:pt>
                <c:pt idx="426">
                  <c:v>5.3275897519493968E-5</c:v>
                </c:pt>
                <c:pt idx="427">
                  <c:v>4.8125877430297145E-5</c:v>
                </c:pt>
                <c:pt idx="428">
                  <c:v>4.3448660589589352E-5</c:v>
                </c:pt>
                <c:pt idx="429">
                  <c:v>3.9203421445463147E-5</c:v>
                </c:pt>
                <c:pt idx="430">
                  <c:v>3.5352603001773097E-5</c:v>
                </c:pt>
                <c:pt idx="431">
                  <c:v>3.1861679712324632E-5</c:v>
                </c:pt>
                <c:pt idx="432">
                  <c:v>2.8698935306977618E-5</c:v>
                </c:pt>
                <c:pt idx="433">
                  <c:v>2.5835254812390093E-5</c:v>
                </c:pt>
                <c:pt idx="434">
                  <c:v>2.3243930048373714E-5</c:v>
                </c:pt>
                <c:pt idx="435">
                  <c:v>2.0900477900450482E-5</c:v>
                </c:pt>
                <c:pt idx="436">
                  <c:v>1.8782470689901945E-5</c:v>
                </c:pt>
                <c:pt idx="437">
                  <c:v>1.6869377984230626E-5</c:v>
                </c:pt>
                <c:pt idx="438">
                  <c:v>1.5142419213261371E-5</c:v>
                </c:pt>
                <c:pt idx="439">
                  <c:v>1.3584426478963919E-5</c:v>
                </c:pt>
                <c:pt idx="440">
                  <c:v>1.2179716970268655E-5</c:v>
                </c:pt>
                <c:pt idx="441">
                  <c:v>1.0913974417565564E-5</c:v>
                </c:pt>
                <c:pt idx="442">
                  <c:v>9.7741390450493509E-6</c:v>
                </c:pt>
                <c:pt idx="443">
                  <c:v>8.7483055025099134E-6</c:v>
                </c:pt>
                <c:pt idx="444">
                  <c:v>7.8256282814302102E-6</c:v>
                </c:pt>
                <c:pt idx="445">
                  <c:v>6.996234143270405E-6</c:v>
                </c:pt>
                <c:pt idx="446">
                  <c:v>6.2511411104785215E-6</c:v>
                </c:pt>
                <c:pt idx="447">
                  <c:v>5.5821835930201659E-6</c:v>
                </c:pt>
                <c:pt idx="448">
                  <c:v>4.9819432449787756E-6</c:v>
                </c:pt>
                <c:pt idx="449">
                  <c:v>4.443685167005601E-6</c:v>
                </c:pt>
                <c:pt idx="450">
                  <c:v>3.9612990910320609E-6</c:v>
                </c:pt>
                <c:pt idx="451">
                  <c:v>3.5292452036728565E-6</c:v>
                </c:pt>
                <c:pt idx="452">
                  <c:v>3.1425042841019365E-6</c:v>
                </c:pt>
                <c:pt idx="453">
                  <c:v>2.7965318508624735E-6</c:v>
                </c:pt>
                <c:pt idx="454">
                  <c:v>2.4872160300486709E-6</c:v>
                </c:pt>
                <c:pt idx="455">
                  <c:v>2.2108388745684212E-6</c:v>
                </c:pt>
                <c:pt idx="456">
                  <c:v>1.9640408807463227E-6</c:v>
                </c:pt>
                <c:pt idx="457">
                  <c:v>1.7437884643617589E-6</c:v>
                </c:pt>
                <c:pt idx="458">
                  <c:v>1.5473441733317354E-6</c:v>
                </c:pt>
                <c:pt idx="459">
                  <c:v>1.3722394286545041E-6</c:v>
                </c:pt>
                <c:pt idx="460">
                  <c:v>1.2162495989313246E-6</c:v>
                </c:pt>
                <c:pt idx="461">
                  <c:v>1.0773712267960586E-6</c:v>
                </c:pt>
                <c:pt idx="462">
                  <c:v>9.5380123791647633E-7</c:v>
                </c:pt>
                <c:pt idx="463">
                  <c:v>8.4391797490514879E-7</c:v>
                </c:pt>
                <c:pt idx="464">
                  <c:v>7.4626390950944681E-7</c:v>
                </c:pt>
                <c:pt idx="465">
                  <c:v>6.5952989685752167E-7</c:v>
                </c:pt>
                <c:pt idx="466">
                  <c:v>5.8254084534283518E-7</c:v>
                </c:pt>
                <c:pt idx="467">
                  <c:v>5.1424268495308647E-7</c:v>
                </c:pt>
                <c:pt idx="468">
                  <c:v>4.5369052551441447E-7</c:v>
                </c:pt>
                <c:pt idx="469">
                  <c:v>4.0003790444932249E-7</c:v>
                </c:pt>
                <c:pt idx="470">
                  <c:v>3.5252703126140567E-7</c:v>
                </c:pt>
                <c:pt idx="471">
                  <c:v>3.104799430831489E-7</c:v>
                </c:pt>
                <c:pt idx="472">
                  <c:v>2.7329049227913364E-7</c:v>
                </c:pt>
                <c:pt idx="473">
                  <c:v>2.4041709330746573E-7</c:v>
                </c:pt>
                <c:pt idx="474">
                  <c:v>2.1137616183074136E-7</c:v>
                </c:pt>
                <c:pt idx="475">
                  <c:v>1.8573618445552897E-7</c:v>
                </c:pt>
                <c:pt idx="476">
                  <c:v>1.6311236248861543E-7</c:v>
                </c:pt>
                <c:pt idx="477">
                  <c:v>1.4316177774957213E-7</c:v>
                </c:pt>
                <c:pt idx="478">
                  <c:v>1.2557903279356918E-7</c:v>
                </c:pt>
                <c:pt idx="479">
                  <c:v>1.1009232189518106E-7</c:v>
                </c:pt>
                <c:pt idx="480">
                  <c:v>9.6459892842733842E-8</c:v>
                </c:pt>
                <c:pt idx="481">
                  <c:v>8.4466863011587931E-8</c:v>
                </c:pt>
                <c:pt idx="482">
                  <c:v>7.3922356341658018E-8</c:v>
                </c:pt>
                <c:pt idx="483">
                  <c:v>6.4656930756044859E-8</c:v>
                </c:pt>
                <c:pt idx="484">
                  <c:v>5.6520268240340859E-8</c:v>
                </c:pt>
                <c:pt idx="485">
                  <c:v>4.9379102271104225E-8</c:v>
                </c:pt>
                <c:pt idx="486">
                  <c:v>4.3115359552033492E-8</c:v>
                </c:pt>
                <c:pt idx="487">
                  <c:v>3.7624495101197867E-8</c:v>
                </c:pt>
                <c:pt idx="488">
                  <c:v>3.2814001645590985E-8</c:v>
                </c:pt>
                <c:pt idx="489">
                  <c:v>2.8602076032539976E-8</c:v>
                </c:pt>
                <c:pt idx="490">
                  <c:v>2.4916426972950989E-8</c:v>
                </c:pt>
                <c:pt idx="491">
                  <c:v>2.1693209899897903E-8</c:v>
                </c:pt>
                <c:pt idx="492">
                  <c:v>1.8876076068122808E-8</c:v>
                </c:pt>
                <c:pt idx="493">
                  <c:v>1.6415324245220292E-8</c:v>
                </c:pt>
                <c:pt idx="494">
                  <c:v>1.4267144462795874E-8</c:v>
                </c:pt>
                <c:pt idx="495">
                  <c:v>1.239294431415004E-8</c:v>
                </c:pt>
                <c:pt idx="496">
                  <c:v>1.0758749212031231E-8</c:v>
                </c:pt>
                <c:pt idx="497">
                  <c:v>9.3346688630663104E-9</c:v>
                </c:pt>
                <c:pt idx="498">
                  <c:v>8.094422981541427E-9</c:v>
                </c:pt>
                <c:pt idx="499">
                  <c:v>7.0149199606205826E-9</c:v>
                </c:pt>
                <c:pt idx="500">
                  <c:v>6.0758828498232861E-9</c:v>
                </c:pt>
              </c:numCache>
            </c:numRef>
          </c:yVal>
          <c:smooth val="0"/>
        </c:ser>
        <c:ser>
          <c:idx val="2"/>
          <c:order val="1"/>
          <c:tx>
            <c:v>random sample (x)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'Fig 1 - single value test'!$I$100</c:f>
              <c:numCache>
                <c:formatCode>General</c:formatCode>
                <c:ptCount val="1"/>
                <c:pt idx="0">
                  <c:v>8.387985011316984E-2</c:v>
                </c:pt>
              </c:numCache>
            </c:numRef>
          </c:xVal>
          <c:yVal>
            <c:numRef>
              <c:f>'Fig 1 - single value test'!$I$101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95456"/>
        <c:axId val="40403328"/>
      </c:scatterChart>
      <c:valAx>
        <c:axId val="168595456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out"/>
        <c:minorTickMark val="out"/>
        <c:tickLblPos val="nextTo"/>
        <c:crossAx val="40403328"/>
        <c:crosses val="autoZero"/>
        <c:crossBetween val="midCat"/>
        <c:majorUnit val="1"/>
        <c:minorUnit val="0.2"/>
      </c:valAx>
      <c:valAx>
        <c:axId val="40403328"/>
        <c:scaling>
          <c:orientation val="minMax"/>
          <c:max val="0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8595456"/>
        <c:crossesAt val="4"/>
        <c:crossBetween val="midCat"/>
      </c:valAx>
      <c:valAx>
        <c:axId val="40404864"/>
        <c:scaling>
          <c:orientation val="minMax"/>
          <c:max val="0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40406400"/>
        <c:crossesAt val="1"/>
        <c:crossBetween val="midCat"/>
      </c:valAx>
      <c:catAx>
        <c:axId val="40406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404864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2"/>
          <c:tx>
            <c:v>P(X &lt;= x)</c:v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cat>
            <c:numRef>
              <c:f>'Fig 1 - single value test'!$D$101:$D$201</c:f>
              <c:numCache>
                <c:formatCode>General</c:formatCode>
                <c:ptCount val="1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-5.4240000000000004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-4.6080000000000005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-4.3440000000000003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-3.7440000000000002</c:v>
                </c:pt>
                <c:pt idx="95">
                  <c:v>-3.72</c:v>
                </c:pt>
                <c:pt idx="96">
                  <c:v>-3.6960000000000002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</c:numCache>
            </c:numRef>
          </c:cat>
          <c:val>
            <c:numRef>
              <c:f>'Fig 1 - single value test'!$M$101:$M$601</c:f>
              <c:numCache>
                <c:formatCode>General</c:formatCode>
                <c:ptCount val="501"/>
                <c:pt idx="0">
                  <c:v>6.0758828498232861E-9</c:v>
                </c:pt>
                <c:pt idx="1">
                  <c:v>7.014919960620633E-9</c:v>
                </c:pt>
                <c:pt idx="2">
                  <c:v>8.094422981541427E-9</c:v>
                </c:pt>
                <c:pt idx="3">
                  <c:v>9.3346688630663452E-9</c:v>
                </c:pt>
                <c:pt idx="4">
                  <c:v>1.0758749212031231E-8</c:v>
                </c:pt>
                <c:pt idx="5">
                  <c:v>1.239294431415013E-8</c:v>
                </c:pt>
                <c:pt idx="6">
                  <c:v>1.4267144462795874E-8</c:v>
                </c:pt>
                <c:pt idx="7">
                  <c:v>1.6415324245220411E-8</c:v>
                </c:pt>
                <c:pt idx="8">
                  <c:v>1.8876076068122808E-8</c:v>
                </c:pt>
                <c:pt idx="9">
                  <c:v>2.1693209899897982E-8</c:v>
                </c:pt>
                <c:pt idx="10">
                  <c:v>2.4916426972950989E-8</c:v>
                </c:pt>
                <c:pt idx="11">
                  <c:v>2.8602076032540175E-8</c:v>
                </c:pt>
                <c:pt idx="12">
                  <c:v>3.2814001645590985E-8</c:v>
                </c:pt>
                <c:pt idx="13">
                  <c:v>3.7624495101197993E-8</c:v>
                </c:pt>
                <c:pt idx="14">
                  <c:v>4.3115359552033492E-8</c:v>
                </c:pt>
                <c:pt idx="15">
                  <c:v>4.937910227110449E-8</c:v>
                </c:pt>
                <c:pt idx="16">
                  <c:v>5.6520268240340859E-8</c:v>
                </c:pt>
                <c:pt idx="17">
                  <c:v>6.465693075604519E-8</c:v>
                </c:pt>
                <c:pt idx="18">
                  <c:v>7.3922356341658018E-8</c:v>
                </c:pt>
                <c:pt idx="19">
                  <c:v>8.4466863011588381E-8</c:v>
                </c:pt>
                <c:pt idx="20">
                  <c:v>9.6459892842733842E-8</c:v>
                </c:pt>
                <c:pt idx="21">
                  <c:v>1.1009232189518106E-7</c:v>
                </c:pt>
                <c:pt idx="22">
                  <c:v>1.2557903279356918E-7</c:v>
                </c:pt>
                <c:pt idx="23">
                  <c:v>1.4316177774957213E-7</c:v>
                </c:pt>
                <c:pt idx="24">
                  <c:v>1.6311236248861487E-7</c:v>
                </c:pt>
                <c:pt idx="25">
                  <c:v>1.8573618445552897E-7</c:v>
                </c:pt>
                <c:pt idx="26">
                  <c:v>2.1137616183074064E-7</c:v>
                </c:pt>
                <c:pt idx="27">
                  <c:v>2.4041709330746573E-7</c:v>
                </c:pt>
                <c:pt idx="28">
                  <c:v>2.7329049227913221E-7</c:v>
                </c:pt>
                <c:pt idx="29">
                  <c:v>3.104799430831489E-7</c:v>
                </c:pt>
                <c:pt idx="30">
                  <c:v>3.5252703126140381E-7</c:v>
                </c:pt>
                <c:pt idx="31">
                  <c:v>4.0003790444932249E-7</c:v>
                </c:pt>
                <c:pt idx="32">
                  <c:v>4.5369052551441214E-7</c:v>
                </c:pt>
                <c:pt idx="33">
                  <c:v>5.1424268495308647E-7</c:v>
                </c:pt>
                <c:pt idx="34">
                  <c:v>5.8254084534283306E-7</c:v>
                </c:pt>
                <c:pt idx="35">
                  <c:v>6.5952989685752167E-7</c:v>
                </c:pt>
                <c:pt idx="36">
                  <c:v>7.4626390950944278E-7</c:v>
                </c:pt>
                <c:pt idx="37">
                  <c:v>8.4391797490514879E-7</c:v>
                </c:pt>
                <c:pt idx="38">
                  <c:v>9.5380123791647124E-7</c:v>
                </c:pt>
                <c:pt idx="39">
                  <c:v>1.0773712267960586E-6</c:v>
                </c:pt>
                <c:pt idx="40">
                  <c:v>1.216249598931318E-6</c:v>
                </c:pt>
                <c:pt idx="41">
                  <c:v>1.3722394286545041E-6</c:v>
                </c:pt>
                <c:pt idx="42">
                  <c:v>1.5473441733317411E-6</c:v>
                </c:pt>
                <c:pt idx="43">
                  <c:v>1.7437884643617589E-6</c:v>
                </c:pt>
                <c:pt idx="44">
                  <c:v>1.9640408807463332E-6</c:v>
                </c:pt>
                <c:pt idx="45">
                  <c:v>2.2108388745684212E-6</c:v>
                </c:pt>
                <c:pt idx="46">
                  <c:v>2.4872160300486798E-6</c:v>
                </c:pt>
                <c:pt idx="47">
                  <c:v>2.7965318508624735E-6</c:v>
                </c:pt>
                <c:pt idx="48">
                  <c:v>3.1425042841019479E-6</c:v>
                </c:pt>
                <c:pt idx="49">
                  <c:v>3.5292452036728565E-6</c:v>
                </c:pt>
                <c:pt idx="50">
                  <c:v>3.9612990910320753E-6</c:v>
                </c:pt>
                <c:pt idx="51">
                  <c:v>4.443685167005601E-6</c:v>
                </c:pt>
                <c:pt idx="52">
                  <c:v>4.9819432449787926E-6</c:v>
                </c:pt>
                <c:pt idx="53">
                  <c:v>5.5821835930201659E-6</c:v>
                </c:pt>
                <c:pt idx="54">
                  <c:v>6.2511411104785546E-6</c:v>
                </c:pt>
                <c:pt idx="55">
                  <c:v>6.996234143270405E-6</c:v>
                </c:pt>
                <c:pt idx="56">
                  <c:v>7.825628281430239E-6</c:v>
                </c:pt>
                <c:pt idx="57">
                  <c:v>8.7483055025099134E-6</c:v>
                </c:pt>
                <c:pt idx="58">
                  <c:v>9.7741390450493509E-6</c:v>
                </c:pt>
                <c:pt idx="59">
                  <c:v>1.0913974417565564E-5</c:v>
                </c:pt>
                <c:pt idx="60">
                  <c:v>1.2179716970268655E-5</c:v>
                </c:pt>
                <c:pt idx="61">
                  <c:v>1.3584426478963919E-5</c:v>
                </c:pt>
                <c:pt idx="62">
                  <c:v>1.5142419213261371E-5</c:v>
                </c:pt>
                <c:pt idx="63">
                  <c:v>1.6869377984230626E-5</c:v>
                </c:pt>
                <c:pt idx="64">
                  <c:v>1.8782470689901945E-5</c:v>
                </c:pt>
                <c:pt idx="65">
                  <c:v>2.0900477900450482E-5</c:v>
                </c:pt>
                <c:pt idx="66">
                  <c:v>2.3243930048373714E-5</c:v>
                </c:pt>
                <c:pt idx="67">
                  <c:v>2.5835254812390093E-5</c:v>
                </c:pt>
                <c:pt idx="68">
                  <c:v>2.8698935306977618E-5</c:v>
                </c:pt>
                <c:pt idx="69">
                  <c:v>3.1861679712324516E-5</c:v>
                </c:pt>
                <c:pt idx="70">
                  <c:v>3.5352603001773097E-5</c:v>
                </c:pt>
                <c:pt idx="71">
                  <c:v>3.9203421445463005E-5</c:v>
                </c:pt>
                <c:pt idx="72">
                  <c:v>4.3448660589589352E-5</c:v>
                </c:pt>
                <c:pt idx="73">
                  <c:v>4.8125877430296982E-5</c:v>
                </c:pt>
                <c:pt idx="74">
                  <c:v>5.3275897519493968E-5</c:v>
                </c:pt>
                <c:pt idx="75">
                  <c:v>5.8943067756539855E-5</c:v>
                </c:pt>
                <c:pt idx="76">
                  <c:v>6.5175525634586447E-5</c:v>
                </c:pt>
                <c:pt idx="77">
                  <c:v>7.2025485723041163E-5</c:v>
                </c:pt>
                <c:pt idx="78">
                  <c:v>7.9549544177881284E-5</c:v>
                </c:pt>
                <c:pt idx="79">
                  <c:v>8.7809002079064242E-5</c:v>
                </c:pt>
                <c:pt idx="80">
                  <c:v>9.687020839871926E-5</c:v>
                </c:pt>
                <c:pt idx="81">
                  <c:v>1.0680492340481771E-4</c:v>
                </c:pt>
                <c:pt idx="82">
                  <c:v>1.1769070330224524E-4</c:v>
                </c:pt>
                <c:pt idx="83">
                  <c:v>1.296113069062539E-4</c:v>
                </c:pt>
                <c:pt idx="84">
                  <c:v>1.4265712513176652E-4</c:v>
                </c:pt>
                <c:pt idx="85">
                  <c:v>1.5692563406553226E-4</c:v>
                </c:pt>
                <c:pt idx="86">
                  <c:v>1.7252187236626288E-4</c:v>
                </c:pt>
                <c:pt idx="87">
                  <c:v>1.8955894371021315E-4</c:v>
                </c:pt>
                <c:pt idx="88">
                  <c:v>2.0815854496572918E-4</c:v>
                </c:pt>
                <c:pt idx="89">
                  <c:v>2.2845152073967242E-4</c:v>
                </c:pt>
                <c:pt idx="90">
                  <c:v>2.5057844489086075E-4</c:v>
                </c:pt>
                <c:pt idx="91">
                  <c:v>2.7469022955031567E-4</c:v>
                </c:pt>
                <c:pt idx="92">
                  <c:v>3.0094876212471999E-4</c:v>
                </c:pt>
                <c:pt idx="93">
                  <c:v>3.2952757068762962E-4</c:v>
                </c:pt>
                <c:pt idx="94">
                  <c:v>3.6061251808220741E-4</c:v>
                </c:pt>
                <c:pt idx="95">
                  <c:v>3.9440252496915622E-4</c:v>
                </c:pt>
                <c:pt idx="96">
                  <c:v>4.3111032195367602E-4</c:v>
                </c:pt>
                <c:pt idx="97">
                  <c:v>4.7096323081532949E-4</c:v>
                </c:pt>
                <c:pt idx="98">
                  <c:v>5.1420397474424319E-4</c:v>
                </c:pt>
                <c:pt idx="99">
                  <c:v>5.6109151735582138E-4</c:v>
                </c:pt>
                <c:pt idx="100">
                  <c:v>6.119019301137719E-4</c:v>
                </c:pt>
                <c:pt idx="101">
                  <c:v>6.6692928763750227E-4</c:v>
                </c:pt>
                <c:pt idx="102">
                  <c:v>7.2648659020460105E-4</c:v>
                </c:pt>
                <c:pt idx="103">
                  <c:v>7.9090671258203761E-4</c:v>
                </c:pt>
                <c:pt idx="104">
                  <c:v>8.605433781307579E-4</c:v>
                </c:pt>
                <c:pt idx="105">
                  <c:v>9.3577215692747977E-4</c:v>
                </c:pt>
                <c:pt idx="106">
                  <c:v>1.0169914864347645E-3</c:v>
                </c:pt>
                <c:pt idx="107">
                  <c:v>1.1046237130258381E-3</c:v>
                </c:pt>
                <c:pt idx="108">
                  <c:v>1.1991161524345093E-3</c:v>
                </c:pt>
                <c:pt idx="109">
                  <c:v>1.3009421669529307E-3</c:v>
                </c:pt>
                <c:pt idx="110">
                  <c:v>1.4106022569413848E-3</c:v>
                </c:pt>
                <c:pt idx="111">
                  <c:v>1.528625163945144E-3</c:v>
                </c:pt>
                <c:pt idx="112">
                  <c:v>1.6555689824342061E-3</c:v>
                </c:pt>
                <c:pt idx="113">
                  <c:v>1.7920222768931734E-3</c:v>
                </c:pt>
                <c:pt idx="114">
                  <c:v>1.9386052006913181E-3</c:v>
                </c:pt>
                <c:pt idx="115">
                  <c:v>2.0959706128579419E-3</c:v>
                </c:pt>
                <c:pt idx="116">
                  <c:v>2.264805188576479E-3</c:v>
                </c:pt>
                <c:pt idx="117">
                  <c:v>2.4458305188934013E-3</c:v>
                </c:pt>
                <c:pt idx="118">
                  <c:v>2.6398041948164515E-3</c:v>
                </c:pt>
                <c:pt idx="119">
                  <c:v>2.8475208706519421E-3</c:v>
                </c:pt>
                <c:pt idx="120">
                  <c:v>3.0698133011047403E-3</c:v>
                </c:pt>
                <c:pt idx="121">
                  <c:v>3.3075533463386006E-3</c:v>
                </c:pt>
                <c:pt idx="122">
                  <c:v>3.5616529388703346E-3</c:v>
                </c:pt>
                <c:pt idx="123">
                  <c:v>3.8330650058511109E-3</c:v>
                </c:pt>
                <c:pt idx="124">
                  <c:v>4.122784339973702E-3</c:v>
                </c:pt>
                <c:pt idx="125">
                  <c:v>4.4318484119380075E-3</c:v>
                </c:pt>
                <c:pt idx="126">
                  <c:v>4.7613381171110044E-3</c:v>
                </c:pt>
                <c:pt idx="127">
                  <c:v>5.1123784487336638E-3</c:v>
                </c:pt>
                <c:pt idx="128">
                  <c:v>5.4861390897588055E-3</c:v>
                </c:pt>
                <c:pt idx="129">
                  <c:v>5.883834915153101E-3</c:v>
                </c:pt>
                <c:pt idx="130">
                  <c:v>6.3067263962659275E-3</c:v>
                </c:pt>
                <c:pt idx="131">
                  <c:v>6.7561198986603012E-3</c:v>
                </c:pt>
                <c:pt idx="132">
                  <c:v>7.2333678646196876E-3</c:v>
                </c:pt>
                <c:pt idx="133">
                  <c:v>7.739868871391698E-3</c:v>
                </c:pt>
                <c:pt idx="134">
                  <c:v>8.2770675561084951E-3</c:v>
                </c:pt>
                <c:pt idx="135">
                  <c:v>8.8464543982372315E-3</c:v>
                </c:pt>
                <c:pt idx="136">
                  <c:v>9.4495653503647182E-3</c:v>
                </c:pt>
                <c:pt idx="137">
                  <c:v>1.0087981308111881E-2</c:v>
                </c:pt>
                <c:pt idx="138">
                  <c:v>1.0763327410007743E-2</c:v>
                </c:pt>
                <c:pt idx="139">
                  <c:v>1.1477272158233751E-2</c:v>
                </c:pt>
                <c:pt idx="140">
                  <c:v>1.2231526351277971E-2</c:v>
                </c:pt>
                <c:pt idx="141">
                  <c:v>1.3027841819719665E-2</c:v>
                </c:pt>
                <c:pt idx="142">
                  <c:v>1.3868009956599181E-2</c:v>
                </c:pt>
                <c:pt idx="143">
                  <c:v>1.4753860034118634E-2</c:v>
                </c:pt>
                <c:pt idx="144">
                  <c:v>1.5687257298768114E-2</c:v>
                </c:pt>
                <c:pt idx="145">
                  <c:v>1.6670100837381057E-2</c:v>
                </c:pt>
                <c:pt idx="146">
                  <c:v>1.7704321207094212E-2</c:v>
                </c:pt>
                <c:pt idx="147">
                  <c:v>1.8791877822721837E-2</c:v>
                </c:pt>
                <c:pt idx="148">
                  <c:v>1.993475609565365E-2</c:v>
                </c:pt>
                <c:pt idx="149">
                  <c:v>2.1134964319050476E-2</c:v>
                </c:pt>
                <c:pt idx="150">
                  <c:v>2.2394530294842899E-2</c:v>
                </c:pt>
                <c:pt idx="151">
                  <c:v>2.3715497698834857E-2</c:v>
                </c:pt>
                <c:pt idx="152">
                  <c:v>2.5099922181077771E-2</c:v>
                </c:pt>
                <c:pt idx="153">
                  <c:v>2.65498671996088E-2</c:v>
                </c:pt>
                <c:pt idx="154">
                  <c:v>2.8067399586640101E-2</c:v>
                </c:pt>
                <c:pt idx="155">
                  <c:v>2.9654584847341278E-2</c:v>
                </c:pt>
                <c:pt idx="156">
                  <c:v>3.131348219247429E-2</c:v>
                </c:pt>
                <c:pt idx="157">
                  <c:v>3.3046139307314801E-2</c:v>
                </c:pt>
                <c:pt idx="158">
                  <c:v>3.4854586860525415E-2</c:v>
                </c:pt>
                <c:pt idx="159">
                  <c:v>3.6740832757928006E-2</c:v>
                </c:pt>
                <c:pt idx="160">
                  <c:v>3.8706856147455608E-2</c:v>
                </c:pt>
                <c:pt idx="161">
                  <c:v>4.0754601182937548E-2</c:v>
                </c:pt>
                <c:pt idx="162">
                  <c:v>4.2885970555787321E-2</c:v>
                </c:pt>
                <c:pt idx="163">
                  <c:v>4.5102818805110016E-2</c:v>
                </c:pt>
                <c:pt idx="164">
                  <c:v>4.7406945418221713E-2</c:v>
                </c:pt>
                <c:pt idx="165">
                  <c:v>4.9800087735070775E-2</c:v>
                </c:pt>
                <c:pt idx="166">
                  <c:v>5.2283913671562113E-2</c:v>
                </c:pt>
                <c:pt idx="167">
                  <c:v>5.4860014278304732E-2</c:v>
                </c:pt>
                <c:pt idx="168">
                  <c:v>5.7529896152820871E-2</c:v>
                </c:pt>
                <c:pt idx="169">
                  <c:v>6.0294973724765701E-2</c:v>
                </c:pt>
                <c:pt idx="170">
                  <c:v>6.3156561435198655E-2</c:v>
                </c:pt>
                <c:pt idx="171">
                  <c:v>6.6115865832415521E-2</c:v>
                </c:pt>
                <c:pt idx="172">
                  <c:v>6.9173977608282505E-2</c:v>
                </c:pt>
                <c:pt idx="173">
                  <c:v>7.2331863600401836E-2</c:v>
                </c:pt>
                <c:pt idx="174">
                  <c:v>7.5590358786774225E-2</c:v>
                </c:pt>
                <c:pt idx="175">
                  <c:v>7.8950158300894177E-2</c:v>
                </c:pt>
                <c:pt idx="176">
                  <c:v>8.2411809496414523E-2</c:v>
                </c:pt>
                <c:pt idx="177">
                  <c:v>8.5975704091632174E-2</c:v>
                </c:pt>
                <c:pt idx="178">
                  <c:v>8.9642070425072398E-2</c:v>
                </c:pt>
                <c:pt idx="179">
                  <c:v>9.3410965854371211E-2</c:v>
                </c:pt>
                <c:pt idx="180">
                  <c:v>9.7282269331467539E-2</c:v>
                </c:pt>
                <c:pt idx="181">
                  <c:v>0.10125567418780883</c:v>
                </c:pt>
                <c:pt idx="182">
                  <c:v>0.10533068116383558</c:v>
                </c:pt>
                <c:pt idx="183">
                  <c:v>0.1095065917174368</c:v>
                </c:pt>
                <c:pt idx="184">
                  <c:v>0.11378250164634682</c:v>
                </c:pt>
                <c:pt idx="185">
                  <c:v>0.11815729505958236</c:v>
                </c:pt>
                <c:pt idx="186">
                  <c:v>0.12262963873298507</c:v>
                </c:pt>
                <c:pt idx="187">
                  <c:v>0.12719797688373657</c:v>
                </c:pt>
                <c:pt idx="188">
                  <c:v>0.13186052639834273</c:v>
                </c:pt>
                <c:pt idx="189">
                  <c:v>0.1366152725480389</c:v>
                </c:pt>
                <c:pt idx="190">
                  <c:v>0.1414599652248387</c:v>
                </c:pt>
                <c:pt idx="191">
                  <c:v>0.1463921157305455</c:v>
                </c:pt>
                <c:pt idx="192">
                  <c:v>0.15140899414994616</c:v>
                </c:pt>
                <c:pt idx="193">
                  <c:v>0.15650762733813126</c:v>
                </c:pt>
                <c:pt idx="194">
                  <c:v>0.1616847975504194</c:v>
                </c:pt>
                <c:pt idx="195">
                  <c:v>0.16693704174171375</c:v>
                </c:pt>
                <c:pt idx="196">
                  <c:v>0.17226065156028758</c:v>
                </c:pt>
                <c:pt idx="197">
                  <c:v>0.1776516740589851</c:v>
                </c:pt>
                <c:pt idx="198">
                  <c:v>0.18310591314463986</c:v>
                </c:pt>
                <c:pt idx="199">
                  <c:v>0.18861893178415948</c:v>
                </c:pt>
                <c:pt idx="200">
                  <c:v>0.19418605498321292</c:v>
                </c:pt>
                <c:pt idx="201">
                  <c:v>0.19980237355078795</c:v>
                </c:pt>
                <c:pt idx="202">
                  <c:v>0.20546274866007688</c:v>
                </c:pt>
                <c:pt idx="203">
                  <c:v>0.21116181721320312</c:v>
                </c:pt>
                <c:pt idx="204">
                  <c:v>0.21689399801423551</c:v>
                </c:pt>
                <c:pt idx="205">
                  <c:v>0.22265349875176113</c:v>
                </c:pt>
                <c:pt idx="206">
                  <c:v>0.22843432378901604</c:v>
                </c:pt>
                <c:pt idx="207">
                  <c:v>0.23423028275621952</c:v>
                </c:pt>
                <c:pt idx="208">
                  <c:v>0.2400349999363395</c:v>
                </c:pt>
                <c:pt idx="209">
                  <c:v>0.24584192443204717</c:v>
                </c:pt>
                <c:pt idx="210">
                  <c:v>0.25164434109811712</c:v>
                </c:pt>
                <c:pt idx="211">
                  <c:v>0.25743538222001205</c:v>
                </c:pt>
                <c:pt idx="212">
                  <c:v>0.2632080399158771</c:v>
                </c:pt>
                <c:pt idx="213">
                  <c:v>0.26895517923567464</c:v>
                </c:pt>
                <c:pt idx="214">
                  <c:v>0.27466955192773695</c:v>
                </c:pt>
                <c:pt idx="215">
                  <c:v>0.28034381083962062</c:v>
                </c:pt>
                <c:pt idx="216">
                  <c:v>0.28597052491682845</c:v>
                </c:pt>
                <c:pt idx="217">
                  <c:v>0.29154219475974724</c:v>
                </c:pt>
                <c:pt idx="218">
                  <c:v>0.2970512686960452</c:v>
                </c:pt>
                <c:pt idx="219">
                  <c:v>0.30249015932280471</c:v>
                </c:pt>
                <c:pt idx="220">
                  <c:v>0.30785126046985301</c:v>
                </c:pt>
                <c:pt idx="221">
                  <c:v>0.3131269645331039</c:v>
                </c:pt>
                <c:pt idx="222">
                  <c:v>0.3183096801242743</c:v>
                </c:pt>
                <c:pt idx="223">
                  <c:v>0.32339184998107995</c:v>
                </c:pt>
                <c:pt idx="224">
                  <c:v>0.32836596907998766</c:v>
                </c:pt>
                <c:pt idx="225">
                  <c:v>0.33322460289179973</c:v>
                </c:pt>
                <c:pt idx="226">
                  <c:v>0.33796040571879715</c:v>
                </c:pt>
                <c:pt idx="227">
                  <c:v>0.34256613905087624</c:v>
                </c:pt>
                <c:pt idx="228">
                  <c:v>0.34703468987709241</c:v>
                </c:pt>
                <c:pt idx="229">
                  <c:v>0.3513590888882841</c:v>
                </c:pt>
                <c:pt idx="230">
                  <c:v>0.35553252850599704</c:v>
                </c:pt>
                <c:pt idx="231">
                  <c:v>0.35954838067276951</c:v>
                </c:pt>
                <c:pt idx="232">
                  <c:v>0.36340021433897718</c:v>
                </c:pt>
                <c:pt idx="233">
                  <c:v>0.36708181258188249</c:v>
                </c:pt>
                <c:pt idx="234">
                  <c:v>0.3705871892932735</c:v>
                </c:pt>
                <c:pt idx="235">
                  <c:v>0.37391060537312837</c:v>
                </c:pt>
                <c:pt idx="236">
                  <c:v>0.37704658436808808</c:v>
                </c:pt>
                <c:pt idx="237">
                  <c:v>0.37998992749516874</c:v>
                </c:pt>
                <c:pt idx="238">
                  <c:v>0.38273572799307848</c:v>
                </c:pt>
                <c:pt idx="239">
                  <c:v>0.38527938474572759</c:v>
                </c:pt>
                <c:pt idx="240">
                  <c:v>0.38761661512501411</c:v>
                </c:pt>
                <c:pt idx="241">
                  <c:v>0.38974346700272944</c:v>
                </c:pt>
                <c:pt idx="242">
                  <c:v>0.39165632988443705</c:v>
                </c:pt>
                <c:pt idx="243">
                  <c:v>0.39335194512142974</c:v>
                </c:pt>
                <c:pt idx="244">
                  <c:v>0.39482741516033976</c:v>
                </c:pt>
                <c:pt idx="245">
                  <c:v>0.3960802117936561</c:v>
                </c:pt>
                <c:pt idx="246">
                  <c:v>0.39710818337826648</c:v>
                </c:pt>
                <c:pt idx="247">
                  <c:v>0.39790956099317593</c:v>
                </c:pt>
                <c:pt idx="248">
                  <c:v>0.39848296351173551</c:v>
                </c:pt>
                <c:pt idx="249">
                  <c:v>0.39882740156802315</c:v>
                </c:pt>
                <c:pt idx="250">
                  <c:v>0.3989422804014327</c:v>
                </c:pt>
                <c:pt idx="251">
                  <c:v>0.39882740156802315</c:v>
                </c:pt>
                <c:pt idx="252">
                  <c:v>0.39848296351173551</c:v>
                </c:pt>
                <c:pt idx="253">
                  <c:v>0.39790956099317593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73984"/>
        <c:axId val="41272448"/>
      </c:areaChart>
      <c:scatterChart>
        <c:scatterStyle val="lineMarker"/>
        <c:varyColors val="0"/>
        <c:ser>
          <c:idx val="0"/>
          <c:order val="0"/>
          <c:tx>
            <c:v>H0</c:v>
          </c:tx>
          <c:spPr>
            <a:ln w="25400">
              <a:solidFill>
                <a:schemeClr val="tx1"/>
              </a:solidFill>
            </a:ln>
            <a:effectLst/>
          </c:spPr>
          <c:marker>
            <c:symbol val="none"/>
          </c:marker>
          <c:xVal>
            <c:numRef>
              <c:f>'Fig 1 - single value test'!$D$101:$D$601</c:f>
              <c:numCache>
                <c:formatCode>General</c:formatCode>
                <c:ptCount val="5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-5.4240000000000004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-4.6080000000000005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-4.3440000000000003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-3.7440000000000002</c:v>
                </c:pt>
                <c:pt idx="95">
                  <c:v>-3.72</c:v>
                </c:pt>
                <c:pt idx="96">
                  <c:v>-3.6960000000000002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  <c:pt idx="101">
                  <c:v>-3.5760000000000001</c:v>
                </c:pt>
                <c:pt idx="102">
                  <c:v>-3.552</c:v>
                </c:pt>
                <c:pt idx="103">
                  <c:v>-3.528</c:v>
                </c:pt>
                <c:pt idx="104">
                  <c:v>-3.504</c:v>
                </c:pt>
                <c:pt idx="105">
                  <c:v>-3.48</c:v>
                </c:pt>
                <c:pt idx="106">
                  <c:v>-3.456</c:v>
                </c:pt>
                <c:pt idx="107">
                  <c:v>-3.4319999999999999</c:v>
                </c:pt>
                <c:pt idx="108">
                  <c:v>-3.4079999999999999</c:v>
                </c:pt>
                <c:pt idx="109">
                  <c:v>-3.3839999999999999</c:v>
                </c:pt>
                <c:pt idx="110">
                  <c:v>-3.36</c:v>
                </c:pt>
                <c:pt idx="111">
                  <c:v>-3.3359999999999999</c:v>
                </c:pt>
                <c:pt idx="112">
                  <c:v>-3.3119999999999998</c:v>
                </c:pt>
                <c:pt idx="113">
                  <c:v>-3.2879999999999998</c:v>
                </c:pt>
                <c:pt idx="114">
                  <c:v>-3.2639999999999998</c:v>
                </c:pt>
                <c:pt idx="115">
                  <c:v>-3.24</c:v>
                </c:pt>
                <c:pt idx="116">
                  <c:v>-3.2160000000000002</c:v>
                </c:pt>
                <c:pt idx="117">
                  <c:v>-3.1920000000000002</c:v>
                </c:pt>
                <c:pt idx="118">
                  <c:v>-3.1680000000000001</c:v>
                </c:pt>
                <c:pt idx="119">
                  <c:v>-3.1440000000000001</c:v>
                </c:pt>
                <c:pt idx="120">
                  <c:v>-3.12</c:v>
                </c:pt>
                <c:pt idx="121">
                  <c:v>-3.0960000000000001</c:v>
                </c:pt>
                <c:pt idx="122">
                  <c:v>-3.0720000000000001</c:v>
                </c:pt>
                <c:pt idx="123">
                  <c:v>-3.048</c:v>
                </c:pt>
                <c:pt idx="124">
                  <c:v>-3.024</c:v>
                </c:pt>
                <c:pt idx="125">
                  <c:v>-3</c:v>
                </c:pt>
                <c:pt idx="126">
                  <c:v>-2.976</c:v>
                </c:pt>
                <c:pt idx="127">
                  <c:v>-2.952</c:v>
                </c:pt>
                <c:pt idx="128">
                  <c:v>-2.9279999999999999</c:v>
                </c:pt>
                <c:pt idx="129">
                  <c:v>-2.9039999999999999</c:v>
                </c:pt>
                <c:pt idx="130">
                  <c:v>-2.88</c:v>
                </c:pt>
                <c:pt idx="131">
                  <c:v>-2.8559999999999999</c:v>
                </c:pt>
                <c:pt idx="132">
                  <c:v>-2.8319999999999999</c:v>
                </c:pt>
                <c:pt idx="133">
                  <c:v>-2.8079999999999998</c:v>
                </c:pt>
                <c:pt idx="134">
                  <c:v>-2.7839999999999998</c:v>
                </c:pt>
                <c:pt idx="135">
                  <c:v>-2.76</c:v>
                </c:pt>
                <c:pt idx="136">
                  <c:v>-2.7360000000000002</c:v>
                </c:pt>
                <c:pt idx="137">
                  <c:v>-2.7120000000000002</c:v>
                </c:pt>
                <c:pt idx="138">
                  <c:v>-2.6880000000000002</c:v>
                </c:pt>
                <c:pt idx="139">
                  <c:v>-2.6640000000000001</c:v>
                </c:pt>
                <c:pt idx="140">
                  <c:v>-2.64</c:v>
                </c:pt>
                <c:pt idx="141">
                  <c:v>-2.6160000000000001</c:v>
                </c:pt>
                <c:pt idx="142">
                  <c:v>-2.5920000000000001</c:v>
                </c:pt>
                <c:pt idx="143">
                  <c:v>-2.5680000000000001</c:v>
                </c:pt>
                <c:pt idx="144">
                  <c:v>-2.544</c:v>
                </c:pt>
                <c:pt idx="145">
                  <c:v>-2.52</c:v>
                </c:pt>
                <c:pt idx="146">
                  <c:v>-2.496</c:v>
                </c:pt>
                <c:pt idx="147">
                  <c:v>-2.472</c:v>
                </c:pt>
                <c:pt idx="148">
                  <c:v>-2.448</c:v>
                </c:pt>
                <c:pt idx="149">
                  <c:v>-2.4239999999999999</c:v>
                </c:pt>
                <c:pt idx="150">
                  <c:v>-2.4</c:v>
                </c:pt>
                <c:pt idx="151">
                  <c:v>-2.3759999999999999</c:v>
                </c:pt>
                <c:pt idx="152">
                  <c:v>-2.3519999999999999</c:v>
                </c:pt>
                <c:pt idx="153">
                  <c:v>-2.3279999999999998</c:v>
                </c:pt>
                <c:pt idx="154">
                  <c:v>-2.3039999999999998</c:v>
                </c:pt>
                <c:pt idx="155">
                  <c:v>-2.2799999999999998</c:v>
                </c:pt>
                <c:pt idx="156">
                  <c:v>-2.2559999999999998</c:v>
                </c:pt>
                <c:pt idx="157">
                  <c:v>-2.2320000000000002</c:v>
                </c:pt>
                <c:pt idx="158">
                  <c:v>-2.2080000000000002</c:v>
                </c:pt>
                <c:pt idx="159">
                  <c:v>-2.1840000000000002</c:v>
                </c:pt>
                <c:pt idx="160">
                  <c:v>-2.16</c:v>
                </c:pt>
                <c:pt idx="161">
                  <c:v>-2.1360000000000001</c:v>
                </c:pt>
                <c:pt idx="162">
                  <c:v>-2.1120000000000001</c:v>
                </c:pt>
                <c:pt idx="163">
                  <c:v>-2.0880000000000001</c:v>
                </c:pt>
                <c:pt idx="164">
                  <c:v>-2.0640000000000001</c:v>
                </c:pt>
                <c:pt idx="165">
                  <c:v>-2.04</c:v>
                </c:pt>
                <c:pt idx="166">
                  <c:v>-2.016</c:v>
                </c:pt>
                <c:pt idx="167">
                  <c:v>-1.992</c:v>
                </c:pt>
                <c:pt idx="168">
                  <c:v>-1.968</c:v>
                </c:pt>
                <c:pt idx="169">
                  <c:v>-1.944</c:v>
                </c:pt>
                <c:pt idx="170">
                  <c:v>-1.92</c:v>
                </c:pt>
                <c:pt idx="171">
                  <c:v>-1.8959999999999999</c:v>
                </c:pt>
                <c:pt idx="172">
                  <c:v>-1.8719999999999999</c:v>
                </c:pt>
                <c:pt idx="173">
                  <c:v>-1.8479999999999999</c:v>
                </c:pt>
                <c:pt idx="174">
                  <c:v>-1.8239999999999998</c:v>
                </c:pt>
                <c:pt idx="175">
                  <c:v>-1.7999999999999998</c:v>
                </c:pt>
                <c:pt idx="176">
                  <c:v>-1.7759999999999998</c:v>
                </c:pt>
                <c:pt idx="177">
                  <c:v>-1.7519999999999998</c:v>
                </c:pt>
                <c:pt idx="178">
                  <c:v>-1.7279999999999998</c:v>
                </c:pt>
                <c:pt idx="179">
                  <c:v>-1.7039999999999997</c:v>
                </c:pt>
                <c:pt idx="180">
                  <c:v>-1.6799999999999997</c:v>
                </c:pt>
                <c:pt idx="181">
                  <c:v>-1.6559999999999997</c:v>
                </c:pt>
                <c:pt idx="182">
                  <c:v>-1.6319999999999997</c:v>
                </c:pt>
                <c:pt idx="183">
                  <c:v>-1.6079999999999997</c:v>
                </c:pt>
                <c:pt idx="184">
                  <c:v>-1.5839999999999996</c:v>
                </c:pt>
                <c:pt idx="185">
                  <c:v>-1.5599999999999996</c:v>
                </c:pt>
                <c:pt idx="186">
                  <c:v>-1.5359999999999996</c:v>
                </c:pt>
                <c:pt idx="187">
                  <c:v>-1.5119999999999996</c:v>
                </c:pt>
                <c:pt idx="188">
                  <c:v>-1.4880000000000004</c:v>
                </c:pt>
                <c:pt idx="189">
                  <c:v>-1.4640000000000004</c:v>
                </c:pt>
                <c:pt idx="190">
                  <c:v>-1.4400000000000004</c:v>
                </c:pt>
                <c:pt idx="191">
                  <c:v>-1.4160000000000004</c:v>
                </c:pt>
                <c:pt idx="192">
                  <c:v>-1.3920000000000003</c:v>
                </c:pt>
                <c:pt idx="193">
                  <c:v>-1.3680000000000003</c:v>
                </c:pt>
                <c:pt idx="194">
                  <c:v>-1.3440000000000003</c:v>
                </c:pt>
                <c:pt idx="195">
                  <c:v>-1.3200000000000003</c:v>
                </c:pt>
                <c:pt idx="196">
                  <c:v>-1.2960000000000003</c:v>
                </c:pt>
                <c:pt idx="197">
                  <c:v>-1.2720000000000002</c:v>
                </c:pt>
                <c:pt idx="198">
                  <c:v>-1.2480000000000002</c:v>
                </c:pt>
                <c:pt idx="199">
                  <c:v>-1.2240000000000002</c:v>
                </c:pt>
                <c:pt idx="200">
                  <c:v>-1.2000000000000002</c:v>
                </c:pt>
                <c:pt idx="201">
                  <c:v>-1.1760000000000002</c:v>
                </c:pt>
                <c:pt idx="202">
                  <c:v>-1.1520000000000001</c:v>
                </c:pt>
                <c:pt idx="203">
                  <c:v>-1.1280000000000001</c:v>
                </c:pt>
                <c:pt idx="204">
                  <c:v>-1.1040000000000001</c:v>
                </c:pt>
                <c:pt idx="205">
                  <c:v>-1.08</c:v>
                </c:pt>
                <c:pt idx="206">
                  <c:v>-1.056</c:v>
                </c:pt>
                <c:pt idx="207">
                  <c:v>-1.032</c:v>
                </c:pt>
                <c:pt idx="208">
                  <c:v>-1.008</c:v>
                </c:pt>
                <c:pt idx="209">
                  <c:v>-0.98399999999999999</c:v>
                </c:pt>
                <c:pt idx="210">
                  <c:v>-0.96</c:v>
                </c:pt>
                <c:pt idx="211">
                  <c:v>-0.93599999999999994</c:v>
                </c:pt>
                <c:pt idx="212">
                  <c:v>-0.91199999999999992</c:v>
                </c:pt>
                <c:pt idx="213">
                  <c:v>-0.8879999999999999</c:v>
                </c:pt>
                <c:pt idx="214">
                  <c:v>-0.86399999999999988</c:v>
                </c:pt>
                <c:pt idx="215">
                  <c:v>-0.83999999999999986</c:v>
                </c:pt>
                <c:pt idx="216">
                  <c:v>-0.81599999999999984</c:v>
                </c:pt>
                <c:pt idx="217">
                  <c:v>-0.79199999999999982</c:v>
                </c:pt>
                <c:pt idx="218">
                  <c:v>-0.76799999999999979</c:v>
                </c:pt>
                <c:pt idx="219">
                  <c:v>-0.74399999999999977</c:v>
                </c:pt>
                <c:pt idx="220">
                  <c:v>-0.71999999999999975</c:v>
                </c:pt>
                <c:pt idx="221">
                  <c:v>-0.69599999999999973</c:v>
                </c:pt>
                <c:pt idx="222">
                  <c:v>-0.67199999999999971</c:v>
                </c:pt>
                <c:pt idx="223">
                  <c:v>-0.64799999999999969</c:v>
                </c:pt>
                <c:pt idx="224">
                  <c:v>-0.62399999999999967</c:v>
                </c:pt>
                <c:pt idx="225">
                  <c:v>-0.59999999999999964</c:v>
                </c:pt>
                <c:pt idx="226">
                  <c:v>-0.57599999999999962</c:v>
                </c:pt>
                <c:pt idx="227">
                  <c:v>-0.5519999999999996</c:v>
                </c:pt>
                <c:pt idx="228">
                  <c:v>-0.52799999999999958</c:v>
                </c:pt>
                <c:pt idx="229">
                  <c:v>-0.50399999999999956</c:v>
                </c:pt>
                <c:pt idx="230">
                  <c:v>-0.48000000000000043</c:v>
                </c:pt>
                <c:pt idx="231">
                  <c:v>-0.45600000000000041</c:v>
                </c:pt>
                <c:pt idx="232">
                  <c:v>-0.43200000000000038</c:v>
                </c:pt>
                <c:pt idx="233">
                  <c:v>-0.40800000000000036</c:v>
                </c:pt>
                <c:pt idx="234">
                  <c:v>-0.38400000000000034</c:v>
                </c:pt>
                <c:pt idx="235">
                  <c:v>-0.36000000000000032</c:v>
                </c:pt>
                <c:pt idx="236">
                  <c:v>-0.3360000000000003</c:v>
                </c:pt>
                <c:pt idx="237">
                  <c:v>-0.31200000000000028</c:v>
                </c:pt>
                <c:pt idx="238">
                  <c:v>-0.28800000000000026</c:v>
                </c:pt>
                <c:pt idx="239">
                  <c:v>-0.26400000000000023</c:v>
                </c:pt>
                <c:pt idx="240">
                  <c:v>-0.24000000000000021</c:v>
                </c:pt>
                <c:pt idx="241">
                  <c:v>-0.21600000000000019</c:v>
                </c:pt>
                <c:pt idx="242">
                  <c:v>-0.19200000000000017</c:v>
                </c:pt>
                <c:pt idx="243">
                  <c:v>-0.16800000000000015</c:v>
                </c:pt>
                <c:pt idx="244">
                  <c:v>-0.14400000000000013</c:v>
                </c:pt>
                <c:pt idx="245">
                  <c:v>-0.12000000000000011</c:v>
                </c:pt>
                <c:pt idx="246">
                  <c:v>-9.6000000000000085E-2</c:v>
                </c:pt>
                <c:pt idx="247">
                  <c:v>-7.2000000000000064E-2</c:v>
                </c:pt>
                <c:pt idx="248">
                  <c:v>-4.8000000000000043E-2</c:v>
                </c:pt>
                <c:pt idx="249">
                  <c:v>-2.4000000000000021E-2</c:v>
                </c:pt>
                <c:pt idx="250">
                  <c:v>0</c:v>
                </c:pt>
                <c:pt idx="251">
                  <c:v>2.4000000000000021E-2</c:v>
                </c:pt>
                <c:pt idx="252">
                  <c:v>4.8000000000000043E-2</c:v>
                </c:pt>
                <c:pt idx="253">
                  <c:v>7.2000000000000064E-2</c:v>
                </c:pt>
                <c:pt idx="254">
                  <c:v>9.6000000000000085E-2</c:v>
                </c:pt>
                <c:pt idx="255">
                  <c:v>0.12000000000000011</c:v>
                </c:pt>
                <c:pt idx="256">
                  <c:v>0.14400000000000013</c:v>
                </c:pt>
                <c:pt idx="257">
                  <c:v>0.16800000000000015</c:v>
                </c:pt>
                <c:pt idx="258">
                  <c:v>0.19200000000000017</c:v>
                </c:pt>
                <c:pt idx="259">
                  <c:v>0.21600000000000019</c:v>
                </c:pt>
                <c:pt idx="260">
                  <c:v>0.24000000000000021</c:v>
                </c:pt>
                <c:pt idx="261">
                  <c:v>0.26400000000000023</c:v>
                </c:pt>
                <c:pt idx="262">
                  <c:v>0.28800000000000026</c:v>
                </c:pt>
                <c:pt idx="263">
                  <c:v>0.31200000000000028</c:v>
                </c:pt>
                <c:pt idx="264">
                  <c:v>0.3360000000000003</c:v>
                </c:pt>
                <c:pt idx="265">
                  <c:v>0.36000000000000032</c:v>
                </c:pt>
                <c:pt idx="266">
                  <c:v>0.38400000000000034</c:v>
                </c:pt>
                <c:pt idx="267">
                  <c:v>0.40800000000000036</c:v>
                </c:pt>
                <c:pt idx="268">
                  <c:v>0.43200000000000038</c:v>
                </c:pt>
                <c:pt idx="269">
                  <c:v>0.45600000000000041</c:v>
                </c:pt>
                <c:pt idx="270">
                  <c:v>0.48000000000000043</c:v>
                </c:pt>
                <c:pt idx="271">
                  <c:v>0.50399999999999956</c:v>
                </c:pt>
                <c:pt idx="272">
                  <c:v>0.52799999999999958</c:v>
                </c:pt>
                <c:pt idx="273">
                  <c:v>0.5519999999999996</c:v>
                </c:pt>
                <c:pt idx="274">
                  <c:v>0.57599999999999962</c:v>
                </c:pt>
                <c:pt idx="275">
                  <c:v>0.59999999999999964</c:v>
                </c:pt>
                <c:pt idx="276">
                  <c:v>0.62399999999999967</c:v>
                </c:pt>
                <c:pt idx="277">
                  <c:v>0.64799999999999969</c:v>
                </c:pt>
                <c:pt idx="278">
                  <c:v>0.67199999999999971</c:v>
                </c:pt>
                <c:pt idx="279">
                  <c:v>0.69599999999999973</c:v>
                </c:pt>
                <c:pt idx="280">
                  <c:v>0.71999999999999975</c:v>
                </c:pt>
                <c:pt idx="281">
                  <c:v>0.74399999999999977</c:v>
                </c:pt>
                <c:pt idx="282">
                  <c:v>0.76799999999999979</c:v>
                </c:pt>
                <c:pt idx="283">
                  <c:v>0.79199999999999982</c:v>
                </c:pt>
                <c:pt idx="284">
                  <c:v>0.81599999999999984</c:v>
                </c:pt>
                <c:pt idx="285">
                  <c:v>0.83999999999999986</c:v>
                </c:pt>
                <c:pt idx="286">
                  <c:v>0.86399999999999988</c:v>
                </c:pt>
                <c:pt idx="287">
                  <c:v>0.8879999999999999</c:v>
                </c:pt>
                <c:pt idx="288">
                  <c:v>0.91199999999999992</c:v>
                </c:pt>
                <c:pt idx="289">
                  <c:v>0.93599999999999994</c:v>
                </c:pt>
                <c:pt idx="290">
                  <c:v>0.96</c:v>
                </c:pt>
                <c:pt idx="291">
                  <c:v>0.98399999999999999</c:v>
                </c:pt>
                <c:pt idx="292">
                  <c:v>1.008</c:v>
                </c:pt>
                <c:pt idx="293">
                  <c:v>1.032</c:v>
                </c:pt>
                <c:pt idx="294">
                  <c:v>1.056</c:v>
                </c:pt>
                <c:pt idx="295">
                  <c:v>1.08</c:v>
                </c:pt>
                <c:pt idx="296">
                  <c:v>1.1040000000000001</c:v>
                </c:pt>
                <c:pt idx="297">
                  <c:v>1.1280000000000001</c:v>
                </c:pt>
                <c:pt idx="298">
                  <c:v>1.1520000000000001</c:v>
                </c:pt>
                <c:pt idx="299">
                  <c:v>1.1760000000000002</c:v>
                </c:pt>
                <c:pt idx="300">
                  <c:v>1.2000000000000002</c:v>
                </c:pt>
                <c:pt idx="301">
                  <c:v>1.2240000000000002</c:v>
                </c:pt>
                <c:pt idx="302">
                  <c:v>1.2480000000000002</c:v>
                </c:pt>
                <c:pt idx="303">
                  <c:v>1.2720000000000002</c:v>
                </c:pt>
                <c:pt idx="304">
                  <c:v>1.2960000000000003</c:v>
                </c:pt>
                <c:pt idx="305">
                  <c:v>1.3200000000000003</c:v>
                </c:pt>
                <c:pt idx="306">
                  <c:v>1.3440000000000003</c:v>
                </c:pt>
                <c:pt idx="307">
                  <c:v>1.3680000000000003</c:v>
                </c:pt>
                <c:pt idx="308">
                  <c:v>1.3920000000000003</c:v>
                </c:pt>
                <c:pt idx="309">
                  <c:v>1.4160000000000004</c:v>
                </c:pt>
                <c:pt idx="310">
                  <c:v>1.4400000000000004</c:v>
                </c:pt>
                <c:pt idx="311">
                  <c:v>1.4640000000000004</c:v>
                </c:pt>
                <c:pt idx="312">
                  <c:v>1.4880000000000004</c:v>
                </c:pt>
                <c:pt idx="313">
                  <c:v>1.5119999999999996</c:v>
                </c:pt>
                <c:pt idx="314">
                  <c:v>1.5359999999999996</c:v>
                </c:pt>
                <c:pt idx="315">
                  <c:v>1.5599999999999996</c:v>
                </c:pt>
                <c:pt idx="316">
                  <c:v>1.5839999999999996</c:v>
                </c:pt>
                <c:pt idx="317">
                  <c:v>1.6079999999999997</c:v>
                </c:pt>
                <c:pt idx="318">
                  <c:v>1.6319999999999997</c:v>
                </c:pt>
                <c:pt idx="319">
                  <c:v>1.6559999999999997</c:v>
                </c:pt>
                <c:pt idx="320">
                  <c:v>1.6799999999999997</c:v>
                </c:pt>
                <c:pt idx="321">
                  <c:v>1.7039999999999997</c:v>
                </c:pt>
                <c:pt idx="322">
                  <c:v>1.7279999999999998</c:v>
                </c:pt>
                <c:pt idx="323">
                  <c:v>1.7519999999999998</c:v>
                </c:pt>
                <c:pt idx="324">
                  <c:v>1.7759999999999998</c:v>
                </c:pt>
                <c:pt idx="325">
                  <c:v>1.7999999999999998</c:v>
                </c:pt>
                <c:pt idx="326">
                  <c:v>1.8239999999999998</c:v>
                </c:pt>
                <c:pt idx="327">
                  <c:v>1.8479999999999999</c:v>
                </c:pt>
                <c:pt idx="328">
                  <c:v>1.8719999999999999</c:v>
                </c:pt>
                <c:pt idx="329">
                  <c:v>1.8959999999999999</c:v>
                </c:pt>
                <c:pt idx="330">
                  <c:v>1.92</c:v>
                </c:pt>
                <c:pt idx="331">
                  <c:v>1.944</c:v>
                </c:pt>
                <c:pt idx="332">
                  <c:v>1.968</c:v>
                </c:pt>
                <c:pt idx="333">
                  <c:v>1.992</c:v>
                </c:pt>
                <c:pt idx="334">
                  <c:v>2.016</c:v>
                </c:pt>
                <c:pt idx="335">
                  <c:v>2.0399999999999991</c:v>
                </c:pt>
                <c:pt idx="336">
                  <c:v>2.0640000000000001</c:v>
                </c:pt>
                <c:pt idx="337">
                  <c:v>2.0879999999999992</c:v>
                </c:pt>
                <c:pt idx="338">
                  <c:v>2.1120000000000001</c:v>
                </c:pt>
                <c:pt idx="339">
                  <c:v>2.1359999999999992</c:v>
                </c:pt>
                <c:pt idx="340">
                  <c:v>2.16</c:v>
                </c:pt>
                <c:pt idx="341">
                  <c:v>2.1839999999999993</c:v>
                </c:pt>
                <c:pt idx="342">
                  <c:v>2.2080000000000002</c:v>
                </c:pt>
                <c:pt idx="343">
                  <c:v>2.2319999999999993</c:v>
                </c:pt>
                <c:pt idx="344">
                  <c:v>2.2560000000000002</c:v>
                </c:pt>
                <c:pt idx="345">
                  <c:v>2.2799999999999994</c:v>
                </c:pt>
                <c:pt idx="346">
                  <c:v>2.3040000000000003</c:v>
                </c:pt>
                <c:pt idx="347">
                  <c:v>2.3279999999999994</c:v>
                </c:pt>
                <c:pt idx="348">
                  <c:v>2.3520000000000003</c:v>
                </c:pt>
                <c:pt idx="349">
                  <c:v>2.3759999999999994</c:v>
                </c:pt>
                <c:pt idx="350">
                  <c:v>2.4000000000000004</c:v>
                </c:pt>
                <c:pt idx="351">
                  <c:v>2.4239999999999995</c:v>
                </c:pt>
                <c:pt idx="352">
                  <c:v>2.4480000000000004</c:v>
                </c:pt>
                <c:pt idx="353">
                  <c:v>2.4719999999999995</c:v>
                </c:pt>
                <c:pt idx="354">
                  <c:v>2.4960000000000004</c:v>
                </c:pt>
                <c:pt idx="355">
                  <c:v>2.5199999999999996</c:v>
                </c:pt>
                <c:pt idx="356">
                  <c:v>2.5440000000000005</c:v>
                </c:pt>
                <c:pt idx="357">
                  <c:v>2.5679999999999996</c:v>
                </c:pt>
                <c:pt idx="358">
                  <c:v>2.5920000000000005</c:v>
                </c:pt>
                <c:pt idx="359">
                  <c:v>2.6159999999999997</c:v>
                </c:pt>
                <c:pt idx="360">
                  <c:v>2.6400000000000006</c:v>
                </c:pt>
                <c:pt idx="361">
                  <c:v>2.6639999999999997</c:v>
                </c:pt>
                <c:pt idx="362">
                  <c:v>2.6880000000000006</c:v>
                </c:pt>
                <c:pt idx="363">
                  <c:v>2.7119999999999997</c:v>
                </c:pt>
                <c:pt idx="364">
                  <c:v>2.7360000000000007</c:v>
                </c:pt>
                <c:pt idx="365">
                  <c:v>2.76</c:v>
                </c:pt>
                <c:pt idx="366">
                  <c:v>2.7840000000000007</c:v>
                </c:pt>
                <c:pt idx="367">
                  <c:v>2.8079999999999998</c:v>
                </c:pt>
                <c:pt idx="368">
                  <c:v>2.8320000000000007</c:v>
                </c:pt>
                <c:pt idx="369">
                  <c:v>2.8559999999999999</c:v>
                </c:pt>
                <c:pt idx="370">
                  <c:v>2.8800000000000008</c:v>
                </c:pt>
                <c:pt idx="371">
                  <c:v>2.9039999999999999</c:v>
                </c:pt>
                <c:pt idx="372">
                  <c:v>2.9280000000000008</c:v>
                </c:pt>
                <c:pt idx="373">
                  <c:v>2.952</c:v>
                </c:pt>
                <c:pt idx="374">
                  <c:v>2.9760000000000009</c:v>
                </c:pt>
                <c:pt idx="375">
                  <c:v>3</c:v>
                </c:pt>
                <c:pt idx="376">
                  <c:v>3.0239999999999991</c:v>
                </c:pt>
                <c:pt idx="377">
                  <c:v>3.048</c:v>
                </c:pt>
                <c:pt idx="378">
                  <c:v>3.0719999999999992</c:v>
                </c:pt>
                <c:pt idx="379">
                  <c:v>3.0960000000000001</c:v>
                </c:pt>
                <c:pt idx="380">
                  <c:v>3.1199999999999992</c:v>
                </c:pt>
                <c:pt idx="381">
                  <c:v>3.1440000000000001</c:v>
                </c:pt>
                <c:pt idx="382">
                  <c:v>3.1679999999999993</c:v>
                </c:pt>
                <c:pt idx="383">
                  <c:v>3.1920000000000002</c:v>
                </c:pt>
                <c:pt idx="384">
                  <c:v>3.2159999999999993</c:v>
                </c:pt>
                <c:pt idx="385">
                  <c:v>3.24</c:v>
                </c:pt>
                <c:pt idx="386">
                  <c:v>3.2639999999999993</c:v>
                </c:pt>
                <c:pt idx="387">
                  <c:v>3.2880000000000003</c:v>
                </c:pt>
                <c:pt idx="388">
                  <c:v>3.3119999999999994</c:v>
                </c:pt>
                <c:pt idx="389">
                  <c:v>3.3360000000000003</c:v>
                </c:pt>
                <c:pt idx="390">
                  <c:v>3.3599999999999994</c:v>
                </c:pt>
                <c:pt idx="391">
                  <c:v>3.3840000000000003</c:v>
                </c:pt>
                <c:pt idx="392">
                  <c:v>3.4079999999999995</c:v>
                </c:pt>
                <c:pt idx="393">
                  <c:v>3.4320000000000004</c:v>
                </c:pt>
                <c:pt idx="394">
                  <c:v>3.4559999999999995</c:v>
                </c:pt>
                <c:pt idx="395">
                  <c:v>3.4800000000000004</c:v>
                </c:pt>
                <c:pt idx="396">
                  <c:v>3.5039999999999996</c:v>
                </c:pt>
                <c:pt idx="397">
                  <c:v>3.5280000000000005</c:v>
                </c:pt>
                <c:pt idx="398">
                  <c:v>3.5519999999999996</c:v>
                </c:pt>
                <c:pt idx="399">
                  <c:v>3.5760000000000005</c:v>
                </c:pt>
                <c:pt idx="400">
                  <c:v>3.5999999999999996</c:v>
                </c:pt>
                <c:pt idx="401">
                  <c:v>3.6240000000000006</c:v>
                </c:pt>
                <c:pt idx="402">
                  <c:v>3.6479999999999997</c:v>
                </c:pt>
                <c:pt idx="403">
                  <c:v>3.6720000000000006</c:v>
                </c:pt>
                <c:pt idx="404">
                  <c:v>3.6959999999999997</c:v>
                </c:pt>
                <c:pt idx="405">
                  <c:v>3.7200000000000006</c:v>
                </c:pt>
                <c:pt idx="406">
                  <c:v>3.7439999999999998</c:v>
                </c:pt>
                <c:pt idx="407">
                  <c:v>3.7680000000000007</c:v>
                </c:pt>
                <c:pt idx="408">
                  <c:v>3.7919999999999998</c:v>
                </c:pt>
                <c:pt idx="409">
                  <c:v>3.8160000000000007</c:v>
                </c:pt>
                <c:pt idx="410">
                  <c:v>3.84</c:v>
                </c:pt>
                <c:pt idx="411">
                  <c:v>3.8640000000000008</c:v>
                </c:pt>
                <c:pt idx="412">
                  <c:v>3.8879999999999999</c:v>
                </c:pt>
                <c:pt idx="413">
                  <c:v>3.9120000000000008</c:v>
                </c:pt>
                <c:pt idx="414">
                  <c:v>3.9359999999999999</c:v>
                </c:pt>
                <c:pt idx="415">
                  <c:v>3.9600000000000009</c:v>
                </c:pt>
                <c:pt idx="416">
                  <c:v>3.984</c:v>
                </c:pt>
                <c:pt idx="417">
                  <c:v>4.0079999999999991</c:v>
                </c:pt>
                <c:pt idx="418">
                  <c:v>4.032</c:v>
                </c:pt>
                <c:pt idx="419">
                  <c:v>4.0559999999999992</c:v>
                </c:pt>
                <c:pt idx="420">
                  <c:v>4.08</c:v>
                </c:pt>
                <c:pt idx="421">
                  <c:v>4.1039999999999992</c:v>
                </c:pt>
                <c:pt idx="422">
                  <c:v>4.1280000000000001</c:v>
                </c:pt>
                <c:pt idx="423">
                  <c:v>4.1519999999999992</c:v>
                </c:pt>
                <c:pt idx="424">
                  <c:v>4.1760000000000002</c:v>
                </c:pt>
                <c:pt idx="425">
                  <c:v>4.1999999999999993</c:v>
                </c:pt>
                <c:pt idx="426">
                  <c:v>4.2240000000000002</c:v>
                </c:pt>
                <c:pt idx="427">
                  <c:v>4.2479999999999993</c:v>
                </c:pt>
                <c:pt idx="428">
                  <c:v>4.2720000000000002</c:v>
                </c:pt>
                <c:pt idx="429">
                  <c:v>4.2959999999999994</c:v>
                </c:pt>
                <c:pt idx="430">
                  <c:v>4.32</c:v>
                </c:pt>
                <c:pt idx="431">
                  <c:v>4.3439999999999994</c:v>
                </c:pt>
                <c:pt idx="432">
                  <c:v>4.3680000000000003</c:v>
                </c:pt>
                <c:pt idx="433">
                  <c:v>4.3919999999999995</c:v>
                </c:pt>
                <c:pt idx="434">
                  <c:v>4.4160000000000004</c:v>
                </c:pt>
                <c:pt idx="435">
                  <c:v>4.4399999999999995</c:v>
                </c:pt>
                <c:pt idx="436">
                  <c:v>4.4640000000000004</c:v>
                </c:pt>
                <c:pt idx="437">
                  <c:v>4.4879999999999995</c:v>
                </c:pt>
                <c:pt idx="438">
                  <c:v>4.5120000000000005</c:v>
                </c:pt>
                <c:pt idx="439">
                  <c:v>4.5359999999999996</c:v>
                </c:pt>
                <c:pt idx="440">
                  <c:v>4.5600000000000005</c:v>
                </c:pt>
                <c:pt idx="441">
                  <c:v>4.5839999999999996</c:v>
                </c:pt>
                <c:pt idx="442">
                  <c:v>4.6080000000000005</c:v>
                </c:pt>
                <c:pt idx="443">
                  <c:v>4.6319999999999997</c:v>
                </c:pt>
                <c:pt idx="444">
                  <c:v>4.6560000000000006</c:v>
                </c:pt>
                <c:pt idx="445">
                  <c:v>4.68</c:v>
                </c:pt>
                <c:pt idx="446">
                  <c:v>4.7040000000000006</c:v>
                </c:pt>
                <c:pt idx="447">
                  <c:v>4.7279999999999998</c:v>
                </c:pt>
                <c:pt idx="448">
                  <c:v>4.7520000000000007</c:v>
                </c:pt>
                <c:pt idx="449">
                  <c:v>4.7759999999999998</c:v>
                </c:pt>
                <c:pt idx="450">
                  <c:v>4.8000000000000007</c:v>
                </c:pt>
                <c:pt idx="451">
                  <c:v>4.8239999999999998</c:v>
                </c:pt>
                <c:pt idx="452">
                  <c:v>4.8480000000000008</c:v>
                </c:pt>
                <c:pt idx="453">
                  <c:v>4.8719999999999999</c:v>
                </c:pt>
                <c:pt idx="454">
                  <c:v>4.8960000000000008</c:v>
                </c:pt>
                <c:pt idx="455">
                  <c:v>4.92</c:v>
                </c:pt>
                <c:pt idx="456">
                  <c:v>4.9440000000000008</c:v>
                </c:pt>
                <c:pt idx="457">
                  <c:v>4.968</c:v>
                </c:pt>
                <c:pt idx="458">
                  <c:v>4.9920000000000009</c:v>
                </c:pt>
                <c:pt idx="459">
                  <c:v>5.016</c:v>
                </c:pt>
                <c:pt idx="460">
                  <c:v>5.0399999999999991</c:v>
                </c:pt>
                <c:pt idx="461">
                  <c:v>5.0640000000000001</c:v>
                </c:pt>
                <c:pt idx="462">
                  <c:v>5.0879999999999992</c:v>
                </c:pt>
                <c:pt idx="463">
                  <c:v>5.1120000000000001</c:v>
                </c:pt>
                <c:pt idx="464">
                  <c:v>5.1359999999999992</c:v>
                </c:pt>
                <c:pt idx="465">
                  <c:v>5.16</c:v>
                </c:pt>
                <c:pt idx="466">
                  <c:v>5.1839999999999993</c:v>
                </c:pt>
                <c:pt idx="467">
                  <c:v>5.2080000000000002</c:v>
                </c:pt>
                <c:pt idx="468">
                  <c:v>5.2319999999999993</c:v>
                </c:pt>
                <c:pt idx="469">
                  <c:v>5.2560000000000002</c:v>
                </c:pt>
                <c:pt idx="470">
                  <c:v>5.2799999999999994</c:v>
                </c:pt>
                <c:pt idx="471">
                  <c:v>5.3040000000000003</c:v>
                </c:pt>
                <c:pt idx="472">
                  <c:v>5.3279999999999994</c:v>
                </c:pt>
                <c:pt idx="473">
                  <c:v>5.3520000000000003</c:v>
                </c:pt>
                <c:pt idx="474">
                  <c:v>5.3759999999999994</c:v>
                </c:pt>
                <c:pt idx="475">
                  <c:v>5.4</c:v>
                </c:pt>
                <c:pt idx="476">
                  <c:v>5.4239999999999995</c:v>
                </c:pt>
                <c:pt idx="477">
                  <c:v>5.4480000000000004</c:v>
                </c:pt>
                <c:pt idx="478">
                  <c:v>5.4719999999999995</c:v>
                </c:pt>
                <c:pt idx="479">
                  <c:v>5.4960000000000004</c:v>
                </c:pt>
                <c:pt idx="480">
                  <c:v>5.52</c:v>
                </c:pt>
                <c:pt idx="481">
                  <c:v>5.5440000000000005</c:v>
                </c:pt>
                <c:pt idx="482">
                  <c:v>5.5679999999999996</c:v>
                </c:pt>
                <c:pt idx="483">
                  <c:v>5.5920000000000005</c:v>
                </c:pt>
                <c:pt idx="484">
                  <c:v>5.6159999999999997</c:v>
                </c:pt>
                <c:pt idx="485">
                  <c:v>5.6400000000000006</c:v>
                </c:pt>
                <c:pt idx="486">
                  <c:v>5.6639999999999997</c:v>
                </c:pt>
                <c:pt idx="487">
                  <c:v>5.6880000000000006</c:v>
                </c:pt>
                <c:pt idx="488">
                  <c:v>5.7119999999999997</c:v>
                </c:pt>
                <c:pt idx="489">
                  <c:v>5.7360000000000007</c:v>
                </c:pt>
                <c:pt idx="490">
                  <c:v>5.76</c:v>
                </c:pt>
                <c:pt idx="491">
                  <c:v>5.7840000000000007</c:v>
                </c:pt>
                <c:pt idx="492">
                  <c:v>5.8079999999999998</c:v>
                </c:pt>
                <c:pt idx="493">
                  <c:v>5.8320000000000007</c:v>
                </c:pt>
                <c:pt idx="494">
                  <c:v>5.8559999999999999</c:v>
                </c:pt>
                <c:pt idx="495">
                  <c:v>5.8800000000000008</c:v>
                </c:pt>
                <c:pt idx="496">
                  <c:v>5.9039999999999999</c:v>
                </c:pt>
                <c:pt idx="497">
                  <c:v>5.9280000000000008</c:v>
                </c:pt>
                <c:pt idx="498">
                  <c:v>5.952</c:v>
                </c:pt>
                <c:pt idx="499">
                  <c:v>5.9760000000000009</c:v>
                </c:pt>
                <c:pt idx="500">
                  <c:v>6</c:v>
                </c:pt>
              </c:numCache>
            </c:numRef>
          </c:xVal>
          <c:yVal>
            <c:numRef>
              <c:f>'Fig 1 - single value test'!$E$101:$E$601</c:f>
              <c:numCache>
                <c:formatCode>General</c:formatCode>
                <c:ptCount val="501"/>
                <c:pt idx="0">
                  <c:v>6.0758828498232861E-9</c:v>
                </c:pt>
                <c:pt idx="1">
                  <c:v>7.014919960620633E-9</c:v>
                </c:pt>
                <c:pt idx="2">
                  <c:v>8.094422981541427E-9</c:v>
                </c:pt>
                <c:pt idx="3">
                  <c:v>9.3346688630663452E-9</c:v>
                </c:pt>
                <c:pt idx="4">
                  <c:v>1.0758749212031231E-8</c:v>
                </c:pt>
                <c:pt idx="5">
                  <c:v>1.239294431415013E-8</c:v>
                </c:pt>
                <c:pt idx="6">
                  <c:v>1.4267144462795874E-8</c:v>
                </c:pt>
                <c:pt idx="7">
                  <c:v>1.6415324245220411E-8</c:v>
                </c:pt>
                <c:pt idx="8">
                  <c:v>1.8876076068122808E-8</c:v>
                </c:pt>
                <c:pt idx="9">
                  <c:v>2.1693209899897982E-8</c:v>
                </c:pt>
                <c:pt idx="10">
                  <c:v>2.4916426972950989E-8</c:v>
                </c:pt>
                <c:pt idx="11">
                  <c:v>2.8602076032540175E-8</c:v>
                </c:pt>
                <c:pt idx="12">
                  <c:v>3.2814001645590985E-8</c:v>
                </c:pt>
                <c:pt idx="13">
                  <c:v>3.7624495101197993E-8</c:v>
                </c:pt>
                <c:pt idx="14">
                  <c:v>4.3115359552033492E-8</c:v>
                </c:pt>
                <c:pt idx="15">
                  <c:v>4.937910227110449E-8</c:v>
                </c:pt>
                <c:pt idx="16">
                  <c:v>5.6520268240340859E-8</c:v>
                </c:pt>
                <c:pt idx="17">
                  <c:v>6.465693075604519E-8</c:v>
                </c:pt>
                <c:pt idx="18">
                  <c:v>7.3922356341658018E-8</c:v>
                </c:pt>
                <c:pt idx="19">
                  <c:v>8.4466863011588381E-8</c:v>
                </c:pt>
                <c:pt idx="20">
                  <c:v>9.6459892842733842E-8</c:v>
                </c:pt>
                <c:pt idx="21">
                  <c:v>1.1009232189518106E-7</c:v>
                </c:pt>
                <c:pt idx="22">
                  <c:v>1.2557903279356918E-7</c:v>
                </c:pt>
                <c:pt idx="23">
                  <c:v>1.4316177774957213E-7</c:v>
                </c:pt>
                <c:pt idx="24">
                  <c:v>1.6311236248861487E-7</c:v>
                </c:pt>
                <c:pt idx="25">
                  <c:v>1.8573618445552897E-7</c:v>
                </c:pt>
                <c:pt idx="26">
                  <c:v>2.1137616183074064E-7</c:v>
                </c:pt>
                <c:pt idx="27">
                  <c:v>2.4041709330746573E-7</c:v>
                </c:pt>
                <c:pt idx="28">
                  <c:v>2.7329049227913221E-7</c:v>
                </c:pt>
                <c:pt idx="29">
                  <c:v>3.104799430831489E-7</c:v>
                </c:pt>
                <c:pt idx="30">
                  <c:v>3.5252703126140381E-7</c:v>
                </c:pt>
                <c:pt idx="31">
                  <c:v>4.0003790444932249E-7</c:v>
                </c:pt>
                <c:pt idx="32">
                  <c:v>4.5369052551441214E-7</c:v>
                </c:pt>
                <c:pt idx="33">
                  <c:v>5.1424268495308647E-7</c:v>
                </c:pt>
                <c:pt idx="34">
                  <c:v>5.8254084534283306E-7</c:v>
                </c:pt>
                <c:pt idx="35">
                  <c:v>6.5952989685752167E-7</c:v>
                </c:pt>
                <c:pt idx="36">
                  <c:v>7.4626390950944278E-7</c:v>
                </c:pt>
                <c:pt idx="37">
                  <c:v>8.4391797490514879E-7</c:v>
                </c:pt>
                <c:pt idx="38">
                  <c:v>9.5380123791647124E-7</c:v>
                </c:pt>
                <c:pt idx="39">
                  <c:v>1.0773712267960586E-6</c:v>
                </c:pt>
                <c:pt idx="40">
                  <c:v>1.216249598931318E-6</c:v>
                </c:pt>
                <c:pt idx="41">
                  <c:v>1.3722394286545041E-6</c:v>
                </c:pt>
                <c:pt idx="42">
                  <c:v>1.5473441733317411E-6</c:v>
                </c:pt>
                <c:pt idx="43">
                  <c:v>1.7437884643617589E-6</c:v>
                </c:pt>
                <c:pt idx="44">
                  <c:v>1.9640408807463332E-6</c:v>
                </c:pt>
                <c:pt idx="45">
                  <c:v>2.2108388745684212E-6</c:v>
                </c:pt>
                <c:pt idx="46">
                  <c:v>2.4872160300486798E-6</c:v>
                </c:pt>
                <c:pt idx="47">
                  <c:v>2.7965318508624735E-6</c:v>
                </c:pt>
                <c:pt idx="48">
                  <c:v>3.1425042841019479E-6</c:v>
                </c:pt>
                <c:pt idx="49">
                  <c:v>3.5292452036728565E-6</c:v>
                </c:pt>
                <c:pt idx="50">
                  <c:v>3.9612990910320753E-6</c:v>
                </c:pt>
                <c:pt idx="51">
                  <c:v>4.443685167005601E-6</c:v>
                </c:pt>
                <c:pt idx="52">
                  <c:v>4.9819432449787926E-6</c:v>
                </c:pt>
                <c:pt idx="53">
                  <c:v>5.5821835930201659E-6</c:v>
                </c:pt>
                <c:pt idx="54">
                  <c:v>6.2511411104785546E-6</c:v>
                </c:pt>
                <c:pt idx="55">
                  <c:v>6.996234143270405E-6</c:v>
                </c:pt>
                <c:pt idx="56">
                  <c:v>7.825628281430239E-6</c:v>
                </c:pt>
                <c:pt idx="57">
                  <c:v>8.7483055025099134E-6</c:v>
                </c:pt>
                <c:pt idx="58">
                  <c:v>9.7741390450493509E-6</c:v>
                </c:pt>
                <c:pt idx="59">
                  <c:v>1.0913974417565564E-5</c:v>
                </c:pt>
                <c:pt idx="60">
                  <c:v>1.2179716970268655E-5</c:v>
                </c:pt>
                <c:pt idx="61">
                  <c:v>1.3584426478963919E-5</c:v>
                </c:pt>
                <c:pt idx="62">
                  <c:v>1.5142419213261371E-5</c:v>
                </c:pt>
                <c:pt idx="63">
                  <c:v>1.6869377984230626E-5</c:v>
                </c:pt>
                <c:pt idx="64">
                  <c:v>1.8782470689901945E-5</c:v>
                </c:pt>
                <c:pt idx="65">
                  <c:v>2.0900477900450482E-5</c:v>
                </c:pt>
                <c:pt idx="66">
                  <c:v>2.3243930048373714E-5</c:v>
                </c:pt>
                <c:pt idx="67">
                  <c:v>2.5835254812390093E-5</c:v>
                </c:pt>
                <c:pt idx="68">
                  <c:v>2.8698935306977618E-5</c:v>
                </c:pt>
                <c:pt idx="69">
                  <c:v>3.1861679712324516E-5</c:v>
                </c:pt>
                <c:pt idx="70">
                  <c:v>3.5352603001773097E-5</c:v>
                </c:pt>
                <c:pt idx="71">
                  <c:v>3.9203421445463005E-5</c:v>
                </c:pt>
                <c:pt idx="72">
                  <c:v>4.3448660589589352E-5</c:v>
                </c:pt>
                <c:pt idx="73">
                  <c:v>4.8125877430296982E-5</c:v>
                </c:pt>
                <c:pt idx="74">
                  <c:v>5.3275897519493968E-5</c:v>
                </c:pt>
                <c:pt idx="75">
                  <c:v>5.8943067756539855E-5</c:v>
                </c:pt>
                <c:pt idx="76">
                  <c:v>6.5175525634586447E-5</c:v>
                </c:pt>
                <c:pt idx="77">
                  <c:v>7.2025485723041163E-5</c:v>
                </c:pt>
                <c:pt idx="78">
                  <c:v>7.9549544177881284E-5</c:v>
                </c:pt>
                <c:pt idx="79">
                  <c:v>8.7809002079064242E-5</c:v>
                </c:pt>
                <c:pt idx="80">
                  <c:v>9.687020839871926E-5</c:v>
                </c:pt>
                <c:pt idx="81">
                  <c:v>1.0680492340481771E-4</c:v>
                </c:pt>
                <c:pt idx="82">
                  <c:v>1.1769070330224524E-4</c:v>
                </c:pt>
                <c:pt idx="83">
                  <c:v>1.296113069062539E-4</c:v>
                </c:pt>
                <c:pt idx="84">
                  <c:v>1.4265712513176652E-4</c:v>
                </c:pt>
                <c:pt idx="85">
                  <c:v>1.5692563406553226E-4</c:v>
                </c:pt>
                <c:pt idx="86">
                  <c:v>1.7252187236626288E-4</c:v>
                </c:pt>
                <c:pt idx="87">
                  <c:v>1.8955894371021315E-4</c:v>
                </c:pt>
                <c:pt idx="88">
                  <c:v>2.0815854496572918E-4</c:v>
                </c:pt>
                <c:pt idx="89">
                  <c:v>2.2845152073967242E-4</c:v>
                </c:pt>
                <c:pt idx="90">
                  <c:v>2.5057844489086075E-4</c:v>
                </c:pt>
                <c:pt idx="91">
                  <c:v>2.7469022955031567E-4</c:v>
                </c:pt>
                <c:pt idx="92">
                  <c:v>3.0094876212471999E-4</c:v>
                </c:pt>
                <c:pt idx="93">
                  <c:v>3.2952757068762962E-4</c:v>
                </c:pt>
                <c:pt idx="94">
                  <c:v>3.6061251808220741E-4</c:v>
                </c:pt>
                <c:pt idx="95">
                  <c:v>3.9440252496915622E-4</c:v>
                </c:pt>
                <c:pt idx="96">
                  <c:v>4.3111032195367602E-4</c:v>
                </c:pt>
                <c:pt idx="97">
                  <c:v>4.7096323081532949E-4</c:v>
                </c:pt>
                <c:pt idx="98">
                  <c:v>5.1420397474424319E-4</c:v>
                </c:pt>
                <c:pt idx="99">
                  <c:v>5.6109151735582138E-4</c:v>
                </c:pt>
                <c:pt idx="100">
                  <c:v>6.119019301137719E-4</c:v>
                </c:pt>
                <c:pt idx="101">
                  <c:v>6.6692928763750227E-4</c:v>
                </c:pt>
                <c:pt idx="102">
                  <c:v>7.2648659020460105E-4</c:v>
                </c:pt>
                <c:pt idx="103">
                  <c:v>7.9090671258203761E-4</c:v>
                </c:pt>
                <c:pt idx="104">
                  <c:v>8.605433781307579E-4</c:v>
                </c:pt>
                <c:pt idx="105">
                  <c:v>9.3577215692747977E-4</c:v>
                </c:pt>
                <c:pt idx="106">
                  <c:v>1.0169914864347645E-3</c:v>
                </c:pt>
                <c:pt idx="107">
                  <c:v>1.1046237130258381E-3</c:v>
                </c:pt>
                <c:pt idx="108">
                  <c:v>1.1991161524345093E-3</c:v>
                </c:pt>
                <c:pt idx="109">
                  <c:v>1.3009421669529307E-3</c:v>
                </c:pt>
                <c:pt idx="110">
                  <c:v>1.4106022569413848E-3</c:v>
                </c:pt>
                <c:pt idx="111">
                  <c:v>1.528625163945144E-3</c:v>
                </c:pt>
                <c:pt idx="112">
                  <c:v>1.6555689824342061E-3</c:v>
                </c:pt>
                <c:pt idx="113">
                  <c:v>1.7920222768931734E-3</c:v>
                </c:pt>
                <c:pt idx="114">
                  <c:v>1.9386052006913181E-3</c:v>
                </c:pt>
                <c:pt idx="115">
                  <c:v>2.0959706128579419E-3</c:v>
                </c:pt>
                <c:pt idx="116">
                  <c:v>2.264805188576479E-3</c:v>
                </c:pt>
                <c:pt idx="117">
                  <c:v>2.4458305188934013E-3</c:v>
                </c:pt>
                <c:pt idx="118">
                  <c:v>2.6398041948164515E-3</c:v>
                </c:pt>
                <c:pt idx="119">
                  <c:v>2.8475208706519421E-3</c:v>
                </c:pt>
                <c:pt idx="120">
                  <c:v>3.0698133011047403E-3</c:v>
                </c:pt>
                <c:pt idx="121">
                  <c:v>3.3075533463386006E-3</c:v>
                </c:pt>
                <c:pt idx="122">
                  <c:v>3.5616529388703346E-3</c:v>
                </c:pt>
                <c:pt idx="123">
                  <c:v>3.8330650058511109E-3</c:v>
                </c:pt>
                <c:pt idx="124">
                  <c:v>4.122784339973702E-3</c:v>
                </c:pt>
                <c:pt idx="125">
                  <c:v>4.4318484119380075E-3</c:v>
                </c:pt>
                <c:pt idx="126">
                  <c:v>4.7613381171110044E-3</c:v>
                </c:pt>
                <c:pt idx="127">
                  <c:v>5.1123784487336638E-3</c:v>
                </c:pt>
                <c:pt idx="128">
                  <c:v>5.4861390897588055E-3</c:v>
                </c:pt>
                <c:pt idx="129">
                  <c:v>5.883834915153101E-3</c:v>
                </c:pt>
                <c:pt idx="130">
                  <c:v>6.3067263962659275E-3</c:v>
                </c:pt>
                <c:pt idx="131">
                  <c:v>6.7561198986603012E-3</c:v>
                </c:pt>
                <c:pt idx="132">
                  <c:v>7.2333678646196876E-3</c:v>
                </c:pt>
                <c:pt idx="133">
                  <c:v>7.739868871391698E-3</c:v>
                </c:pt>
                <c:pt idx="134">
                  <c:v>8.2770675561084951E-3</c:v>
                </c:pt>
                <c:pt idx="135">
                  <c:v>8.8464543982372315E-3</c:v>
                </c:pt>
                <c:pt idx="136">
                  <c:v>9.4495653503647182E-3</c:v>
                </c:pt>
                <c:pt idx="137">
                  <c:v>1.0087981308111881E-2</c:v>
                </c:pt>
                <c:pt idx="138">
                  <c:v>1.0763327410007743E-2</c:v>
                </c:pt>
                <c:pt idx="139">
                  <c:v>1.1477272158233751E-2</c:v>
                </c:pt>
                <c:pt idx="140">
                  <c:v>1.2231526351277971E-2</c:v>
                </c:pt>
                <c:pt idx="141">
                  <c:v>1.3027841819719665E-2</c:v>
                </c:pt>
                <c:pt idx="142">
                  <c:v>1.3868009956599181E-2</c:v>
                </c:pt>
                <c:pt idx="143">
                  <c:v>1.4753860034118634E-2</c:v>
                </c:pt>
                <c:pt idx="144">
                  <c:v>1.5687257298768114E-2</c:v>
                </c:pt>
                <c:pt idx="145">
                  <c:v>1.6670100837381057E-2</c:v>
                </c:pt>
                <c:pt idx="146">
                  <c:v>1.7704321207094212E-2</c:v>
                </c:pt>
                <c:pt idx="147">
                  <c:v>1.8791877822721837E-2</c:v>
                </c:pt>
                <c:pt idx="148">
                  <c:v>1.993475609565365E-2</c:v>
                </c:pt>
                <c:pt idx="149">
                  <c:v>2.1134964319050476E-2</c:v>
                </c:pt>
                <c:pt idx="150">
                  <c:v>2.2394530294842899E-2</c:v>
                </c:pt>
                <c:pt idx="151">
                  <c:v>2.3715497698834857E-2</c:v>
                </c:pt>
                <c:pt idx="152">
                  <c:v>2.5099922181077771E-2</c:v>
                </c:pt>
                <c:pt idx="153">
                  <c:v>2.65498671996088E-2</c:v>
                </c:pt>
                <c:pt idx="154">
                  <c:v>2.8067399586640101E-2</c:v>
                </c:pt>
                <c:pt idx="155">
                  <c:v>2.9654584847341278E-2</c:v>
                </c:pt>
                <c:pt idx="156">
                  <c:v>3.131348219247429E-2</c:v>
                </c:pt>
                <c:pt idx="157">
                  <c:v>3.3046139307314801E-2</c:v>
                </c:pt>
                <c:pt idx="158">
                  <c:v>3.4854586860525415E-2</c:v>
                </c:pt>
                <c:pt idx="159">
                  <c:v>3.6740832757928006E-2</c:v>
                </c:pt>
                <c:pt idx="160">
                  <c:v>3.8706856147455608E-2</c:v>
                </c:pt>
                <c:pt idx="161">
                  <c:v>4.0754601182937548E-2</c:v>
                </c:pt>
                <c:pt idx="162">
                  <c:v>4.2885970555787321E-2</c:v>
                </c:pt>
                <c:pt idx="163">
                  <c:v>4.5102818805110016E-2</c:v>
                </c:pt>
                <c:pt idx="164">
                  <c:v>4.7406945418221713E-2</c:v>
                </c:pt>
                <c:pt idx="165">
                  <c:v>4.9800087735070775E-2</c:v>
                </c:pt>
                <c:pt idx="166">
                  <c:v>5.2283913671562113E-2</c:v>
                </c:pt>
                <c:pt idx="167">
                  <c:v>5.4860014278304732E-2</c:v>
                </c:pt>
                <c:pt idx="168">
                  <c:v>5.7529896152820871E-2</c:v>
                </c:pt>
                <c:pt idx="169">
                  <c:v>6.0294973724765701E-2</c:v>
                </c:pt>
                <c:pt idx="170">
                  <c:v>6.3156561435198655E-2</c:v>
                </c:pt>
                <c:pt idx="171">
                  <c:v>6.6115865832415521E-2</c:v>
                </c:pt>
                <c:pt idx="172">
                  <c:v>6.9173977608282505E-2</c:v>
                </c:pt>
                <c:pt idx="173">
                  <c:v>7.2331863600401836E-2</c:v>
                </c:pt>
                <c:pt idx="174">
                  <c:v>7.5590358786774225E-2</c:v>
                </c:pt>
                <c:pt idx="175">
                  <c:v>7.8950158300894177E-2</c:v>
                </c:pt>
                <c:pt idx="176">
                  <c:v>8.2411809496414523E-2</c:v>
                </c:pt>
                <c:pt idx="177">
                  <c:v>8.5975704091632174E-2</c:v>
                </c:pt>
                <c:pt idx="178">
                  <c:v>8.9642070425072398E-2</c:v>
                </c:pt>
                <c:pt idx="179">
                  <c:v>9.3410965854371211E-2</c:v>
                </c:pt>
                <c:pt idx="180">
                  <c:v>9.7282269331467539E-2</c:v>
                </c:pt>
                <c:pt idx="181">
                  <c:v>0.10125567418780883</c:v>
                </c:pt>
                <c:pt idx="182">
                  <c:v>0.10533068116383558</c:v>
                </c:pt>
                <c:pt idx="183">
                  <c:v>0.1095065917174368</c:v>
                </c:pt>
                <c:pt idx="184">
                  <c:v>0.11378250164634682</c:v>
                </c:pt>
                <c:pt idx="185">
                  <c:v>0.11815729505958236</c:v>
                </c:pt>
                <c:pt idx="186">
                  <c:v>0.12262963873298507</c:v>
                </c:pt>
                <c:pt idx="187">
                  <c:v>0.12719797688373657</c:v>
                </c:pt>
                <c:pt idx="188">
                  <c:v>0.13186052639834273</c:v>
                </c:pt>
                <c:pt idx="189">
                  <c:v>0.1366152725480389</c:v>
                </c:pt>
                <c:pt idx="190">
                  <c:v>0.1414599652248387</c:v>
                </c:pt>
                <c:pt idx="191">
                  <c:v>0.1463921157305455</c:v>
                </c:pt>
                <c:pt idx="192">
                  <c:v>0.15140899414994616</c:v>
                </c:pt>
                <c:pt idx="193">
                  <c:v>0.15650762733813126</c:v>
                </c:pt>
                <c:pt idx="194">
                  <c:v>0.1616847975504194</c:v>
                </c:pt>
                <c:pt idx="195">
                  <c:v>0.16693704174171375</c:v>
                </c:pt>
                <c:pt idx="196">
                  <c:v>0.17226065156028758</c:v>
                </c:pt>
                <c:pt idx="197">
                  <c:v>0.1776516740589851</c:v>
                </c:pt>
                <c:pt idx="198">
                  <c:v>0.18310591314463986</c:v>
                </c:pt>
                <c:pt idx="199">
                  <c:v>0.18861893178415948</c:v>
                </c:pt>
                <c:pt idx="200">
                  <c:v>0.19418605498321292</c:v>
                </c:pt>
                <c:pt idx="201">
                  <c:v>0.19980237355078795</c:v>
                </c:pt>
                <c:pt idx="202">
                  <c:v>0.20546274866007688</c:v>
                </c:pt>
                <c:pt idx="203">
                  <c:v>0.21116181721320312</c:v>
                </c:pt>
                <c:pt idx="204">
                  <c:v>0.21689399801423551</c:v>
                </c:pt>
                <c:pt idx="205">
                  <c:v>0.22265349875176113</c:v>
                </c:pt>
                <c:pt idx="206">
                  <c:v>0.22843432378901604</c:v>
                </c:pt>
                <c:pt idx="207">
                  <c:v>0.23423028275621952</c:v>
                </c:pt>
                <c:pt idx="208">
                  <c:v>0.2400349999363395</c:v>
                </c:pt>
                <c:pt idx="209">
                  <c:v>0.24584192443204717</c:v>
                </c:pt>
                <c:pt idx="210">
                  <c:v>0.25164434109811712</c:v>
                </c:pt>
                <c:pt idx="211">
                  <c:v>0.25743538222001205</c:v>
                </c:pt>
                <c:pt idx="212">
                  <c:v>0.2632080399158771</c:v>
                </c:pt>
                <c:pt idx="213">
                  <c:v>0.26895517923567464</c:v>
                </c:pt>
                <c:pt idx="214">
                  <c:v>0.27466955192773695</c:v>
                </c:pt>
                <c:pt idx="215">
                  <c:v>0.28034381083962062</c:v>
                </c:pt>
                <c:pt idx="216">
                  <c:v>0.28597052491682845</c:v>
                </c:pt>
                <c:pt idx="217">
                  <c:v>0.29154219475974724</c:v>
                </c:pt>
                <c:pt idx="218">
                  <c:v>0.2970512686960452</c:v>
                </c:pt>
                <c:pt idx="219">
                  <c:v>0.30249015932280471</c:v>
                </c:pt>
                <c:pt idx="220">
                  <c:v>0.30785126046985301</c:v>
                </c:pt>
                <c:pt idx="221">
                  <c:v>0.3131269645331039</c:v>
                </c:pt>
                <c:pt idx="222">
                  <c:v>0.3183096801242743</c:v>
                </c:pt>
                <c:pt idx="223">
                  <c:v>0.32339184998107995</c:v>
                </c:pt>
                <c:pt idx="224">
                  <c:v>0.32836596907998766</c:v>
                </c:pt>
                <c:pt idx="225">
                  <c:v>0.33322460289179973</c:v>
                </c:pt>
                <c:pt idx="226">
                  <c:v>0.33796040571879715</c:v>
                </c:pt>
                <c:pt idx="227">
                  <c:v>0.34256613905087624</c:v>
                </c:pt>
                <c:pt idx="228">
                  <c:v>0.34703468987709241</c:v>
                </c:pt>
                <c:pt idx="229">
                  <c:v>0.3513590888882841</c:v>
                </c:pt>
                <c:pt idx="230">
                  <c:v>0.35553252850599704</c:v>
                </c:pt>
                <c:pt idx="231">
                  <c:v>0.35954838067276951</c:v>
                </c:pt>
                <c:pt idx="232">
                  <c:v>0.36340021433897718</c:v>
                </c:pt>
                <c:pt idx="233">
                  <c:v>0.36708181258188249</c:v>
                </c:pt>
                <c:pt idx="234">
                  <c:v>0.3705871892932735</c:v>
                </c:pt>
                <c:pt idx="235">
                  <c:v>0.37391060537312837</c:v>
                </c:pt>
                <c:pt idx="236">
                  <c:v>0.37704658436808808</c:v>
                </c:pt>
                <c:pt idx="237">
                  <c:v>0.37998992749516874</c:v>
                </c:pt>
                <c:pt idx="238">
                  <c:v>0.38273572799307848</c:v>
                </c:pt>
                <c:pt idx="239">
                  <c:v>0.38527938474572759</c:v>
                </c:pt>
                <c:pt idx="240">
                  <c:v>0.38761661512501411</c:v>
                </c:pt>
                <c:pt idx="241">
                  <c:v>0.38974346700272944</c:v>
                </c:pt>
                <c:pt idx="242">
                  <c:v>0.39165632988443705</c:v>
                </c:pt>
                <c:pt idx="243">
                  <c:v>0.39335194512142974</c:v>
                </c:pt>
                <c:pt idx="244">
                  <c:v>0.39482741516033976</c:v>
                </c:pt>
                <c:pt idx="245">
                  <c:v>0.3960802117936561</c:v>
                </c:pt>
                <c:pt idx="246">
                  <c:v>0.39710818337826648</c:v>
                </c:pt>
                <c:pt idx="247">
                  <c:v>0.39790956099317593</c:v>
                </c:pt>
                <c:pt idx="248">
                  <c:v>0.39848296351173551</c:v>
                </c:pt>
                <c:pt idx="249">
                  <c:v>0.39882740156802315</c:v>
                </c:pt>
                <c:pt idx="250">
                  <c:v>0.3989422804014327</c:v>
                </c:pt>
                <c:pt idx="251">
                  <c:v>0.39882740156802315</c:v>
                </c:pt>
                <c:pt idx="252">
                  <c:v>0.39848296351173551</c:v>
                </c:pt>
                <c:pt idx="253">
                  <c:v>0.39790956099317593</c:v>
                </c:pt>
                <c:pt idx="254">
                  <c:v>0.39710818337826648</c:v>
                </c:pt>
                <c:pt idx="255">
                  <c:v>0.3960802117936561</c:v>
                </c:pt>
                <c:pt idx="256">
                  <c:v>0.39482741516033976</c:v>
                </c:pt>
                <c:pt idx="257">
                  <c:v>0.39335194512142974</c:v>
                </c:pt>
                <c:pt idx="258">
                  <c:v>0.39165632988443705</c:v>
                </c:pt>
                <c:pt idx="259">
                  <c:v>0.38974346700272944</c:v>
                </c:pt>
                <c:pt idx="260">
                  <c:v>0.38761661512501411</c:v>
                </c:pt>
                <c:pt idx="261">
                  <c:v>0.38527938474572759</c:v>
                </c:pt>
                <c:pt idx="262">
                  <c:v>0.38273572799307848</c:v>
                </c:pt>
                <c:pt idx="263">
                  <c:v>0.37998992749516874</c:v>
                </c:pt>
                <c:pt idx="264">
                  <c:v>0.37704658436808808</c:v>
                </c:pt>
                <c:pt idx="265">
                  <c:v>0.37391060537312837</c:v>
                </c:pt>
                <c:pt idx="266">
                  <c:v>0.3705871892932735</c:v>
                </c:pt>
                <c:pt idx="267">
                  <c:v>0.36708181258188249</c:v>
                </c:pt>
                <c:pt idx="268">
                  <c:v>0.36340021433897718</c:v>
                </c:pt>
                <c:pt idx="269">
                  <c:v>0.35954838067276951</c:v>
                </c:pt>
                <c:pt idx="270">
                  <c:v>0.35553252850599704</c:v>
                </c:pt>
                <c:pt idx="271">
                  <c:v>0.3513590888882841</c:v>
                </c:pt>
                <c:pt idx="272">
                  <c:v>0.34703468987709241</c:v>
                </c:pt>
                <c:pt idx="273">
                  <c:v>0.34256613905087624</c:v>
                </c:pt>
                <c:pt idx="274">
                  <c:v>0.33796040571879715</c:v>
                </c:pt>
                <c:pt idx="275">
                  <c:v>0.33322460289179973</c:v>
                </c:pt>
                <c:pt idx="276">
                  <c:v>0.32836596907998766</c:v>
                </c:pt>
                <c:pt idx="277">
                  <c:v>0.32339184998107995</c:v>
                </c:pt>
                <c:pt idx="278">
                  <c:v>0.3183096801242743</c:v>
                </c:pt>
                <c:pt idx="279">
                  <c:v>0.3131269645331039</c:v>
                </c:pt>
                <c:pt idx="280">
                  <c:v>0.30785126046985301</c:v>
                </c:pt>
                <c:pt idx="281">
                  <c:v>0.30249015932280471</c:v>
                </c:pt>
                <c:pt idx="282">
                  <c:v>0.2970512686960452</c:v>
                </c:pt>
                <c:pt idx="283">
                  <c:v>0.29154219475974724</c:v>
                </c:pt>
                <c:pt idx="284">
                  <c:v>0.28597052491682845</c:v>
                </c:pt>
                <c:pt idx="285">
                  <c:v>0.28034381083962062</c:v>
                </c:pt>
                <c:pt idx="286">
                  <c:v>0.27466955192773695</c:v>
                </c:pt>
                <c:pt idx="287">
                  <c:v>0.26895517923567464</c:v>
                </c:pt>
                <c:pt idx="288">
                  <c:v>0.2632080399158771</c:v>
                </c:pt>
                <c:pt idx="289">
                  <c:v>0.25743538222001205</c:v>
                </c:pt>
                <c:pt idx="290">
                  <c:v>0.25164434109811712</c:v>
                </c:pt>
                <c:pt idx="291">
                  <c:v>0.24584192443204717</c:v>
                </c:pt>
                <c:pt idx="292">
                  <c:v>0.2400349999363395</c:v>
                </c:pt>
                <c:pt idx="293">
                  <c:v>0.23423028275621952</c:v>
                </c:pt>
                <c:pt idx="294">
                  <c:v>0.22843432378901604</c:v>
                </c:pt>
                <c:pt idx="295">
                  <c:v>0.22265349875176113</c:v>
                </c:pt>
                <c:pt idx="296">
                  <c:v>0.21689399801423551</c:v>
                </c:pt>
                <c:pt idx="297">
                  <c:v>0.21116181721320312</c:v>
                </c:pt>
                <c:pt idx="298">
                  <c:v>0.20546274866007688</c:v>
                </c:pt>
                <c:pt idx="299">
                  <c:v>0.19980237355078795</c:v>
                </c:pt>
                <c:pt idx="300">
                  <c:v>0.19418605498321292</c:v>
                </c:pt>
                <c:pt idx="301">
                  <c:v>0.18861893178415948</c:v>
                </c:pt>
                <c:pt idx="302">
                  <c:v>0.18310591314463986</c:v>
                </c:pt>
                <c:pt idx="303">
                  <c:v>0.1776516740589851</c:v>
                </c:pt>
                <c:pt idx="304">
                  <c:v>0.17226065156028758</c:v>
                </c:pt>
                <c:pt idx="305">
                  <c:v>0.16693704174171375</c:v>
                </c:pt>
                <c:pt idx="306">
                  <c:v>0.1616847975504194</c:v>
                </c:pt>
                <c:pt idx="307">
                  <c:v>0.15650762733813126</c:v>
                </c:pt>
                <c:pt idx="308">
                  <c:v>0.15140899414994616</c:v>
                </c:pt>
                <c:pt idx="309">
                  <c:v>0.1463921157305455</c:v>
                </c:pt>
                <c:pt idx="310">
                  <c:v>0.1414599652248387</c:v>
                </c:pt>
                <c:pt idx="311">
                  <c:v>0.1366152725480389</c:v>
                </c:pt>
                <c:pt idx="312">
                  <c:v>0.13186052639834273</c:v>
                </c:pt>
                <c:pt idx="313">
                  <c:v>0.12719797688373657</c:v>
                </c:pt>
                <c:pt idx="314">
                  <c:v>0.12262963873298507</c:v>
                </c:pt>
                <c:pt idx="315">
                  <c:v>0.11815729505958236</c:v>
                </c:pt>
                <c:pt idx="316">
                  <c:v>0.11378250164634682</c:v>
                </c:pt>
                <c:pt idx="317">
                  <c:v>0.1095065917174368</c:v>
                </c:pt>
                <c:pt idx="318">
                  <c:v>0.10533068116383558</c:v>
                </c:pt>
                <c:pt idx="319">
                  <c:v>0.10125567418780883</c:v>
                </c:pt>
                <c:pt idx="320">
                  <c:v>9.7282269331467539E-2</c:v>
                </c:pt>
                <c:pt idx="321">
                  <c:v>9.3410965854371211E-2</c:v>
                </c:pt>
                <c:pt idx="322">
                  <c:v>8.9642070425072398E-2</c:v>
                </c:pt>
                <c:pt idx="323">
                  <c:v>8.5975704091632174E-2</c:v>
                </c:pt>
                <c:pt idx="324">
                  <c:v>8.2411809496414523E-2</c:v>
                </c:pt>
                <c:pt idx="325">
                  <c:v>7.8950158300894177E-2</c:v>
                </c:pt>
                <c:pt idx="326">
                  <c:v>7.5590358786774225E-2</c:v>
                </c:pt>
                <c:pt idx="327">
                  <c:v>7.2331863600401836E-2</c:v>
                </c:pt>
                <c:pt idx="328">
                  <c:v>6.9173977608282505E-2</c:v>
                </c:pt>
                <c:pt idx="329">
                  <c:v>6.6115865832415521E-2</c:v>
                </c:pt>
                <c:pt idx="330">
                  <c:v>6.3156561435198655E-2</c:v>
                </c:pt>
                <c:pt idx="331">
                  <c:v>6.0294973724765701E-2</c:v>
                </c:pt>
                <c:pt idx="332">
                  <c:v>5.7529896152820871E-2</c:v>
                </c:pt>
                <c:pt idx="333">
                  <c:v>5.4860014278304732E-2</c:v>
                </c:pt>
                <c:pt idx="334">
                  <c:v>5.2283913671562113E-2</c:v>
                </c:pt>
                <c:pt idx="335">
                  <c:v>4.9800087735070858E-2</c:v>
                </c:pt>
                <c:pt idx="336">
                  <c:v>4.7406945418221713E-2</c:v>
                </c:pt>
                <c:pt idx="337">
                  <c:v>4.5102818805110099E-2</c:v>
                </c:pt>
                <c:pt idx="338">
                  <c:v>4.2885970555787321E-2</c:v>
                </c:pt>
                <c:pt idx="339">
                  <c:v>4.0754601182937618E-2</c:v>
                </c:pt>
                <c:pt idx="340">
                  <c:v>3.8706856147455608E-2</c:v>
                </c:pt>
                <c:pt idx="341">
                  <c:v>3.6740832757928069E-2</c:v>
                </c:pt>
                <c:pt idx="342">
                  <c:v>3.4854586860525415E-2</c:v>
                </c:pt>
                <c:pt idx="343">
                  <c:v>3.3046139307314877E-2</c:v>
                </c:pt>
                <c:pt idx="344">
                  <c:v>3.1313482192474262E-2</c:v>
                </c:pt>
                <c:pt idx="345">
                  <c:v>2.9654584847341316E-2</c:v>
                </c:pt>
                <c:pt idx="346">
                  <c:v>2.8067399586640077E-2</c:v>
                </c:pt>
                <c:pt idx="347">
                  <c:v>2.6549867199608838E-2</c:v>
                </c:pt>
                <c:pt idx="348">
                  <c:v>2.5099922181077736E-2</c:v>
                </c:pt>
                <c:pt idx="349">
                  <c:v>2.3715497698834888E-2</c:v>
                </c:pt>
                <c:pt idx="350">
                  <c:v>2.2394530294842882E-2</c:v>
                </c:pt>
                <c:pt idx="351">
                  <c:v>2.1134964319050504E-2</c:v>
                </c:pt>
                <c:pt idx="352">
                  <c:v>1.9934756095653629E-2</c:v>
                </c:pt>
                <c:pt idx="353">
                  <c:v>1.8791877822721854E-2</c:v>
                </c:pt>
                <c:pt idx="354">
                  <c:v>1.7704321207094198E-2</c:v>
                </c:pt>
                <c:pt idx="355">
                  <c:v>1.6670100837381078E-2</c:v>
                </c:pt>
                <c:pt idx="356">
                  <c:v>1.56872572987681E-2</c:v>
                </c:pt>
                <c:pt idx="357">
                  <c:v>1.4753860034118655E-2</c:v>
                </c:pt>
                <c:pt idx="358">
                  <c:v>1.386800995659916E-2</c:v>
                </c:pt>
                <c:pt idx="359">
                  <c:v>1.3027841819719681E-2</c:v>
                </c:pt>
                <c:pt idx="360">
                  <c:v>1.2231526351277954E-2</c:v>
                </c:pt>
                <c:pt idx="361">
                  <c:v>1.1477272158233767E-2</c:v>
                </c:pt>
                <c:pt idx="362">
                  <c:v>1.0763327410007729E-2</c:v>
                </c:pt>
                <c:pt idx="363">
                  <c:v>1.008798130811189E-2</c:v>
                </c:pt>
                <c:pt idx="364">
                  <c:v>9.449565350364706E-3</c:v>
                </c:pt>
                <c:pt idx="365">
                  <c:v>8.8464543982372315E-3</c:v>
                </c:pt>
                <c:pt idx="366">
                  <c:v>8.277067556108476E-3</c:v>
                </c:pt>
                <c:pt idx="367">
                  <c:v>7.739868871391698E-3</c:v>
                </c:pt>
                <c:pt idx="368">
                  <c:v>7.2333678646196676E-3</c:v>
                </c:pt>
                <c:pt idx="369">
                  <c:v>6.7561198986603012E-3</c:v>
                </c:pt>
                <c:pt idx="370">
                  <c:v>6.3067263962659102E-3</c:v>
                </c:pt>
                <c:pt idx="371">
                  <c:v>5.883834915153101E-3</c:v>
                </c:pt>
                <c:pt idx="372">
                  <c:v>5.4861390897587908E-3</c:v>
                </c:pt>
                <c:pt idx="373">
                  <c:v>5.1123784487336638E-3</c:v>
                </c:pt>
                <c:pt idx="374">
                  <c:v>4.7613381171109914E-3</c:v>
                </c:pt>
                <c:pt idx="375">
                  <c:v>4.4318484119380075E-3</c:v>
                </c:pt>
                <c:pt idx="376">
                  <c:v>4.1227843399737132E-3</c:v>
                </c:pt>
                <c:pt idx="377">
                  <c:v>3.8330650058511109E-3</c:v>
                </c:pt>
                <c:pt idx="378">
                  <c:v>3.5616529388703441E-3</c:v>
                </c:pt>
                <c:pt idx="379">
                  <c:v>3.3075533463386006E-3</c:v>
                </c:pt>
                <c:pt idx="380">
                  <c:v>3.0698133011047486E-3</c:v>
                </c:pt>
                <c:pt idx="381">
                  <c:v>2.8475208706519421E-3</c:v>
                </c:pt>
                <c:pt idx="382">
                  <c:v>2.6398041948164589E-3</c:v>
                </c:pt>
                <c:pt idx="383">
                  <c:v>2.4458305188934013E-3</c:v>
                </c:pt>
                <c:pt idx="384">
                  <c:v>2.2648051885764847E-3</c:v>
                </c:pt>
                <c:pt idx="385">
                  <c:v>2.0959706128579419E-3</c:v>
                </c:pt>
                <c:pt idx="386">
                  <c:v>1.9386052006913198E-3</c:v>
                </c:pt>
                <c:pt idx="387">
                  <c:v>1.7920222768931717E-3</c:v>
                </c:pt>
                <c:pt idx="388">
                  <c:v>1.6555689824342091E-3</c:v>
                </c:pt>
                <c:pt idx="389">
                  <c:v>1.5286251639451411E-3</c:v>
                </c:pt>
                <c:pt idx="390">
                  <c:v>1.4106022569413861E-3</c:v>
                </c:pt>
                <c:pt idx="391">
                  <c:v>1.3009421669529281E-3</c:v>
                </c:pt>
                <c:pt idx="392">
                  <c:v>1.1991161524345115E-3</c:v>
                </c:pt>
                <c:pt idx="393">
                  <c:v>1.1046237130258364E-3</c:v>
                </c:pt>
                <c:pt idx="394">
                  <c:v>1.0169914864347654E-3</c:v>
                </c:pt>
                <c:pt idx="395">
                  <c:v>9.3577215692747804E-4</c:v>
                </c:pt>
                <c:pt idx="396">
                  <c:v>8.6054337813075866E-4</c:v>
                </c:pt>
                <c:pt idx="397">
                  <c:v>7.9090671258203685E-4</c:v>
                </c:pt>
                <c:pt idx="398">
                  <c:v>7.2648659020460235E-4</c:v>
                </c:pt>
                <c:pt idx="399">
                  <c:v>6.6692928763750108E-4</c:v>
                </c:pt>
                <c:pt idx="400">
                  <c:v>6.1190193011377298E-4</c:v>
                </c:pt>
                <c:pt idx="401">
                  <c:v>5.610915173558204E-4</c:v>
                </c:pt>
                <c:pt idx="402">
                  <c:v>5.1420397474424406E-4</c:v>
                </c:pt>
                <c:pt idx="403">
                  <c:v>4.7096323081532873E-4</c:v>
                </c:pt>
                <c:pt idx="404">
                  <c:v>4.3111032195367678E-4</c:v>
                </c:pt>
                <c:pt idx="405">
                  <c:v>3.9440252496915552E-4</c:v>
                </c:pt>
                <c:pt idx="406">
                  <c:v>3.6061251808220806E-4</c:v>
                </c:pt>
                <c:pt idx="407">
                  <c:v>3.2952757068762842E-4</c:v>
                </c:pt>
                <c:pt idx="408">
                  <c:v>3.0094876212471999E-4</c:v>
                </c:pt>
                <c:pt idx="409">
                  <c:v>2.746902295503147E-4</c:v>
                </c:pt>
                <c:pt idx="410">
                  <c:v>2.5057844489086075E-4</c:v>
                </c:pt>
                <c:pt idx="411">
                  <c:v>2.2845152073967183E-4</c:v>
                </c:pt>
                <c:pt idx="412">
                  <c:v>2.0815854496572918E-4</c:v>
                </c:pt>
                <c:pt idx="413">
                  <c:v>1.8955894371021248E-4</c:v>
                </c:pt>
                <c:pt idx="414">
                  <c:v>1.7252187236626288E-4</c:v>
                </c:pt>
                <c:pt idx="415">
                  <c:v>1.5692563406553169E-4</c:v>
                </c:pt>
                <c:pt idx="416">
                  <c:v>1.4265712513176652E-4</c:v>
                </c:pt>
                <c:pt idx="417">
                  <c:v>1.2961130690625436E-4</c:v>
                </c:pt>
                <c:pt idx="418">
                  <c:v>1.1769070330224524E-4</c:v>
                </c:pt>
                <c:pt idx="419">
                  <c:v>1.0680492340481808E-4</c:v>
                </c:pt>
                <c:pt idx="420">
                  <c:v>9.687020839871926E-5</c:v>
                </c:pt>
                <c:pt idx="421">
                  <c:v>8.7809002079064554E-5</c:v>
                </c:pt>
                <c:pt idx="422">
                  <c:v>7.9549544177881284E-5</c:v>
                </c:pt>
                <c:pt idx="423">
                  <c:v>7.2025485723041421E-5</c:v>
                </c:pt>
                <c:pt idx="424">
                  <c:v>6.5175525634586447E-5</c:v>
                </c:pt>
                <c:pt idx="425">
                  <c:v>5.8943067756540058E-5</c:v>
                </c:pt>
                <c:pt idx="426">
                  <c:v>5.3275897519493968E-5</c:v>
                </c:pt>
                <c:pt idx="427">
                  <c:v>4.8125877430297145E-5</c:v>
                </c:pt>
                <c:pt idx="428">
                  <c:v>4.3448660589589352E-5</c:v>
                </c:pt>
                <c:pt idx="429">
                  <c:v>3.9203421445463147E-5</c:v>
                </c:pt>
                <c:pt idx="430">
                  <c:v>3.5352603001773097E-5</c:v>
                </c:pt>
                <c:pt idx="431">
                  <c:v>3.1861679712324632E-5</c:v>
                </c:pt>
                <c:pt idx="432">
                  <c:v>2.8698935306977618E-5</c:v>
                </c:pt>
                <c:pt idx="433">
                  <c:v>2.5835254812390093E-5</c:v>
                </c:pt>
                <c:pt idx="434">
                  <c:v>2.3243930048373714E-5</c:v>
                </c:pt>
                <c:pt idx="435">
                  <c:v>2.0900477900450482E-5</c:v>
                </c:pt>
                <c:pt idx="436">
                  <c:v>1.8782470689901945E-5</c:v>
                </c:pt>
                <c:pt idx="437">
                  <c:v>1.6869377984230626E-5</c:v>
                </c:pt>
                <c:pt idx="438">
                  <c:v>1.5142419213261371E-5</c:v>
                </c:pt>
                <c:pt idx="439">
                  <c:v>1.3584426478963919E-5</c:v>
                </c:pt>
                <c:pt idx="440">
                  <c:v>1.2179716970268655E-5</c:v>
                </c:pt>
                <c:pt idx="441">
                  <c:v>1.0913974417565564E-5</c:v>
                </c:pt>
                <c:pt idx="442">
                  <c:v>9.7741390450493509E-6</c:v>
                </c:pt>
                <c:pt idx="443">
                  <c:v>8.7483055025099134E-6</c:v>
                </c:pt>
                <c:pt idx="444">
                  <c:v>7.8256282814302102E-6</c:v>
                </c:pt>
                <c:pt idx="445">
                  <c:v>6.996234143270405E-6</c:v>
                </c:pt>
                <c:pt idx="446">
                  <c:v>6.2511411104785215E-6</c:v>
                </c:pt>
                <c:pt idx="447">
                  <c:v>5.5821835930201659E-6</c:v>
                </c:pt>
                <c:pt idx="448">
                  <c:v>4.9819432449787756E-6</c:v>
                </c:pt>
                <c:pt idx="449">
                  <c:v>4.443685167005601E-6</c:v>
                </c:pt>
                <c:pt idx="450">
                  <c:v>3.9612990910320609E-6</c:v>
                </c:pt>
                <c:pt idx="451">
                  <c:v>3.5292452036728565E-6</c:v>
                </c:pt>
                <c:pt idx="452">
                  <c:v>3.1425042841019365E-6</c:v>
                </c:pt>
                <c:pt idx="453">
                  <c:v>2.7965318508624735E-6</c:v>
                </c:pt>
                <c:pt idx="454">
                  <c:v>2.4872160300486709E-6</c:v>
                </c:pt>
                <c:pt idx="455">
                  <c:v>2.2108388745684212E-6</c:v>
                </c:pt>
                <c:pt idx="456">
                  <c:v>1.9640408807463227E-6</c:v>
                </c:pt>
                <c:pt idx="457">
                  <c:v>1.7437884643617589E-6</c:v>
                </c:pt>
                <c:pt idx="458">
                  <c:v>1.5473441733317354E-6</c:v>
                </c:pt>
                <c:pt idx="459">
                  <c:v>1.3722394286545041E-6</c:v>
                </c:pt>
                <c:pt idx="460">
                  <c:v>1.2162495989313246E-6</c:v>
                </c:pt>
                <c:pt idx="461">
                  <c:v>1.0773712267960586E-6</c:v>
                </c:pt>
                <c:pt idx="462">
                  <c:v>9.5380123791647633E-7</c:v>
                </c:pt>
                <c:pt idx="463">
                  <c:v>8.4391797490514879E-7</c:v>
                </c:pt>
                <c:pt idx="464">
                  <c:v>7.4626390950944681E-7</c:v>
                </c:pt>
                <c:pt idx="465">
                  <c:v>6.5952989685752167E-7</c:v>
                </c:pt>
                <c:pt idx="466">
                  <c:v>5.8254084534283518E-7</c:v>
                </c:pt>
                <c:pt idx="467">
                  <c:v>5.1424268495308647E-7</c:v>
                </c:pt>
                <c:pt idx="468">
                  <c:v>4.5369052551441447E-7</c:v>
                </c:pt>
                <c:pt idx="469">
                  <c:v>4.0003790444932249E-7</c:v>
                </c:pt>
                <c:pt idx="470">
                  <c:v>3.5252703126140567E-7</c:v>
                </c:pt>
                <c:pt idx="471">
                  <c:v>3.104799430831489E-7</c:v>
                </c:pt>
                <c:pt idx="472">
                  <c:v>2.7329049227913364E-7</c:v>
                </c:pt>
                <c:pt idx="473">
                  <c:v>2.4041709330746573E-7</c:v>
                </c:pt>
                <c:pt idx="474">
                  <c:v>2.1137616183074136E-7</c:v>
                </c:pt>
                <c:pt idx="475">
                  <c:v>1.8573618445552897E-7</c:v>
                </c:pt>
                <c:pt idx="476">
                  <c:v>1.6311236248861543E-7</c:v>
                </c:pt>
                <c:pt idx="477">
                  <c:v>1.4316177774957213E-7</c:v>
                </c:pt>
                <c:pt idx="478">
                  <c:v>1.2557903279356918E-7</c:v>
                </c:pt>
                <c:pt idx="479">
                  <c:v>1.1009232189518106E-7</c:v>
                </c:pt>
                <c:pt idx="480">
                  <c:v>9.6459892842733842E-8</c:v>
                </c:pt>
                <c:pt idx="481">
                  <c:v>8.4466863011587931E-8</c:v>
                </c:pt>
                <c:pt idx="482">
                  <c:v>7.3922356341658018E-8</c:v>
                </c:pt>
                <c:pt idx="483">
                  <c:v>6.4656930756044859E-8</c:v>
                </c:pt>
                <c:pt idx="484">
                  <c:v>5.6520268240340859E-8</c:v>
                </c:pt>
                <c:pt idx="485">
                  <c:v>4.9379102271104225E-8</c:v>
                </c:pt>
                <c:pt idx="486">
                  <c:v>4.3115359552033492E-8</c:v>
                </c:pt>
                <c:pt idx="487">
                  <c:v>3.7624495101197867E-8</c:v>
                </c:pt>
                <c:pt idx="488">
                  <c:v>3.2814001645590985E-8</c:v>
                </c:pt>
                <c:pt idx="489">
                  <c:v>2.8602076032539976E-8</c:v>
                </c:pt>
                <c:pt idx="490">
                  <c:v>2.4916426972950989E-8</c:v>
                </c:pt>
                <c:pt idx="491">
                  <c:v>2.1693209899897903E-8</c:v>
                </c:pt>
                <c:pt idx="492">
                  <c:v>1.8876076068122808E-8</c:v>
                </c:pt>
                <c:pt idx="493">
                  <c:v>1.6415324245220292E-8</c:v>
                </c:pt>
                <c:pt idx="494">
                  <c:v>1.4267144462795874E-8</c:v>
                </c:pt>
                <c:pt idx="495">
                  <c:v>1.239294431415004E-8</c:v>
                </c:pt>
                <c:pt idx="496">
                  <c:v>1.0758749212031231E-8</c:v>
                </c:pt>
                <c:pt idx="497">
                  <c:v>9.3346688630663104E-9</c:v>
                </c:pt>
                <c:pt idx="498">
                  <c:v>8.094422981541427E-9</c:v>
                </c:pt>
                <c:pt idx="499">
                  <c:v>7.0149199606205826E-9</c:v>
                </c:pt>
                <c:pt idx="500">
                  <c:v>6.0758828498232861E-9</c:v>
                </c:pt>
              </c:numCache>
            </c:numRef>
          </c:yVal>
          <c:smooth val="0"/>
        </c:ser>
        <c:ser>
          <c:idx val="2"/>
          <c:order val="1"/>
          <c:tx>
            <c:v>random sample (x)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'Fig 1 - single value test'!$I$100</c:f>
              <c:numCache>
                <c:formatCode>General</c:formatCode>
                <c:ptCount val="1"/>
                <c:pt idx="0">
                  <c:v>8.387985011316984E-2</c:v>
                </c:pt>
              </c:numCache>
            </c:numRef>
          </c:xVal>
          <c:yVal>
            <c:numRef>
              <c:f>'Fig 1 - single value test'!$I$101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0064"/>
        <c:axId val="41241984"/>
      </c:scatterChart>
      <c:valAx>
        <c:axId val="41240064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out"/>
        <c:minorTickMark val="out"/>
        <c:tickLblPos val="nextTo"/>
        <c:crossAx val="41241984"/>
        <c:crosses val="autoZero"/>
        <c:crossBetween val="midCat"/>
        <c:majorUnit val="1"/>
        <c:minorUnit val="0.2"/>
      </c:valAx>
      <c:valAx>
        <c:axId val="41241984"/>
        <c:scaling>
          <c:orientation val="minMax"/>
          <c:max val="0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41240064"/>
        <c:crossesAt val="4"/>
        <c:crossBetween val="midCat"/>
      </c:valAx>
      <c:valAx>
        <c:axId val="41272448"/>
        <c:scaling>
          <c:orientation val="minMax"/>
          <c:max val="0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41273984"/>
        <c:crossesAt val="1"/>
        <c:crossBetween val="midCat"/>
      </c:valAx>
      <c:catAx>
        <c:axId val="41273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72448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2"/>
          <c:tx>
            <c:v>P(|X| &gt;= |x|)</c:v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cat>
            <c:numRef>
              <c:f>'Fig 1 - single value test'!$D$101:$D$201</c:f>
              <c:numCache>
                <c:formatCode>General</c:formatCode>
                <c:ptCount val="1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-5.4240000000000004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-4.6080000000000005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-4.3440000000000003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-3.7440000000000002</c:v>
                </c:pt>
                <c:pt idx="95">
                  <c:v>-3.72</c:v>
                </c:pt>
                <c:pt idx="96">
                  <c:v>-3.6960000000000002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</c:numCache>
            </c:numRef>
          </c:cat>
          <c:val>
            <c:numRef>
              <c:f>'Fig 1 - single value test'!$N$101:$N$601</c:f>
              <c:numCache>
                <c:formatCode>General</c:formatCode>
                <c:ptCount val="501"/>
                <c:pt idx="0">
                  <c:v>6.0758828498232861E-9</c:v>
                </c:pt>
                <c:pt idx="1">
                  <c:v>7.014919960620633E-9</c:v>
                </c:pt>
                <c:pt idx="2">
                  <c:v>8.094422981541427E-9</c:v>
                </c:pt>
                <c:pt idx="3">
                  <c:v>9.3346688630663452E-9</c:v>
                </c:pt>
                <c:pt idx="4">
                  <c:v>1.0758749212031231E-8</c:v>
                </c:pt>
                <c:pt idx="5">
                  <c:v>1.239294431415013E-8</c:v>
                </c:pt>
                <c:pt idx="6">
                  <c:v>1.4267144462795874E-8</c:v>
                </c:pt>
                <c:pt idx="7">
                  <c:v>1.6415324245220411E-8</c:v>
                </c:pt>
                <c:pt idx="8">
                  <c:v>1.8876076068122808E-8</c:v>
                </c:pt>
                <c:pt idx="9">
                  <c:v>2.1693209899897982E-8</c:v>
                </c:pt>
                <c:pt idx="10">
                  <c:v>2.4916426972950989E-8</c:v>
                </c:pt>
                <c:pt idx="11">
                  <c:v>2.8602076032540175E-8</c:v>
                </c:pt>
                <c:pt idx="12">
                  <c:v>3.2814001645590985E-8</c:v>
                </c:pt>
                <c:pt idx="13">
                  <c:v>3.7624495101197993E-8</c:v>
                </c:pt>
                <c:pt idx="14">
                  <c:v>4.3115359552033492E-8</c:v>
                </c:pt>
                <c:pt idx="15">
                  <c:v>4.937910227110449E-8</c:v>
                </c:pt>
                <c:pt idx="16">
                  <c:v>5.6520268240340859E-8</c:v>
                </c:pt>
                <c:pt idx="17">
                  <c:v>6.465693075604519E-8</c:v>
                </c:pt>
                <c:pt idx="18">
                  <c:v>7.3922356341658018E-8</c:v>
                </c:pt>
                <c:pt idx="19">
                  <c:v>8.4466863011588381E-8</c:v>
                </c:pt>
                <c:pt idx="20">
                  <c:v>9.6459892842733842E-8</c:v>
                </c:pt>
                <c:pt idx="21">
                  <c:v>1.1009232189518106E-7</c:v>
                </c:pt>
                <c:pt idx="22">
                  <c:v>1.2557903279356918E-7</c:v>
                </c:pt>
                <c:pt idx="23">
                  <c:v>1.4316177774957213E-7</c:v>
                </c:pt>
                <c:pt idx="24">
                  <c:v>1.6311236248861487E-7</c:v>
                </c:pt>
                <c:pt idx="25">
                  <c:v>1.8573618445552897E-7</c:v>
                </c:pt>
                <c:pt idx="26">
                  <c:v>2.1137616183074064E-7</c:v>
                </c:pt>
                <c:pt idx="27">
                  <c:v>2.4041709330746573E-7</c:v>
                </c:pt>
                <c:pt idx="28">
                  <c:v>2.7329049227913221E-7</c:v>
                </c:pt>
                <c:pt idx="29">
                  <c:v>3.104799430831489E-7</c:v>
                </c:pt>
                <c:pt idx="30">
                  <c:v>3.5252703126140381E-7</c:v>
                </c:pt>
                <c:pt idx="31">
                  <c:v>4.0003790444932249E-7</c:v>
                </c:pt>
                <c:pt idx="32">
                  <c:v>4.5369052551441214E-7</c:v>
                </c:pt>
                <c:pt idx="33">
                  <c:v>5.1424268495308647E-7</c:v>
                </c:pt>
                <c:pt idx="34">
                  <c:v>5.8254084534283306E-7</c:v>
                </c:pt>
                <c:pt idx="35">
                  <c:v>6.5952989685752167E-7</c:v>
                </c:pt>
                <c:pt idx="36">
                  <c:v>7.4626390950944278E-7</c:v>
                </c:pt>
                <c:pt idx="37">
                  <c:v>8.4391797490514879E-7</c:v>
                </c:pt>
                <c:pt idx="38">
                  <c:v>9.5380123791647124E-7</c:v>
                </c:pt>
                <c:pt idx="39">
                  <c:v>1.0773712267960586E-6</c:v>
                </c:pt>
                <c:pt idx="40">
                  <c:v>1.216249598931318E-6</c:v>
                </c:pt>
                <c:pt idx="41">
                  <c:v>1.3722394286545041E-6</c:v>
                </c:pt>
                <c:pt idx="42">
                  <c:v>1.5473441733317411E-6</c:v>
                </c:pt>
                <c:pt idx="43">
                  <c:v>1.7437884643617589E-6</c:v>
                </c:pt>
                <c:pt idx="44">
                  <c:v>1.9640408807463332E-6</c:v>
                </c:pt>
                <c:pt idx="45">
                  <c:v>2.2108388745684212E-6</c:v>
                </c:pt>
                <c:pt idx="46">
                  <c:v>2.4872160300486798E-6</c:v>
                </c:pt>
                <c:pt idx="47">
                  <c:v>2.7965318508624735E-6</c:v>
                </c:pt>
                <c:pt idx="48">
                  <c:v>3.1425042841019479E-6</c:v>
                </c:pt>
                <c:pt idx="49">
                  <c:v>3.5292452036728565E-6</c:v>
                </c:pt>
                <c:pt idx="50">
                  <c:v>3.9612990910320753E-6</c:v>
                </c:pt>
                <c:pt idx="51">
                  <c:v>4.443685167005601E-6</c:v>
                </c:pt>
                <c:pt idx="52">
                  <c:v>4.9819432449787926E-6</c:v>
                </c:pt>
                <c:pt idx="53">
                  <c:v>5.5821835930201659E-6</c:v>
                </c:pt>
                <c:pt idx="54">
                  <c:v>6.2511411104785546E-6</c:v>
                </c:pt>
                <c:pt idx="55">
                  <c:v>6.996234143270405E-6</c:v>
                </c:pt>
                <c:pt idx="56">
                  <c:v>7.825628281430239E-6</c:v>
                </c:pt>
                <c:pt idx="57">
                  <c:v>8.7483055025099134E-6</c:v>
                </c:pt>
                <c:pt idx="58">
                  <c:v>9.7741390450493509E-6</c:v>
                </c:pt>
                <c:pt idx="59">
                  <c:v>1.0913974417565564E-5</c:v>
                </c:pt>
                <c:pt idx="60">
                  <c:v>1.2179716970268655E-5</c:v>
                </c:pt>
                <c:pt idx="61">
                  <c:v>1.3584426478963919E-5</c:v>
                </c:pt>
                <c:pt idx="62">
                  <c:v>1.5142419213261371E-5</c:v>
                </c:pt>
                <c:pt idx="63">
                  <c:v>1.6869377984230626E-5</c:v>
                </c:pt>
                <c:pt idx="64">
                  <c:v>1.8782470689901945E-5</c:v>
                </c:pt>
                <c:pt idx="65">
                  <c:v>2.0900477900450482E-5</c:v>
                </c:pt>
                <c:pt idx="66">
                  <c:v>2.3243930048373714E-5</c:v>
                </c:pt>
                <c:pt idx="67">
                  <c:v>2.5835254812390093E-5</c:v>
                </c:pt>
                <c:pt idx="68">
                  <c:v>2.8698935306977618E-5</c:v>
                </c:pt>
                <c:pt idx="69">
                  <c:v>3.1861679712324516E-5</c:v>
                </c:pt>
                <c:pt idx="70">
                  <c:v>3.5352603001773097E-5</c:v>
                </c:pt>
                <c:pt idx="71">
                  <c:v>3.9203421445463005E-5</c:v>
                </c:pt>
                <c:pt idx="72">
                  <c:v>4.3448660589589352E-5</c:v>
                </c:pt>
                <c:pt idx="73">
                  <c:v>4.8125877430296982E-5</c:v>
                </c:pt>
                <c:pt idx="74">
                  <c:v>5.3275897519493968E-5</c:v>
                </c:pt>
                <c:pt idx="75">
                  <c:v>5.8943067756539855E-5</c:v>
                </c:pt>
                <c:pt idx="76">
                  <c:v>6.5175525634586447E-5</c:v>
                </c:pt>
                <c:pt idx="77">
                  <c:v>7.2025485723041163E-5</c:v>
                </c:pt>
                <c:pt idx="78">
                  <c:v>7.9549544177881284E-5</c:v>
                </c:pt>
                <c:pt idx="79">
                  <c:v>8.7809002079064242E-5</c:v>
                </c:pt>
                <c:pt idx="80">
                  <c:v>9.687020839871926E-5</c:v>
                </c:pt>
                <c:pt idx="81">
                  <c:v>1.0680492340481771E-4</c:v>
                </c:pt>
                <c:pt idx="82">
                  <c:v>1.1769070330224524E-4</c:v>
                </c:pt>
                <c:pt idx="83">
                  <c:v>1.296113069062539E-4</c:v>
                </c:pt>
                <c:pt idx="84">
                  <c:v>1.4265712513176652E-4</c:v>
                </c:pt>
                <c:pt idx="85">
                  <c:v>1.5692563406553226E-4</c:v>
                </c:pt>
                <c:pt idx="86">
                  <c:v>1.7252187236626288E-4</c:v>
                </c:pt>
                <c:pt idx="87">
                  <c:v>1.8955894371021315E-4</c:v>
                </c:pt>
                <c:pt idx="88">
                  <c:v>2.0815854496572918E-4</c:v>
                </c:pt>
                <c:pt idx="89">
                  <c:v>2.2845152073967242E-4</c:v>
                </c:pt>
                <c:pt idx="90">
                  <c:v>2.5057844489086075E-4</c:v>
                </c:pt>
                <c:pt idx="91">
                  <c:v>2.7469022955031567E-4</c:v>
                </c:pt>
                <c:pt idx="92">
                  <c:v>3.0094876212471999E-4</c:v>
                </c:pt>
                <c:pt idx="93">
                  <c:v>3.2952757068762962E-4</c:v>
                </c:pt>
                <c:pt idx="94">
                  <c:v>3.6061251808220741E-4</c:v>
                </c:pt>
                <c:pt idx="95">
                  <c:v>3.9440252496915622E-4</c:v>
                </c:pt>
                <c:pt idx="96">
                  <c:v>4.3111032195367602E-4</c:v>
                </c:pt>
                <c:pt idx="97">
                  <c:v>4.7096323081532949E-4</c:v>
                </c:pt>
                <c:pt idx="98">
                  <c:v>5.1420397474424319E-4</c:v>
                </c:pt>
                <c:pt idx="99">
                  <c:v>5.6109151735582138E-4</c:v>
                </c:pt>
                <c:pt idx="100">
                  <c:v>6.119019301137719E-4</c:v>
                </c:pt>
                <c:pt idx="101">
                  <c:v>6.6692928763750227E-4</c:v>
                </c:pt>
                <c:pt idx="102">
                  <c:v>7.2648659020460105E-4</c:v>
                </c:pt>
                <c:pt idx="103">
                  <c:v>7.9090671258203761E-4</c:v>
                </c:pt>
                <c:pt idx="104">
                  <c:v>8.605433781307579E-4</c:v>
                </c:pt>
                <c:pt idx="105">
                  <c:v>9.3577215692747977E-4</c:v>
                </c:pt>
                <c:pt idx="106">
                  <c:v>1.0169914864347645E-3</c:v>
                </c:pt>
                <c:pt idx="107">
                  <c:v>1.1046237130258381E-3</c:v>
                </c:pt>
                <c:pt idx="108">
                  <c:v>1.1991161524345093E-3</c:v>
                </c:pt>
                <c:pt idx="109">
                  <c:v>1.3009421669529307E-3</c:v>
                </c:pt>
                <c:pt idx="110">
                  <c:v>1.4106022569413848E-3</c:v>
                </c:pt>
                <c:pt idx="111">
                  <c:v>1.528625163945144E-3</c:v>
                </c:pt>
                <c:pt idx="112">
                  <c:v>1.6555689824342061E-3</c:v>
                </c:pt>
                <c:pt idx="113">
                  <c:v>1.7920222768931734E-3</c:v>
                </c:pt>
                <c:pt idx="114">
                  <c:v>1.9386052006913181E-3</c:v>
                </c:pt>
                <c:pt idx="115">
                  <c:v>2.0959706128579419E-3</c:v>
                </c:pt>
                <c:pt idx="116">
                  <c:v>2.264805188576479E-3</c:v>
                </c:pt>
                <c:pt idx="117">
                  <c:v>2.4458305188934013E-3</c:v>
                </c:pt>
                <c:pt idx="118">
                  <c:v>2.6398041948164515E-3</c:v>
                </c:pt>
                <c:pt idx="119">
                  <c:v>2.8475208706519421E-3</c:v>
                </c:pt>
                <c:pt idx="120">
                  <c:v>3.0698133011047403E-3</c:v>
                </c:pt>
                <c:pt idx="121">
                  <c:v>3.3075533463386006E-3</c:v>
                </c:pt>
                <c:pt idx="122">
                  <c:v>3.5616529388703346E-3</c:v>
                </c:pt>
                <c:pt idx="123">
                  <c:v>3.8330650058511109E-3</c:v>
                </c:pt>
                <c:pt idx="124">
                  <c:v>4.122784339973702E-3</c:v>
                </c:pt>
                <c:pt idx="125">
                  <c:v>4.4318484119380075E-3</c:v>
                </c:pt>
                <c:pt idx="126">
                  <c:v>4.7613381171110044E-3</c:v>
                </c:pt>
                <c:pt idx="127">
                  <c:v>5.1123784487336638E-3</c:v>
                </c:pt>
                <c:pt idx="128">
                  <c:v>5.4861390897588055E-3</c:v>
                </c:pt>
                <c:pt idx="129">
                  <c:v>5.883834915153101E-3</c:v>
                </c:pt>
                <c:pt idx="130">
                  <c:v>6.3067263962659275E-3</c:v>
                </c:pt>
                <c:pt idx="131">
                  <c:v>6.7561198986603012E-3</c:v>
                </c:pt>
                <c:pt idx="132">
                  <c:v>7.2333678646196876E-3</c:v>
                </c:pt>
                <c:pt idx="133">
                  <c:v>7.739868871391698E-3</c:v>
                </c:pt>
                <c:pt idx="134">
                  <c:v>8.2770675561084951E-3</c:v>
                </c:pt>
                <c:pt idx="135">
                  <c:v>8.8464543982372315E-3</c:v>
                </c:pt>
                <c:pt idx="136">
                  <c:v>9.4495653503647182E-3</c:v>
                </c:pt>
                <c:pt idx="137">
                  <c:v>1.0087981308111881E-2</c:v>
                </c:pt>
                <c:pt idx="138">
                  <c:v>1.0763327410007743E-2</c:v>
                </c:pt>
                <c:pt idx="139">
                  <c:v>1.1477272158233751E-2</c:v>
                </c:pt>
                <c:pt idx="140">
                  <c:v>1.2231526351277971E-2</c:v>
                </c:pt>
                <c:pt idx="141">
                  <c:v>1.3027841819719665E-2</c:v>
                </c:pt>
                <c:pt idx="142">
                  <c:v>1.3868009956599181E-2</c:v>
                </c:pt>
                <c:pt idx="143">
                  <c:v>1.4753860034118634E-2</c:v>
                </c:pt>
                <c:pt idx="144">
                  <c:v>1.5687257298768114E-2</c:v>
                </c:pt>
                <c:pt idx="145">
                  <c:v>1.6670100837381057E-2</c:v>
                </c:pt>
                <c:pt idx="146">
                  <c:v>1.7704321207094212E-2</c:v>
                </c:pt>
                <c:pt idx="147">
                  <c:v>1.8791877822721837E-2</c:v>
                </c:pt>
                <c:pt idx="148">
                  <c:v>1.993475609565365E-2</c:v>
                </c:pt>
                <c:pt idx="149">
                  <c:v>2.1134964319050476E-2</c:v>
                </c:pt>
                <c:pt idx="150">
                  <c:v>2.2394530294842899E-2</c:v>
                </c:pt>
                <c:pt idx="151">
                  <c:v>2.3715497698834857E-2</c:v>
                </c:pt>
                <c:pt idx="152">
                  <c:v>2.5099922181077771E-2</c:v>
                </c:pt>
                <c:pt idx="153">
                  <c:v>2.65498671996088E-2</c:v>
                </c:pt>
                <c:pt idx="154">
                  <c:v>2.8067399586640101E-2</c:v>
                </c:pt>
                <c:pt idx="155">
                  <c:v>2.9654584847341278E-2</c:v>
                </c:pt>
                <c:pt idx="156">
                  <c:v>3.131348219247429E-2</c:v>
                </c:pt>
                <c:pt idx="157">
                  <c:v>3.3046139307314801E-2</c:v>
                </c:pt>
                <c:pt idx="158">
                  <c:v>3.4854586860525415E-2</c:v>
                </c:pt>
                <c:pt idx="159">
                  <c:v>3.6740832757928006E-2</c:v>
                </c:pt>
                <c:pt idx="160">
                  <c:v>3.8706856147455608E-2</c:v>
                </c:pt>
                <c:pt idx="161">
                  <c:v>4.0754601182937548E-2</c:v>
                </c:pt>
                <c:pt idx="162">
                  <c:v>4.2885970555787321E-2</c:v>
                </c:pt>
                <c:pt idx="163">
                  <c:v>4.5102818805110016E-2</c:v>
                </c:pt>
                <c:pt idx="164">
                  <c:v>4.7406945418221713E-2</c:v>
                </c:pt>
                <c:pt idx="165">
                  <c:v>4.9800087735070775E-2</c:v>
                </c:pt>
                <c:pt idx="166">
                  <c:v>5.2283913671562113E-2</c:v>
                </c:pt>
                <c:pt idx="167">
                  <c:v>5.4860014278304732E-2</c:v>
                </c:pt>
                <c:pt idx="168">
                  <c:v>5.7529896152820871E-2</c:v>
                </c:pt>
                <c:pt idx="169">
                  <c:v>6.0294973724765701E-2</c:v>
                </c:pt>
                <c:pt idx="170">
                  <c:v>6.3156561435198655E-2</c:v>
                </c:pt>
                <c:pt idx="171">
                  <c:v>6.6115865832415521E-2</c:v>
                </c:pt>
                <c:pt idx="172">
                  <c:v>6.9173977608282505E-2</c:v>
                </c:pt>
                <c:pt idx="173">
                  <c:v>7.2331863600401836E-2</c:v>
                </c:pt>
                <c:pt idx="174">
                  <c:v>7.5590358786774225E-2</c:v>
                </c:pt>
                <c:pt idx="175">
                  <c:v>7.8950158300894177E-2</c:v>
                </c:pt>
                <c:pt idx="176">
                  <c:v>8.2411809496414523E-2</c:v>
                </c:pt>
                <c:pt idx="177">
                  <c:v>8.5975704091632174E-2</c:v>
                </c:pt>
                <c:pt idx="178">
                  <c:v>8.9642070425072398E-2</c:v>
                </c:pt>
                <c:pt idx="179">
                  <c:v>9.3410965854371211E-2</c:v>
                </c:pt>
                <c:pt idx="180">
                  <c:v>9.7282269331467539E-2</c:v>
                </c:pt>
                <c:pt idx="181">
                  <c:v>0.10125567418780883</c:v>
                </c:pt>
                <c:pt idx="182">
                  <c:v>0.10533068116383558</c:v>
                </c:pt>
                <c:pt idx="183">
                  <c:v>0.1095065917174368</c:v>
                </c:pt>
                <c:pt idx="184">
                  <c:v>0.11378250164634682</c:v>
                </c:pt>
                <c:pt idx="185">
                  <c:v>0.11815729505958236</c:v>
                </c:pt>
                <c:pt idx="186">
                  <c:v>0.12262963873298507</c:v>
                </c:pt>
                <c:pt idx="187">
                  <c:v>0.12719797688373657</c:v>
                </c:pt>
                <c:pt idx="188">
                  <c:v>0.13186052639834273</c:v>
                </c:pt>
                <c:pt idx="189">
                  <c:v>0.1366152725480389</c:v>
                </c:pt>
                <c:pt idx="190">
                  <c:v>0.1414599652248387</c:v>
                </c:pt>
                <c:pt idx="191">
                  <c:v>0.1463921157305455</c:v>
                </c:pt>
                <c:pt idx="192">
                  <c:v>0.15140899414994616</c:v>
                </c:pt>
                <c:pt idx="193">
                  <c:v>0.15650762733813126</c:v>
                </c:pt>
                <c:pt idx="194">
                  <c:v>0.1616847975504194</c:v>
                </c:pt>
                <c:pt idx="195">
                  <c:v>0.16693704174171375</c:v>
                </c:pt>
                <c:pt idx="196">
                  <c:v>0.17226065156028758</c:v>
                </c:pt>
                <c:pt idx="197">
                  <c:v>0.1776516740589851</c:v>
                </c:pt>
                <c:pt idx="198">
                  <c:v>0.18310591314463986</c:v>
                </c:pt>
                <c:pt idx="199">
                  <c:v>0.18861893178415948</c:v>
                </c:pt>
                <c:pt idx="200">
                  <c:v>0.19418605498321292</c:v>
                </c:pt>
                <c:pt idx="201">
                  <c:v>0.19980237355078795</c:v>
                </c:pt>
                <c:pt idx="202">
                  <c:v>0.20546274866007688</c:v>
                </c:pt>
                <c:pt idx="203">
                  <c:v>0.21116181721320312</c:v>
                </c:pt>
                <c:pt idx="204">
                  <c:v>0.21689399801423551</c:v>
                </c:pt>
                <c:pt idx="205">
                  <c:v>0.22265349875176113</c:v>
                </c:pt>
                <c:pt idx="206">
                  <c:v>0.22843432378901604</c:v>
                </c:pt>
                <c:pt idx="207">
                  <c:v>0.23423028275621952</c:v>
                </c:pt>
                <c:pt idx="208">
                  <c:v>0.2400349999363395</c:v>
                </c:pt>
                <c:pt idx="209">
                  <c:v>0.24584192443204717</c:v>
                </c:pt>
                <c:pt idx="210">
                  <c:v>0.25164434109811712</c:v>
                </c:pt>
                <c:pt idx="211">
                  <c:v>0.25743538222001205</c:v>
                </c:pt>
                <c:pt idx="212">
                  <c:v>0.2632080399158771</c:v>
                </c:pt>
                <c:pt idx="213">
                  <c:v>0.26895517923567464</c:v>
                </c:pt>
                <c:pt idx="214">
                  <c:v>0.27466955192773695</c:v>
                </c:pt>
                <c:pt idx="215">
                  <c:v>0.28034381083962062</c:v>
                </c:pt>
                <c:pt idx="216">
                  <c:v>0.28597052491682845</c:v>
                </c:pt>
                <c:pt idx="217">
                  <c:v>0.29154219475974724</c:v>
                </c:pt>
                <c:pt idx="218">
                  <c:v>0.2970512686960452</c:v>
                </c:pt>
                <c:pt idx="219">
                  <c:v>0.30249015932280471</c:v>
                </c:pt>
                <c:pt idx="220">
                  <c:v>0.30785126046985301</c:v>
                </c:pt>
                <c:pt idx="221">
                  <c:v>0.3131269645331039</c:v>
                </c:pt>
                <c:pt idx="222">
                  <c:v>0.3183096801242743</c:v>
                </c:pt>
                <c:pt idx="223">
                  <c:v>0.32339184998107995</c:v>
                </c:pt>
                <c:pt idx="224">
                  <c:v>0.32836596907998766</c:v>
                </c:pt>
                <c:pt idx="225">
                  <c:v>0.33322460289179973</c:v>
                </c:pt>
                <c:pt idx="226">
                  <c:v>0.33796040571879715</c:v>
                </c:pt>
                <c:pt idx="227">
                  <c:v>0.34256613905087624</c:v>
                </c:pt>
                <c:pt idx="228">
                  <c:v>0.34703468987709241</c:v>
                </c:pt>
                <c:pt idx="229">
                  <c:v>0.3513590888882841</c:v>
                </c:pt>
                <c:pt idx="230">
                  <c:v>0.35553252850599704</c:v>
                </c:pt>
                <c:pt idx="231">
                  <c:v>0.35954838067276951</c:v>
                </c:pt>
                <c:pt idx="232">
                  <c:v>0.36340021433897718</c:v>
                </c:pt>
                <c:pt idx="233">
                  <c:v>0.36708181258188249</c:v>
                </c:pt>
                <c:pt idx="234">
                  <c:v>0.3705871892932735</c:v>
                </c:pt>
                <c:pt idx="235">
                  <c:v>0.37391060537312837</c:v>
                </c:pt>
                <c:pt idx="236">
                  <c:v>0.37704658436808808</c:v>
                </c:pt>
                <c:pt idx="237">
                  <c:v>0.37998992749516874</c:v>
                </c:pt>
                <c:pt idx="238">
                  <c:v>0.38273572799307848</c:v>
                </c:pt>
                <c:pt idx="239">
                  <c:v>0.38527938474572759</c:v>
                </c:pt>
                <c:pt idx="240">
                  <c:v>0.38761661512501411</c:v>
                </c:pt>
                <c:pt idx="241">
                  <c:v>0.38974346700272944</c:v>
                </c:pt>
                <c:pt idx="242">
                  <c:v>0.39165632988443705</c:v>
                </c:pt>
                <c:pt idx="243">
                  <c:v>0.39335194512142974</c:v>
                </c:pt>
                <c:pt idx="244">
                  <c:v>0.39482741516033976</c:v>
                </c:pt>
                <c:pt idx="245">
                  <c:v>0.3960802117936561</c:v>
                </c:pt>
                <c:pt idx="246">
                  <c:v>0.39710818337826648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0.39710818337826648</c:v>
                </c:pt>
                <c:pt idx="255">
                  <c:v>0.3960802117936561</c:v>
                </c:pt>
                <c:pt idx="256">
                  <c:v>0.39482741516033976</c:v>
                </c:pt>
                <c:pt idx="257">
                  <c:v>0.39335194512142974</c:v>
                </c:pt>
                <c:pt idx="258">
                  <c:v>0.39165632988443705</c:v>
                </c:pt>
                <c:pt idx="259">
                  <c:v>0.38974346700272944</c:v>
                </c:pt>
                <c:pt idx="260">
                  <c:v>0.38761661512501411</c:v>
                </c:pt>
                <c:pt idx="261">
                  <c:v>0.38527938474572759</c:v>
                </c:pt>
                <c:pt idx="262">
                  <c:v>0.38273572799307848</c:v>
                </c:pt>
                <c:pt idx="263">
                  <c:v>0.37998992749516874</c:v>
                </c:pt>
                <c:pt idx="264">
                  <c:v>0.37704658436808808</c:v>
                </c:pt>
                <c:pt idx="265">
                  <c:v>0.37391060537312837</c:v>
                </c:pt>
                <c:pt idx="266">
                  <c:v>0.3705871892932735</c:v>
                </c:pt>
                <c:pt idx="267">
                  <c:v>0.36708181258188249</c:v>
                </c:pt>
                <c:pt idx="268">
                  <c:v>0.36340021433897718</c:v>
                </c:pt>
                <c:pt idx="269">
                  <c:v>0.35954838067276951</c:v>
                </c:pt>
                <c:pt idx="270">
                  <c:v>0.35553252850599704</c:v>
                </c:pt>
                <c:pt idx="271">
                  <c:v>0.3513590888882841</c:v>
                </c:pt>
                <c:pt idx="272">
                  <c:v>0.34703468987709241</c:v>
                </c:pt>
                <c:pt idx="273">
                  <c:v>0.34256613905087624</c:v>
                </c:pt>
                <c:pt idx="274">
                  <c:v>0.33796040571879715</c:v>
                </c:pt>
                <c:pt idx="275">
                  <c:v>0.33322460289179973</c:v>
                </c:pt>
                <c:pt idx="276">
                  <c:v>0.32836596907998766</c:v>
                </c:pt>
                <c:pt idx="277">
                  <c:v>0.32339184998107995</c:v>
                </c:pt>
                <c:pt idx="278">
                  <c:v>0.3183096801242743</c:v>
                </c:pt>
                <c:pt idx="279">
                  <c:v>0.3131269645331039</c:v>
                </c:pt>
                <c:pt idx="280">
                  <c:v>0.30785126046985301</c:v>
                </c:pt>
                <c:pt idx="281">
                  <c:v>0.30249015932280471</c:v>
                </c:pt>
                <c:pt idx="282">
                  <c:v>0.2970512686960452</c:v>
                </c:pt>
                <c:pt idx="283">
                  <c:v>0.29154219475974724</c:v>
                </c:pt>
                <c:pt idx="284">
                  <c:v>0.28597052491682845</c:v>
                </c:pt>
                <c:pt idx="285">
                  <c:v>0.28034381083962062</c:v>
                </c:pt>
                <c:pt idx="286">
                  <c:v>0.27466955192773695</c:v>
                </c:pt>
                <c:pt idx="287">
                  <c:v>0.26895517923567464</c:v>
                </c:pt>
                <c:pt idx="288">
                  <c:v>0.2632080399158771</c:v>
                </c:pt>
                <c:pt idx="289">
                  <c:v>0.25743538222001205</c:v>
                </c:pt>
                <c:pt idx="290">
                  <c:v>0.25164434109811712</c:v>
                </c:pt>
                <c:pt idx="291">
                  <c:v>0.24584192443204717</c:v>
                </c:pt>
                <c:pt idx="292">
                  <c:v>0.2400349999363395</c:v>
                </c:pt>
                <c:pt idx="293">
                  <c:v>0.23423028275621952</c:v>
                </c:pt>
                <c:pt idx="294">
                  <c:v>0.22843432378901604</c:v>
                </c:pt>
                <c:pt idx="295">
                  <c:v>0.22265349875176113</c:v>
                </c:pt>
                <c:pt idx="296">
                  <c:v>0.21689399801423551</c:v>
                </c:pt>
                <c:pt idx="297">
                  <c:v>0.21116181721320312</c:v>
                </c:pt>
                <c:pt idx="298">
                  <c:v>0.20546274866007688</c:v>
                </c:pt>
                <c:pt idx="299">
                  <c:v>0.19980237355078795</c:v>
                </c:pt>
                <c:pt idx="300">
                  <c:v>0.19418605498321292</c:v>
                </c:pt>
                <c:pt idx="301">
                  <c:v>0.18861893178415948</c:v>
                </c:pt>
                <c:pt idx="302">
                  <c:v>0.18310591314463986</c:v>
                </c:pt>
                <c:pt idx="303">
                  <c:v>0.1776516740589851</c:v>
                </c:pt>
                <c:pt idx="304">
                  <c:v>0.17226065156028758</c:v>
                </c:pt>
                <c:pt idx="305">
                  <c:v>0.16693704174171375</c:v>
                </c:pt>
                <c:pt idx="306">
                  <c:v>0.1616847975504194</c:v>
                </c:pt>
                <c:pt idx="307">
                  <c:v>0.15650762733813126</c:v>
                </c:pt>
                <c:pt idx="308">
                  <c:v>0.15140899414994616</c:v>
                </c:pt>
                <c:pt idx="309">
                  <c:v>0.1463921157305455</c:v>
                </c:pt>
                <c:pt idx="310">
                  <c:v>0.1414599652248387</c:v>
                </c:pt>
                <c:pt idx="311">
                  <c:v>0.1366152725480389</c:v>
                </c:pt>
                <c:pt idx="312">
                  <c:v>0.13186052639834273</c:v>
                </c:pt>
                <c:pt idx="313">
                  <c:v>0.12719797688373657</c:v>
                </c:pt>
                <c:pt idx="314">
                  <c:v>0.12262963873298507</c:v>
                </c:pt>
                <c:pt idx="315">
                  <c:v>0.11815729505958236</c:v>
                </c:pt>
                <c:pt idx="316">
                  <c:v>0.11378250164634682</c:v>
                </c:pt>
                <c:pt idx="317">
                  <c:v>0.1095065917174368</c:v>
                </c:pt>
                <c:pt idx="318">
                  <c:v>0.10533068116383558</c:v>
                </c:pt>
                <c:pt idx="319">
                  <c:v>0.10125567418780883</c:v>
                </c:pt>
                <c:pt idx="320">
                  <c:v>9.7282269331467539E-2</c:v>
                </c:pt>
                <c:pt idx="321">
                  <c:v>9.3410965854371211E-2</c:v>
                </c:pt>
                <c:pt idx="322">
                  <c:v>8.9642070425072398E-2</c:v>
                </c:pt>
                <c:pt idx="323">
                  <c:v>8.5975704091632174E-2</c:v>
                </c:pt>
                <c:pt idx="324">
                  <c:v>8.2411809496414523E-2</c:v>
                </c:pt>
                <c:pt idx="325">
                  <c:v>7.8950158300894177E-2</c:v>
                </c:pt>
                <c:pt idx="326">
                  <c:v>7.5590358786774225E-2</c:v>
                </c:pt>
                <c:pt idx="327">
                  <c:v>7.2331863600401836E-2</c:v>
                </c:pt>
                <c:pt idx="328">
                  <c:v>6.9173977608282505E-2</c:v>
                </c:pt>
                <c:pt idx="329">
                  <c:v>6.6115865832415521E-2</c:v>
                </c:pt>
                <c:pt idx="330">
                  <c:v>6.3156561435198655E-2</c:v>
                </c:pt>
                <c:pt idx="331">
                  <c:v>6.0294973724765701E-2</c:v>
                </c:pt>
                <c:pt idx="332">
                  <c:v>5.7529896152820871E-2</c:v>
                </c:pt>
                <c:pt idx="333">
                  <c:v>5.4860014278304732E-2</c:v>
                </c:pt>
                <c:pt idx="334">
                  <c:v>5.2283913671562113E-2</c:v>
                </c:pt>
                <c:pt idx="335">
                  <c:v>4.9800087735070858E-2</c:v>
                </c:pt>
                <c:pt idx="336">
                  <c:v>4.7406945418221713E-2</c:v>
                </c:pt>
                <c:pt idx="337">
                  <c:v>4.5102818805110099E-2</c:v>
                </c:pt>
                <c:pt idx="338">
                  <c:v>4.2885970555787321E-2</c:v>
                </c:pt>
                <c:pt idx="339">
                  <c:v>4.0754601182937618E-2</c:v>
                </c:pt>
                <c:pt idx="340">
                  <c:v>3.8706856147455608E-2</c:v>
                </c:pt>
                <c:pt idx="341">
                  <c:v>3.6740832757928069E-2</c:v>
                </c:pt>
                <c:pt idx="342">
                  <c:v>3.4854586860525415E-2</c:v>
                </c:pt>
                <c:pt idx="343">
                  <c:v>3.3046139307314877E-2</c:v>
                </c:pt>
                <c:pt idx="344">
                  <c:v>3.1313482192474262E-2</c:v>
                </c:pt>
                <c:pt idx="345">
                  <c:v>2.9654584847341316E-2</c:v>
                </c:pt>
                <c:pt idx="346">
                  <c:v>2.8067399586640077E-2</c:v>
                </c:pt>
                <c:pt idx="347">
                  <c:v>2.6549867199608838E-2</c:v>
                </c:pt>
                <c:pt idx="348">
                  <c:v>2.5099922181077736E-2</c:v>
                </c:pt>
                <c:pt idx="349">
                  <c:v>2.3715497698834888E-2</c:v>
                </c:pt>
                <c:pt idx="350">
                  <c:v>2.2394530294842882E-2</c:v>
                </c:pt>
                <c:pt idx="351">
                  <c:v>2.1134964319050504E-2</c:v>
                </c:pt>
                <c:pt idx="352">
                  <c:v>1.9934756095653629E-2</c:v>
                </c:pt>
                <c:pt idx="353">
                  <c:v>1.8791877822721854E-2</c:v>
                </c:pt>
                <c:pt idx="354">
                  <c:v>1.7704321207094198E-2</c:v>
                </c:pt>
                <c:pt idx="355">
                  <c:v>1.6670100837381078E-2</c:v>
                </c:pt>
                <c:pt idx="356">
                  <c:v>1.56872572987681E-2</c:v>
                </c:pt>
                <c:pt idx="357">
                  <c:v>1.4753860034118655E-2</c:v>
                </c:pt>
                <c:pt idx="358">
                  <c:v>1.386800995659916E-2</c:v>
                </c:pt>
                <c:pt idx="359">
                  <c:v>1.3027841819719681E-2</c:v>
                </c:pt>
                <c:pt idx="360">
                  <c:v>1.2231526351277954E-2</c:v>
                </c:pt>
                <c:pt idx="361">
                  <c:v>1.1477272158233767E-2</c:v>
                </c:pt>
                <c:pt idx="362">
                  <c:v>1.0763327410007729E-2</c:v>
                </c:pt>
                <c:pt idx="363">
                  <c:v>1.008798130811189E-2</c:v>
                </c:pt>
                <c:pt idx="364">
                  <c:v>9.449565350364706E-3</c:v>
                </c:pt>
                <c:pt idx="365">
                  <c:v>8.8464543982372315E-3</c:v>
                </c:pt>
                <c:pt idx="366">
                  <c:v>8.277067556108476E-3</c:v>
                </c:pt>
                <c:pt idx="367">
                  <c:v>7.739868871391698E-3</c:v>
                </c:pt>
                <c:pt idx="368">
                  <c:v>7.2333678646196676E-3</c:v>
                </c:pt>
                <c:pt idx="369">
                  <c:v>6.7561198986603012E-3</c:v>
                </c:pt>
                <c:pt idx="370">
                  <c:v>6.3067263962659102E-3</c:v>
                </c:pt>
                <c:pt idx="371">
                  <c:v>5.883834915153101E-3</c:v>
                </c:pt>
                <c:pt idx="372">
                  <c:v>5.4861390897587908E-3</c:v>
                </c:pt>
                <c:pt idx="373">
                  <c:v>5.1123784487336638E-3</c:v>
                </c:pt>
                <c:pt idx="374">
                  <c:v>4.7613381171109914E-3</c:v>
                </c:pt>
                <c:pt idx="375">
                  <c:v>4.4318484119380075E-3</c:v>
                </c:pt>
                <c:pt idx="376">
                  <c:v>4.1227843399737132E-3</c:v>
                </c:pt>
                <c:pt idx="377">
                  <c:v>3.8330650058511109E-3</c:v>
                </c:pt>
                <c:pt idx="378">
                  <c:v>3.5616529388703441E-3</c:v>
                </c:pt>
                <c:pt idx="379">
                  <c:v>3.3075533463386006E-3</c:v>
                </c:pt>
                <c:pt idx="380">
                  <c:v>3.0698133011047486E-3</c:v>
                </c:pt>
                <c:pt idx="381">
                  <c:v>2.8475208706519421E-3</c:v>
                </c:pt>
                <c:pt idx="382">
                  <c:v>2.6398041948164589E-3</c:v>
                </c:pt>
                <c:pt idx="383">
                  <c:v>2.4458305188934013E-3</c:v>
                </c:pt>
                <c:pt idx="384">
                  <c:v>2.2648051885764847E-3</c:v>
                </c:pt>
                <c:pt idx="385">
                  <c:v>2.0959706128579419E-3</c:v>
                </c:pt>
                <c:pt idx="386">
                  <c:v>1.9386052006913198E-3</c:v>
                </c:pt>
                <c:pt idx="387">
                  <c:v>1.7920222768931717E-3</c:v>
                </c:pt>
                <c:pt idx="388">
                  <c:v>1.6555689824342091E-3</c:v>
                </c:pt>
                <c:pt idx="389">
                  <c:v>1.5286251639451411E-3</c:v>
                </c:pt>
                <c:pt idx="390">
                  <c:v>1.4106022569413861E-3</c:v>
                </c:pt>
                <c:pt idx="391">
                  <c:v>1.3009421669529281E-3</c:v>
                </c:pt>
                <c:pt idx="392">
                  <c:v>1.1991161524345115E-3</c:v>
                </c:pt>
                <c:pt idx="393">
                  <c:v>1.1046237130258364E-3</c:v>
                </c:pt>
                <c:pt idx="394">
                  <c:v>1.0169914864347654E-3</c:v>
                </c:pt>
                <c:pt idx="395">
                  <c:v>9.3577215692747804E-4</c:v>
                </c:pt>
                <c:pt idx="396">
                  <c:v>8.6054337813075866E-4</c:v>
                </c:pt>
                <c:pt idx="397">
                  <c:v>7.9090671258203685E-4</c:v>
                </c:pt>
                <c:pt idx="398">
                  <c:v>7.2648659020460235E-4</c:v>
                </c:pt>
                <c:pt idx="399">
                  <c:v>6.6692928763750108E-4</c:v>
                </c:pt>
                <c:pt idx="400">
                  <c:v>6.1190193011377298E-4</c:v>
                </c:pt>
                <c:pt idx="401">
                  <c:v>5.610915173558204E-4</c:v>
                </c:pt>
                <c:pt idx="402">
                  <c:v>5.1420397474424406E-4</c:v>
                </c:pt>
                <c:pt idx="403">
                  <c:v>4.7096323081532873E-4</c:v>
                </c:pt>
                <c:pt idx="404">
                  <c:v>4.3111032195367678E-4</c:v>
                </c:pt>
                <c:pt idx="405">
                  <c:v>3.9440252496915552E-4</c:v>
                </c:pt>
                <c:pt idx="406">
                  <c:v>3.6061251808220806E-4</c:v>
                </c:pt>
                <c:pt idx="407">
                  <c:v>3.2952757068762842E-4</c:v>
                </c:pt>
                <c:pt idx="408">
                  <c:v>3.0094876212471999E-4</c:v>
                </c:pt>
                <c:pt idx="409">
                  <c:v>2.746902295503147E-4</c:v>
                </c:pt>
                <c:pt idx="410">
                  <c:v>2.5057844489086075E-4</c:v>
                </c:pt>
                <c:pt idx="411">
                  <c:v>2.2845152073967183E-4</c:v>
                </c:pt>
                <c:pt idx="412">
                  <c:v>2.0815854496572918E-4</c:v>
                </c:pt>
                <c:pt idx="413">
                  <c:v>1.8955894371021248E-4</c:v>
                </c:pt>
                <c:pt idx="414">
                  <c:v>1.7252187236626288E-4</c:v>
                </c:pt>
                <c:pt idx="415">
                  <c:v>1.5692563406553169E-4</c:v>
                </c:pt>
                <c:pt idx="416">
                  <c:v>1.4265712513176652E-4</c:v>
                </c:pt>
                <c:pt idx="417">
                  <c:v>1.2961130690625436E-4</c:v>
                </c:pt>
                <c:pt idx="418">
                  <c:v>1.1769070330224524E-4</c:v>
                </c:pt>
                <c:pt idx="419">
                  <c:v>1.0680492340481808E-4</c:v>
                </c:pt>
                <c:pt idx="420">
                  <c:v>9.687020839871926E-5</c:v>
                </c:pt>
                <c:pt idx="421">
                  <c:v>8.7809002079064554E-5</c:v>
                </c:pt>
                <c:pt idx="422">
                  <c:v>7.9549544177881284E-5</c:v>
                </c:pt>
                <c:pt idx="423">
                  <c:v>7.2025485723041421E-5</c:v>
                </c:pt>
                <c:pt idx="424">
                  <c:v>6.5175525634586447E-5</c:v>
                </c:pt>
                <c:pt idx="425">
                  <c:v>5.8943067756540058E-5</c:v>
                </c:pt>
                <c:pt idx="426">
                  <c:v>5.3275897519493968E-5</c:v>
                </c:pt>
                <c:pt idx="427">
                  <c:v>4.8125877430297145E-5</c:v>
                </c:pt>
                <c:pt idx="428">
                  <c:v>4.3448660589589352E-5</c:v>
                </c:pt>
                <c:pt idx="429">
                  <c:v>3.9203421445463147E-5</c:v>
                </c:pt>
                <c:pt idx="430">
                  <c:v>3.5352603001773097E-5</c:v>
                </c:pt>
                <c:pt idx="431">
                  <c:v>3.1861679712324632E-5</c:v>
                </c:pt>
                <c:pt idx="432">
                  <c:v>2.8698935306977618E-5</c:v>
                </c:pt>
                <c:pt idx="433">
                  <c:v>2.5835254812390093E-5</c:v>
                </c:pt>
                <c:pt idx="434">
                  <c:v>2.3243930048373714E-5</c:v>
                </c:pt>
                <c:pt idx="435">
                  <c:v>2.0900477900450482E-5</c:v>
                </c:pt>
                <c:pt idx="436">
                  <c:v>1.8782470689901945E-5</c:v>
                </c:pt>
                <c:pt idx="437">
                  <c:v>1.6869377984230626E-5</c:v>
                </c:pt>
                <c:pt idx="438">
                  <c:v>1.5142419213261371E-5</c:v>
                </c:pt>
                <c:pt idx="439">
                  <c:v>1.3584426478963919E-5</c:v>
                </c:pt>
                <c:pt idx="440">
                  <c:v>1.2179716970268655E-5</c:v>
                </c:pt>
                <c:pt idx="441">
                  <c:v>1.0913974417565564E-5</c:v>
                </c:pt>
                <c:pt idx="442">
                  <c:v>9.7741390450493509E-6</c:v>
                </c:pt>
                <c:pt idx="443">
                  <c:v>8.7483055025099134E-6</c:v>
                </c:pt>
                <c:pt idx="444">
                  <c:v>7.8256282814302102E-6</c:v>
                </c:pt>
                <c:pt idx="445">
                  <c:v>6.996234143270405E-6</c:v>
                </c:pt>
                <c:pt idx="446">
                  <c:v>6.2511411104785215E-6</c:v>
                </c:pt>
                <c:pt idx="447">
                  <c:v>5.5821835930201659E-6</c:v>
                </c:pt>
                <c:pt idx="448">
                  <c:v>4.9819432449787756E-6</c:v>
                </c:pt>
                <c:pt idx="449">
                  <c:v>4.443685167005601E-6</c:v>
                </c:pt>
                <c:pt idx="450">
                  <c:v>3.9612990910320609E-6</c:v>
                </c:pt>
                <c:pt idx="451">
                  <c:v>3.5292452036728565E-6</c:v>
                </c:pt>
                <c:pt idx="452">
                  <c:v>3.1425042841019365E-6</c:v>
                </c:pt>
                <c:pt idx="453">
                  <c:v>2.7965318508624735E-6</c:v>
                </c:pt>
                <c:pt idx="454">
                  <c:v>2.4872160300486709E-6</c:v>
                </c:pt>
                <c:pt idx="455">
                  <c:v>2.2108388745684212E-6</c:v>
                </c:pt>
                <c:pt idx="456">
                  <c:v>1.9640408807463227E-6</c:v>
                </c:pt>
                <c:pt idx="457">
                  <c:v>1.7437884643617589E-6</c:v>
                </c:pt>
                <c:pt idx="458">
                  <c:v>1.5473441733317354E-6</c:v>
                </c:pt>
                <c:pt idx="459">
                  <c:v>1.3722394286545041E-6</c:v>
                </c:pt>
                <c:pt idx="460">
                  <c:v>1.2162495989313246E-6</c:v>
                </c:pt>
                <c:pt idx="461">
                  <c:v>1.0773712267960586E-6</c:v>
                </c:pt>
                <c:pt idx="462">
                  <c:v>9.5380123791647633E-7</c:v>
                </c:pt>
                <c:pt idx="463">
                  <c:v>8.4391797490514879E-7</c:v>
                </c:pt>
                <c:pt idx="464">
                  <c:v>7.4626390950944681E-7</c:v>
                </c:pt>
                <c:pt idx="465">
                  <c:v>6.5952989685752167E-7</c:v>
                </c:pt>
                <c:pt idx="466">
                  <c:v>5.8254084534283518E-7</c:v>
                </c:pt>
                <c:pt idx="467">
                  <c:v>5.1424268495308647E-7</c:v>
                </c:pt>
                <c:pt idx="468">
                  <c:v>4.5369052551441447E-7</c:v>
                </c:pt>
                <c:pt idx="469">
                  <c:v>4.0003790444932249E-7</c:v>
                </c:pt>
                <c:pt idx="470">
                  <c:v>3.5252703126140567E-7</c:v>
                </c:pt>
                <c:pt idx="471">
                  <c:v>3.104799430831489E-7</c:v>
                </c:pt>
                <c:pt idx="472">
                  <c:v>2.7329049227913364E-7</c:v>
                </c:pt>
                <c:pt idx="473">
                  <c:v>2.4041709330746573E-7</c:v>
                </c:pt>
                <c:pt idx="474">
                  <c:v>2.1137616183074136E-7</c:v>
                </c:pt>
                <c:pt idx="475">
                  <c:v>1.8573618445552897E-7</c:v>
                </c:pt>
                <c:pt idx="476">
                  <c:v>1.6311236248861543E-7</c:v>
                </c:pt>
                <c:pt idx="477">
                  <c:v>1.4316177774957213E-7</c:v>
                </c:pt>
                <c:pt idx="478">
                  <c:v>1.2557903279356918E-7</c:v>
                </c:pt>
                <c:pt idx="479">
                  <c:v>1.1009232189518106E-7</c:v>
                </c:pt>
                <c:pt idx="480">
                  <c:v>9.6459892842733842E-8</c:v>
                </c:pt>
                <c:pt idx="481">
                  <c:v>8.4466863011587931E-8</c:v>
                </c:pt>
                <c:pt idx="482">
                  <c:v>7.3922356341658018E-8</c:v>
                </c:pt>
                <c:pt idx="483">
                  <c:v>6.4656930756044859E-8</c:v>
                </c:pt>
                <c:pt idx="484">
                  <c:v>5.6520268240340859E-8</c:v>
                </c:pt>
                <c:pt idx="485">
                  <c:v>4.9379102271104225E-8</c:v>
                </c:pt>
                <c:pt idx="486">
                  <c:v>4.3115359552033492E-8</c:v>
                </c:pt>
                <c:pt idx="487">
                  <c:v>3.7624495101197867E-8</c:v>
                </c:pt>
                <c:pt idx="488">
                  <c:v>3.2814001645590985E-8</c:v>
                </c:pt>
                <c:pt idx="489">
                  <c:v>2.8602076032539976E-8</c:v>
                </c:pt>
                <c:pt idx="490">
                  <c:v>2.4916426972950989E-8</c:v>
                </c:pt>
                <c:pt idx="491">
                  <c:v>2.1693209899897903E-8</c:v>
                </c:pt>
                <c:pt idx="492">
                  <c:v>1.8876076068122808E-8</c:v>
                </c:pt>
                <c:pt idx="493">
                  <c:v>1.6415324245220292E-8</c:v>
                </c:pt>
                <c:pt idx="494">
                  <c:v>1.4267144462795874E-8</c:v>
                </c:pt>
                <c:pt idx="495">
                  <c:v>1.239294431415004E-8</c:v>
                </c:pt>
                <c:pt idx="496">
                  <c:v>1.0758749212031231E-8</c:v>
                </c:pt>
                <c:pt idx="497">
                  <c:v>9.3346688630663104E-9</c:v>
                </c:pt>
                <c:pt idx="498">
                  <c:v>8.094422981541427E-9</c:v>
                </c:pt>
                <c:pt idx="499">
                  <c:v>7.0149199606205826E-9</c:v>
                </c:pt>
                <c:pt idx="500">
                  <c:v>6.0758828498232861E-9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01600"/>
        <c:axId val="41800064"/>
      </c:areaChart>
      <c:scatterChart>
        <c:scatterStyle val="lineMarker"/>
        <c:varyColors val="0"/>
        <c:ser>
          <c:idx val="0"/>
          <c:order val="0"/>
          <c:tx>
            <c:v>H0</c:v>
          </c:tx>
          <c:spPr>
            <a:ln w="25400">
              <a:solidFill>
                <a:schemeClr val="tx1"/>
              </a:solidFill>
            </a:ln>
            <a:effectLst/>
          </c:spPr>
          <c:marker>
            <c:symbol val="none"/>
          </c:marker>
          <c:xVal>
            <c:numRef>
              <c:f>'Fig 1 - single value test'!$D$101:$D$601</c:f>
              <c:numCache>
                <c:formatCode>General</c:formatCode>
                <c:ptCount val="5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-5.4240000000000004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-4.6080000000000005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-4.3440000000000003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-3.7440000000000002</c:v>
                </c:pt>
                <c:pt idx="95">
                  <c:v>-3.72</c:v>
                </c:pt>
                <c:pt idx="96">
                  <c:v>-3.6960000000000002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  <c:pt idx="101">
                  <c:v>-3.5760000000000001</c:v>
                </c:pt>
                <c:pt idx="102">
                  <c:v>-3.552</c:v>
                </c:pt>
                <c:pt idx="103">
                  <c:v>-3.528</c:v>
                </c:pt>
                <c:pt idx="104">
                  <c:v>-3.504</c:v>
                </c:pt>
                <c:pt idx="105">
                  <c:v>-3.48</c:v>
                </c:pt>
                <c:pt idx="106">
                  <c:v>-3.456</c:v>
                </c:pt>
                <c:pt idx="107">
                  <c:v>-3.4319999999999999</c:v>
                </c:pt>
                <c:pt idx="108">
                  <c:v>-3.4079999999999999</c:v>
                </c:pt>
                <c:pt idx="109">
                  <c:v>-3.3839999999999999</c:v>
                </c:pt>
                <c:pt idx="110">
                  <c:v>-3.36</c:v>
                </c:pt>
                <c:pt idx="111">
                  <c:v>-3.3359999999999999</c:v>
                </c:pt>
                <c:pt idx="112">
                  <c:v>-3.3119999999999998</c:v>
                </c:pt>
                <c:pt idx="113">
                  <c:v>-3.2879999999999998</c:v>
                </c:pt>
                <c:pt idx="114">
                  <c:v>-3.2639999999999998</c:v>
                </c:pt>
                <c:pt idx="115">
                  <c:v>-3.24</c:v>
                </c:pt>
                <c:pt idx="116">
                  <c:v>-3.2160000000000002</c:v>
                </c:pt>
                <c:pt idx="117">
                  <c:v>-3.1920000000000002</c:v>
                </c:pt>
                <c:pt idx="118">
                  <c:v>-3.1680000000000001</c:v>
                </c:pt>
                <c:pt idx="119">
                  <c:v>-3.1440000000000001</c:v>
                </c:pt>
                <c:pt idx="120">
                  <c:v>-3.12</c:v>
                </c:pt>
                <c:pt idx="121">
                  <c:v>-3.0960000000000001</c:v>
                </c:pt>
                <c:pt idx="122">
                  <c:v>-3.0720000000000001</c:v>
                </c:pt>
                <c:pt idx="123">
                  <c:v>-3.048</c:v>
                </c:pt>
                <c:pt idx="124">
                  <c:v>-3.024</c:v>
                </c:pt>
                <c:pt idx="125">
                  <c:v>-3</c:v>
                </c:pt>
                <c:pt idx="126">
                  <c:v>-2.976</c:v>
                </c:pt>
                <c:pt idx="127">
                  <c:v>-2.952</c:v>
                </c:pt>
                <c:pt idx="128">
                  <c:v>-2.9279999999999999</c:v>
                </c:pt>
                <c:pt idx="129">
                  <c:v>-2.9039999999999999</c:v>
                </c:pt>
                <c:pt idx="130">
                  <c:v>-2.88</c:v>
                </c:pt>
                <c:pt idx="131">
                  <c:v>-2.8559999999999999</c:v>
                </c:pt>
                <c:pt idx="132">
                  <c:v>-2.8319999999999999</c:v>
                </c:pt>
                <c:pt idx="133">
                  <c:v>-2.8079999999999998</c:v>
                </c:pt>
                <c:pt idx="134">
                  <c:v>-2.7839999999999998</c:v>
                </c:pt>
                <c:pt idx="135">
                  <c:v>-2.76</c:v>
                </c:pt>
                <c:pt idx="136">
                  <c:v>-2.7360000000000002</c:v>
                </c:pt>
                <c:pt idx="137">
                  <c:v>-2.7120000000000002</c:v>
                </c:pt>
                <c:pt idx="138">
                  <c:v>-2.6880000000000002</c:v>
                </c:pt>
                <c:pt idx="139">
                  <c:v>-2.6640000000000001</c:v>
                </c:pt>
                <c:pt idx="140">
                  <c:v>-2.64</c:v>
                </c:pt>
                <c:pt idx="141">
                  <c:v>-2.6160000000000001</c:v>
                </c:pt>
                <c:pt idx="142">
                  <c:v>-2.5920000000000001</c:v>
                </c:pt>
                <c:pt idx="143">
                  <c:v>-2.5680000000000001</c:v>
                </c:pt>
                <c:pt idx="144">
                  <c:v>-2.544</c:v>
                </c:pt>
                <c:pt idx="145">
                  <c:v>-2.52</c:v>
                </c:pt>
                <c:pt idx="146">
                  <c:v>-2.496</c:v>
                </c:pt>
                <c:pt idx="147">
                  <c:v>-2.472</c:v>
                </c:pt>
                <c:pt idx="148">
                  <c:v>-2.448</c:v>
                </c:pt>
                <c:pt idx="149">
                  <c:v>-2.4239999999999999</c:v>
                </c:pt>
                <c:pt idx="150">
                  <c:v>-2.4</c:v>
                </c:pt>
                <c:pt idx="151">
                  <c:v>-2.3759999999999999</c:v>
                </c:pt>
                <c:pt idx="152">
                  <c:v>-2.3519999999999999</c:v>
                </c:pt>
                <c:pt idx="153">
                  <c:v>-2.3279999999999998</c:v>
                </c:pt>
                <c:pt idx="154">
                  <c:v>-2.3039999999999998</c:v>
                </c:pt>
                <c:pt idx="155">
                  <c:v>-2.2799999999999998</c:v>
                </c:pt>
                <c:pt idx="156">
                  <c:v>-2.2559999999999998</c:v>
                </c:pt>
                <c:pt idx="157">
                  <c:v>-2.2320000000000002</c:v>
                </c:pt>
                <c:pt idx="158">
                  <c:v>-2.2080000000000002</c:v>
                </c:pt>
                <c:pt idx="159">
                  <c:v>-2.1840000000000002</c:v>
                </c:pt>
                <c:pt idx="160">
                  <c:v>-2.16</c:v>
                </c:pt>
                <c:pt idx="161">
                  <c:v>-2.1360000000000001</c:v>
                </c:pt>
                <c:pt idx="162">
                  <c:v>-2.1120000000000001</c:v>
                </c:pt>
                <c:pt idx="163">
                  <c:v>-2.0880000000000001</c:v>
                </c:pt>
                <c:pt idx="164">
                  <c:v>-2.0640000000000001</c:v>
                </c:pt>
                <c:pt idx="165">
                  <c:v>-2.04</c:v>
                </c:pt>
                <c:pt idx="166">
                  <c:v>-2.016</c:v>
                </c:pt>
                <c:pt idx="167">
                  <c:v>-1.992</c:v>
                </c:pt>
                <c:pt idx="168">
                  <c:v>-1.968</c:v>
                </c:pt>
                <c:pt idx="169">
                  <c:v>-1.944</c:v>
                </c:pt>
                <c:pt idx="170">
                  <c:v>-1.92</c:v>
                </c:pt>
                <c:pt idx="171">
                  <c:v>-1.8959999999999999</c:v>
                </c:pt>
                <c:pt idx="172">
                  <c:v>-1.8719999999999999</c:v>
                </c:pt>
                <c:pt idx="173">
                  <c:v>-1.8479999999999999</c:v>
                </c:pt>
                <c:pt idx="174">
                  <c:v>-1.8239999999999998</c:v>
                </c:pt>
                <c:pt idx="175">
                  <c:v>-1.7999999999999998</c:v>
                </c:pt>
                <c:pt idx="176">
                  <c:v>-1.7759999999999998</c:v>
                </c:pt>
                <c:pt idx="177">
                  <c:v>-1.7519999999999998</c:v>
                </c:pt>
                <c:pt idx="178">
                  <c:v>-1.7279999999999998</c:v>
                </c:pt>
                <c:pt idx="179">
                  <c:v>-1.7039999999999997</c:v>
                </c:pt>
                <c:pt idx="180">
                  <c:v>-1.6799999999999997</c:v>
                </c:pt>
                <c:pt idx="181">
                  <c:v>-1.6559999999999997</c:v>
                </c:pt>
                <c:pt idx="182">
                  <c:v>-1.6319999999999997</c:v>
                </c:pt>
                <c:pt idx="183">
                  <c:v>-1.6079999999999997</c:v>
                </c:pt>
                <c:pt idx="184">
                  <c:v>-1.5839999999999996</c:v>
                </c:pt>
                <c:pt idx="185">
                  <c:v>-1.5599999999999996</c:v>
                </c:pt>
                <c:pt idx="186">
                  <c:v>-1.5359999999999996</c:v>
                </c:pt>
                <c:pt idx="187">
                  <c:v>-1.5119999999999996</c:v>
                </c:pt>
                <c:pt idx="188">
                  <c:v>-1.4880000000000004</c:v>
                </c:pt>
                <c:pt idx="189">
                  <c:v>-1.4640000000000004</c:v>
                </c:pt>
                <c:pt idx="190">
                  <c:v>-1.4400000000000004</c:v>
                </c:pt>
                <c:pt idx="191">
                  <c:v>-1.4160000000000004</c:v>
                </c:pt>
                <c:pt idx="192">
                  <c:v>-1.3920000000000003</c:v>
                </c:pt>
                <c:pt idx="193">
                  <c:v>-1.3680000000000003</c:v>
                </c:pt>
                <c:pt idx="194">
                  <c:v>-1.3440000000000003</c:v>
                </c:pt>
                <c:pt idx="195">
                  <c:v>-1.3200000000000003</c:v>
                </c:pt>
                <c:pt idx="196">
                  <c:v>-1.2960000000000003</c:v>
                </c:pt>
                <c:pt idx="197">
                  <c:v>-1.2720000000000002</c:v>
                </c:pt>
                <c:pt idx="198">
                  <c:v>-1.2480000000000002</c:v>
                </c:pt>
                <c:pt idx="199">
                  <c:v>-1.2240000000000002</c:v>
                </c:pt>
                <c:pt idx="200">
                  <c:v>-1.2000000000000002</c:v>
                </c:pt>
                <c:pt idx="201">
                  <c:v>-1.1760000000000002</c:v>
                </c:pt>
                <c:pt idx="202">
                  <c:v>-1.1520000000000001</c:v>
                </c:pt>
                <c:pt idx="203">
                  <c:v>-1.1280000000000001</c:v>
                </c:pt>
                <c:pt idx="204">
                  <c:v>-1.1040000000000001</c:v>
                </c:pt>
                <c:pt idx="205">
                  <c:v>-1.08</c:v>
                </c:pt>
                <c:pt idx="206">
                  <c:v>-1.056</c:v>
                </c:pt>
                <c:pt idx="207">
                  <c:v>-1.032</c:v>
                </c:pt>
                <c:pt idx="208">
                  <c:v>-1.008</c:v>
                </c:pt>
                <c:pt idx="209">
                  <c:v>-0.98399999999999999</c:v>
                </c:pt>
                <c:pt idx="210">
                  <c:v>-0.96</c:v>
                </c:pt>
                <c:pt idx="211">
                  <c:v>-0.93599999999999994</c:v>
                </c:pt>
                <c:pt idx="212">
                  <c:v>-0.91199999999999992</c:v>
                </c:pt>
                <c:pt idx="213">
                  <c:v>-0.8879999999999999</c:v>
                </c:pt>
                <c:pt idx="214">
                  <c:v>-0.86399999999999988</c:v>
                </c:pt>
                <c:pt idx="215">
                  <c:v>-0.83999999999999986</c:v>
                </c:pt>
                <c:pt idx="216">
                  <c:v>-0.81599999999999984</c:v>
                </c:pt>
                <c:pt idx="217">
                  <c:v>-0.79199999999999982</c:v>
                </c:pt>
                <c:pt idx="218">
                  <c:v>-0.76799999999999979</c:v>
                </c:pt>
                <c:pt idx="219">
                  <c:v>-0.74399999999999977</c:v>
                </c:pt>
                <c:pt idx="220">
                  <c:v>-0.71999999999999975</c:v>
                </c:pt>
                <c:pt idx="221">
                  <c:v>-0.69599999999999973</c:v>
                </c:pt>
                <c:pt idx="222">
                  <c:v>-0.67199999999999971</c:v>
                </c:pt>
                <c:pt idx="223">
                  <c:v>-0.64799999999999969</c:v>
                </c:pt>
                <c:pt idx="224">
                  <c:v>-0.62399999999999967</c:v>
                </c:pt>
                <c:pt idx="225">
                  <c:v>-0.59999999999999964</c:v>
                </c:pt>
                <c:pt idx="226">
                  <c:v>-0.57599999999999962</c:v>
                </c:pt>
                <c:pt idx="227">
                  <c:v>-0.5519999999999996</c:v>
                </c:pt>
                <c:pt idx="228">
                  <c:v>-0.52799999999999958</c:v>
                </c:pt>
                <c:pt idx="229">
                  <c:v>-0.50399999999999956</c:v>
                </c:pt>
                <c:pt idx="230">
                  <c:v>-0.48000000000000043</c:v>
                </c:pt>
                <c:pt idx="231">
                  <c:v>-0.45600000000000041</c:v>
                </c:pt>
                <c:pt idx="232">
                  <c:v>-0.43200000000000038</c:v>
                </c:pt>
                <c:pt idx="233">
                  <c:v>-0.40800000000000036</c:v>
                </c:pt>
                <c:pt idx="234">
                  <c:v>-0.38400000000000034</c:v>
                </c:pt>
                <c:pt idx="235">
                  <c:v>-0.36000000000000032</c:v>
                </c:pt>
                <c:pt idx="236">
                  <c:v>-0.3360000000000003</c:v>
                </c:pt>
                <c:pt idx="237">
                  <c:v>-0.31200000000000028</c:v>
                </c:pt>
                <c:pt idx="238">
                  <c:v>-0.28800000000000026</c:v>
                </c:pt>
                <c:pt idx="239">
                  <c:v>-0.26400000000000023</c:v>
                </c:pt>
                <c:pt idx="240">
                  <c:v>-0.24000000000000021</c:v>
                </c:pt>
                <c:pt idx="241">
                  <c:v>-0.21600000000000019</c:v>
                </c:pt>
                <c:pt idx="242">
                  <c:v>-0.19200000000000017</c:v>
                </c:pt>
                <c:pt idx="243">
                  <c:v>-0.16800000000000015</c:v>
                </c:pt>
                <c:pt idx="244">
                  <c:v>-0.14400000000000013</c:v>
                </c:pt>
                <c:pt idx="245">
                  <c:v>-0.12000000000000011</c:v>
                </c:pt>
                <c:pt idx="246">
                  <c:v>-9.6000000000000085E-2</c:v>
                </c:pt>
                <c:pt idx="247">
                  <c:v>-7.2000000000000064E-2</c:v>
                </c:pt>
                <c:pt idx="248">
                  <c:v>-4.8000000000000043E-2</c:v>
                </c:pt>
                <c:pt idx="249">
                  <c:v>-2.4000000000000021E-2</c:v>
                </c:pt>
                <c:pt idx="250">
                  <c:v>0</c:v>
                </c:pt>
                <c:pt idx="251">
                  <c:v>2.4000000000000021E-2</c:v>
                </c:pt>
                <c:pt idx="252">
                  <c:v>4.8000000000000043E-2</c:v>
                </c:pt>
                <c:pt idx="253">
                  <c:v>7.2000000000000064E-2</c:v>
                </c:pt>
                <c:pt idx="254">
                  <c:v>9.6000000000000085E-2</c:v>
                </c:pt>
                <c:pt idx="255">
                  <c:v>0.12000000000000011</c:v>
                </c:pt>
                <c:pt idx="256">
                  <c:v>0.14400000000000013</c:v>
                </c:pt>
                <c:pt idx="257">
                  <c:v>0.16800000000000015</c:v>
                </c:pt>
                <c:pt idx="258">
                  <c:v>0.19200000000000017</c:v>
                </c:pt>
                <c:pt idx="259">
                  <c:v>0.21600000000000019</c:v>
                </c:pt>
                <c:pt idx="260">
                  <c:v>0.24000000000000021</c:v>
                </c:pt>
                <c:pt idx="261">
                  <c:v>0.26400000000000023</c:v>
                </c:pt>
                <c:pt idx="262">
                  <c:v>0.28800000000000026</c:v>
                </c:pt>
                <c:pt idx="263">
                  <c:v>0.31200000000000028</c:v>
                </c:pt>
                <c:pt idx="264">
                  <c:v>0.3360000000000003</c:v>
                </c:pt>
                <c:pt idx="265">
                  <c:v>0.36000000000000032</c:v>
                </c:pt>
                <c:pt idx="266">
                  <c:v>0.38400000000000034</c:v>
                </c:pt>
                <c:pt idx="267">
                  <c:v>0.40800000000000036</c:v>
                </c:pt>
                <c:pt idx="268">
                  <c:v>0.43200000000000038</c:v>
                </c:pt>
                <c:pt idx="269">
                  <c:v>0.45600000000000041</c:v>
                </c:pt>
                <c:pt idx="270">
                  <c:v>0.48000000000000043</c:v>
                </c:pt>
                <c:pt idx="271">
                  <c:v>0.50399999999999956</c:v>
                </c:pt>
                <c:pt idx="272">
                  <c:v>0.52799999999999958</c:v>
                </c:pt>
                <c:pt idx="273">
                  <c:v>0.5519999999999996</c:v>
                </c:pt>
                <c:pt idx="274">
                  <c:v>0.57599999999999962</c:v>
                </c:pt>
                <c:pt idx="275">
                  <c:v>0.59999999999999964</c:v>
                </c:pt>
                <c:pt idx="276">
                  <c:v>0.62399999999999967</c:v>
                </c:pt>
                <c:pt idx="277">
                  <c:v>0.64799999999999969</c:v>
                </c:pt>
                <c:pt idx="278">
                  <c:v>0.67199999999999971</c:v>
                </c:pt>
                <c:pt idx="279">
                  <c:v>0.69599999999999973</c:v>
                </c:pt>
                <c:pt idx="280">
                  <c:v>0.71999999999999975</c:v>
                </c:pt>
                <c:pt idx="281">
                  <c:v>0.74399999999999977</c:v>
                </c:pt>
                <c:pt idx="282">
                  <c:v>0.76799999999999979</c:v>
                </c:pt>
                <c:pt idx="283">
                  <c:v>0.79199999999999982</c:v>
                </c:pt>
                <c:pt idx="284">
                  <c:v>0.81599999999999984</c:v>
                </c:pt>
                <c:pt idx="285">
                  <c:v>0.83999999999999986</c:v>
                </c:pt>
                <c:pt idx="286">
                  <c:v>0.86399999999999988</c:v>
                </c:pt>
                <c:pt idx="287">
                  <c:v>0.8879999999999999</c:v>
                </c:pt>
                <c:pt idx="288">
                  <c:v>0.91199999999999992</c:v>
                </c:pt>
                <c:pt idx="289">
                  <c:v>0.93599999999999994</c:v>
                </c:pt>
                <c:pt idx="290">
                  <c:v>0.96</c:v>
                </c:pt>
                <c:pt idx="291">
                  <c:v>0.98399999999999999</c:v>
                </c:pt>
                <c:pt idx="292">
                  <c:v>1.008</c:v>
                </c:pt>
                <c:pt idx="293">
                  <c:v>1.032</c:v>
                </c:pt>
                <c:pt idx="294">
                  <c:v>1.056</c:v>
                </c:pt>
                <c:pt idx="295">
                  <c:v>1.08</c:v>
                </c:pt>
                <c:pt idx="296">
                  <c:v>1.1040000000000001</c:v>
                </c:pt>
                <c:pt idx="297">
                  <c:v>1.1280000000000001</c:v>
                </c:pt>
                <c:pt idx="298">
                  <c:v>1.1520000000000001</c:v>
                </c:pt>
                <c:pt idx="299">
                  <c:v>1.1760000000000002</c:v>
                </c:pt>
                <c:pt idx="300">
                  <c:v>1.2000000000000002</c:v>
                </c:pt>
                <c:pt idx="301">
                  <c:v>1.2240000000000002</c:v>
                </c:pt>
                <c:pt idx="302">
                  <c:v>1.2480000000000002</c:v>
                </c:pt>
                <c:pt idx="303">
                  <c:v>1.2720000000000002</c:v>
                </c:pt>
                <c:pt idx="304">
                  <c:v>1.2960000000000003</c:v>
                </c:pt>
                <c:pt idx="305">
                  <c:v>1.3200000000000003</c:v>
                </c:pt>
                <c:pt idx="306">
                  <c:v>1.3440000000000003</c:v>
                </c:pt>
                <c:pt idx="307">
                  <c:v>1.3680000000000003</c:v>
                </c:pt>
                <c:pt idx="308">
                  <c:v>1.3920000000000003</c:v>
                </c:pt>
                <c:pt idx="309">
                  <c:v>1.4160000000000004</c:v>
                </c:pt>
                <c:pt idx="310">
                  <c:v>1.4400000000000004</c:v>
                </c:pt>
                <c:pt idx="311">
                  <c:v>1.4640000000000004</c:v>
                </c:pt>
                <c:pt idx="312">
                  <c:v>1.4880000000000004</c:v>
                </c:pt>
                <c:pt idx="313">
                  <c:v>1.5119999999999996</c:v>
                </c:pt>
                <c:pt idx="314">
                  <c:v>1.5359999999999996</c:v>
                </c:pt>
                <c:pt idx="315">
                  <c:v>1.5599999999999996</c:v>
                </c:pt>
                <c:pt idx="316">
                  <c:v>1.5839999999999996</c:v>
                </c:pt>
                <c:pt idx="317">
                  <c:v>1.6079999999999997</c:v>
                </c:pt>
                <c:pt idx="318">
                  <c:v>1.6319999999999997</c:v>
                </c:pt>
                <c:pt idx="319">
                  <c:v>1.6559999999999997</c:v>
                </c:pt>
                <c:pt idx="320">
                  <c:v>1.6799999999999997</c:v>
                </c:pt>
                <c:pt idx="321">
                  <c:v>1.7039999999999997</c:v>
                </c:pt>
                <c:pt idx="322">
                  <c:v>1.7279999999999998</c:v>
                </c:pt>
                <c:pt idx="323">
                  <c:v>1.7519999999999998</c:v>
                </c:pt>
                <c:pt idx="324">
                  <c:v>1.7759999999999998</c:v>
                </c:pt>
                <c:pt idx="325">
                  <c:v>1.7999999999999998</c:v>
                </c:pt>
                <c:pt idx="326">
                  <c:v>1.8239999999999998</c:v>
                </c:pt>
                <c:pt idx="327">
                  <c:v>1.8479999999999999</c:v>
                </c:pt>
                <c:pt idx="328">
                  <c:v>1.8719999999999999</c:v>
                </c:pt>
                <c:pt idx="329">
                  <c:v>1.8959999999999999</c:v>
                </c:pt>
                <c:pt idx="330">
                  <c:v>1.92</c:v>
                </c:pt>
                <c:pt idx="331">
                  <c:v>1.944</c:v>
                </c:pt>
                <c:pt idx="332">
                  <c:v>1.968</c:v>
                </c:pt>
                <c:pt idx="333">
                  <c:v>1.992</c:v>
                </c:pt>
                <c:pt idx="334">
                  <c:v>2.016</c:v>
                </c:pt>
                <c:pt idx="335">
                  <c:v>2.0399999999999991</c:v>
                </c:pt>
                <c:pt idx="336">
                  <c:v>2.0640000000000001</c:v>
                </c:pt>
                <c:pt idx="337">
                  <c:v>2.0879999999999992</c:v>
                </c:pt>
                <c:pt idx="338">
                  <c:v>2.1120000000000001</c:v>
                </c:pt>
                <c:pt idx="339">
                  <c:v>2.1359999999999992</c:v>
                </c:pt>
                <c:pt idx="340">
                  <c:v>2.16</c:v>
                </c:pt>
                <c:pt idx="341">
                  <c:v>2.1839999999999993</c:v>
                </c:pt>
                <c:pt idx="342">
                  <c:v>2.2080000000000002</c:v>
                </c:pt>
                <c:pt idx="343">
                  <c:v>2.2319999999999993</c:v>
                </c:pt>
                <c:pt idx="344">
                  <c:v>2.2560000000000002</c:v>
                </c:pt>
                <c:pt idx="345">
                  <c:v>2.2799999999999994</c:v>
                </c:pt>
                <c:pt idx="346">
                  <c:v>2.3040000000000003</c:v>
                </c:pt>
                <c:pt idx="347">
                  <c:v>2.3279999999999994</c:v>
                </c:pt>
                <c:pt idx="348">
                  <c:v>2.3520000000000003</c:v>
                </c:pt>
                <c:pt idx="349">
                  <c:v>2.3759999999999994</c:v>
                </c:pt>
                <c:pt idx="350">
                  <c:v>2.4000000000000004</c:v>
                </c:pt>
                <c:pt idx="351">
                  <c:v>2.4239999999999995</c:v>
                </c:pt>
                <c:pt idx="352">
                  <c:v>2.4480000000000004</c:v>
                </c:pt>
                <c:pt idx="353">
                  <c:v>2.4719999999999995</c:v>
                </c:pt>
                <c:pt idx="354">
                  <c:v>2.4960000000000004</c:v>
                </c:pt>
                <c:pt idx="355">
                  <c:v>2.5199999999999996</c:v>
                </c:pt>
                <c:pt idx="356">
                  <c:v>2.5440000000000005</c:v>
                </c:pt>
                <c:pt idx="357">
                  <c:v>2.5679999999999996</c:v>
                </c:pt>
                <c:pt idx="358">
                  <c:v>2.5920000000000005</c:v>
                </c:pt>
                <c:pt idx="359">
                  <c:v>2.6159999999999997</c:v>
                </c:pt>
                <c:pt idx="360">
                  <c:v>2.6400000000000006</c:v>
                </c:pt>
                <c:pt idx="361">
                  <c:v>2.6639999999999997</c:v>
                </c:pt>
                <c:pt idx="362">
                  <c:v>2.6880000000000006</c:v>
                </c:pt>
                <c:pt idx="363">
                  <c:v>2.7119999999999997</c:v>
                </c:pt>
                <c:pt idx="364">
                  <c:v>2.7360000000000007</c:v>
                </c:pt>
                <c:pt idx="365">
                  <c:v>2.76</c:v>
                </c:pt>
                <c:pt idx="366">
                  <c:v>2.7840000000000007</c:v>
                </c:pt>
                <c:pt idx="367">
                  <c:v>2.8079999999999998</c:v>
                </c:pt>
                <c:pt idx="368">
                  <c:v>2.8320000000000007</c:v>
                </c:pt>
                <c:pt idx="369">
                  <c:v>2.8559999999999999</c:v>
                </c:pt>
                <c:pt idx="370">
                  <c:v>2.8800000000000008</c:v>
                </c:pt>
                <c:pt idx="371">
                  <c:v>2.9039999999999999</c:v>
                </c:pt>
                <c:pt idx="372">
                  <c:v>2.9280000000000008</c:v>
                </c:pt>
                <c:pt idx="373">
                  <c:v>2.952</c:v>
                </c:pt>
                <c:pt idx="374">
                  <c:v>2.9760000000000009</c:v>
                </c:pt>
                <c:pt idx="375">
                  <c:v>3</c:v>
                </c:pt>
                <c:pt idx="376">
                  <c:v>3.0239999999999991</c:v>
                </c:pt>
                <c:pt idx="377">
                  <c:v>3.048</c:v>
                </c:pt>
                <c:pt idx="378">
                  <c:v>3.0719999999999992</c:v>
                </c:pt>
                <c:pt idx="379">
                  <c:v>3.0960000000000001</c:v>
                </c:pt>
                <c:pt idx="380">
                  <c:v>3.1199999999999992</c:v>
                </c:pt>
                <c:pt idx="381">
                  <c:v>3.1440000000000001</c:v>
                </c:pt>
                <c:pt idx="382">
                  <c:v>3.1679999999999993</c:v>
                </c:pt>
                <c:pt idx="383">
                  <c:v>3.1920000000000002</c:v>
                </c:pt>
                <c:pt idx="384">
                  <c:v>3.2159999999999993</c:v>
                </c:pt>
                <c:pt idx="385">
                  <c:v>3.24</c:v>
                </c:pt>
                <c:pt idx="386">
                  <c:v>3.2639999999999993</c:v>
                </c:pt>
                <c:pt idx="387">
                  <c:v>3.2880000000000003</c:v>
                </c:pt>
                <c:pt idx="388">
                  <c:v>3.3119999999999994</c:v>
                </c:pt>
                <c:pt idx="389">
                  <c:v>3.3360000000000003</c:v>
                </c:pt>
                <c:pt idx="390">
                  <c:v>3.3599999999999994</c:v>
                </c:pt>
                <c:pt idx="391">
                  <c:v>3.3840000000000003</c:v>
                </c:pt>
                <c:pt idx="392">
                  <c:v>3.4079999999999995</c:v>
                </c:pt>
                <c:pt idx="393">
                  <c:v>3.4320000000000004</c:v>
                </c:pt>
                <c:pt idx="394">
                  <c:v>3.4559999999999995</c:v>
                </c:pt>
                <c:pt idx="395">
                  <c:v>3.4800000000000004</c:v>
                </c:pt>
                <c:pt idx="396">
                  <c:v>3.5039999999999996</c:v>
                </c:pt>
                <c:pt idx="397">
                  <c:v>3.5280000000000005</c:v>
                </c:pt>
                <c:pt idx="398">
                  <c:v>3.5519999999999996</c:v>
                </c:pt>
                <c:pt idx="399">
                  <c:v>3.5760000000000005</c:v>
                </c:pt>
                <c:pt idx="400">
                  <c:v>3.5999999999999996</c:v>
                </c:pt>
                <c:pt idx="401">
                  <c:v>3.6240000000000006</c:v>
                </c:pt>
                <c:pt idx="402">
                  <c:v>3.6479999999999997</c:v>
                </c:pt>
                <c:pt idx="403">
                  <c:v>3.6720000000000006</c:v>
                </c:pt>
                <c:pt idx="404">
                  <c:v>3.6959999999999997</c:v>
                </c:pt>
                <c:pt idx="405">
                  <c:v>3.7200000000000006</c:v>
                </c:pt>
                <c:pt idx="406">
                  <c:v>3.7439999999999998</c:v>
                </c:pt>
                <c:pt idx="407">
                  <c:v>3.7680000000000007</c:v>
                </c:pt>
                <c:pt idx="408">
                  <c:v>3.7919999999999998</c:v>
                </c:pt>
                <c:pt idx="409">
                  <c:v>3.8160000000000007</c:v>
                </c:pt>
                <c:pt idx="410">
                  <c:v>3.84</c:v>
                </c:pt>
                <c:pt idx="411">
                  <c:v>3.8640000000000008</c:v>
                </c:pt>
                <c:pt idx="412">
                  <c:v>3.8879999999999999</c:v>
                </c:pt>
                <c:pt idx="413">
                  <c:v>3.9120000000000008</c:v>
                </c:pt>
                <c:pt idx="414">
                  <c:v>3.9359999999999999</c:v>
                </c:pt>
                <c:pt idx="415">
                  <c:v>3.9600000000000009</c:v>
                </c:pt>
                <c:pt idx="416">
                  <c:v>3.984</c:v>
                </c:pt>
                <c:pt idx="417">
                  <c:v>4.0079999999999991</c:v>
                </c:pt>
                <c:pt idx="418">
                  <c:v>4.032</c:v>
                </c:pt>
                <c:pt idx="419">
                  <c:v>4.0559999999999992</c:v>
                </c:pt>
                <c:pt idx="420">
                  <c:v>4.08</c:v>
                </c:pt>
                <c:pt idx="421">
                  <c:v>4.1039999999999992</c:v>
                </c:pt>
                <c:pt idx="422">
                  <c:v>4.1280000000000001</c:v>
                </c:pt>
                <c:pt idx="423">
                  <c:v>4.1519999999999992</c:v>
                </c:pt>
                <c:pt idx="424">
                  <c:v>4.1760000000000002</c:v>
                </c:pt>
                <c:pt idx="425">
                  <c:v>4.1999999999999993</c:v>
                </c:pt>
                <c:pt idx="426">
                  <c:v>4.2240000000000002</c:v>
                </c:pt>
                <c:pt idx="427">
                  <c:v>4.2479999999999993</c:v>
                </c:pt>
                <c:pt idx="428">
                  <c:v>4.2720000000000002</c:v>
                </c:pt>
                <c:pt idx="429">
                  <c:v>4.2959999999999994</c:v>
                </c:pt>
                <c:pt idx="430">
                  <c:v>4.32</c:v>
                </c:pt>
                <c:pt idx="431">
                  <c:v>4.3439999999999994</c:v>
                </c:pt>
                <c:pt idx="432">
                  <c:v>4.3680000000000003</c:v>
                </c:pt>
                <c:pt idx="433">
                  <c:v>4.3919999999999995</c:v>
                </c:pt>
                <c:pt idx="434">
                  <c:v>4.4160000000000004</c:v>
                </c:pt>
                <c:pt idx="435">
                  <c:v>4.4399999999999995</c:v>
                </c:pt>
                <c:pt idx="436">
                  <c:v>4.4640000000000004</c:v>
                </c:pt>
                <c:pt idx="437">
                  <c:v>4.4879999999999995</c:v>
                </c:pt>
                <c:pt idx="438">
                  <c:v>4.5120000000000005</c:v>
                </c:pt>
                <c:pt idx="439">
                  <c:v>4.5359999999999996</c:v>
                </c:pt>
                <c:pt idx="440">
                  <c:v>4.5600000000000005</c:v>
                </c:pt>
                <c:pt idx="441">
                  <c:v>4.5839999999999996</c:v>
                </c:pt>
                <c:pt idx="442">
                  <c:v>4.6080000000000005</c:v>
                </c:pt>
                <c:pt idx="443">
                  <c:v>4.6319999999999997</c:v>
                </c:pt>
                <c:pt idx="444">
                  <c:v>4.6560000000000006</c:v>
                </c:pt>
                <c:pt idx="445">
                  <c:v>4.68</c:v>
                </c:pt>
                <c:pt idx="446">
                  <c:v>4.7040000000000006</c:v>
                </c:pt>
                <c:pt idx="447">
                  <c:v>4.7279999999999998</c:v>
                </c:pt>
                <c:pt idx="448">
                  <c:v>4.7520000000000007</c:v>
                </c:pt>
                <c:pt idx="449">
                  <c:v>4.7759999999999998</c:v>
                </c:pt>
                <c:pt idx="450">
                  <c:v>4.8000000000000007</c:v>
                </c:pt>
                <c:pt idx="451">
                  <c:v>4.8239999999999998</c:v>
                </c:pt>
                <c:pt idx="452">
                  <c:v>4.8480000000000008</c:v>
                </c:pt>
                <c:pt idx="453">
                  <c:v>4.8719999999999999</c:v>
                </c:pt>
                <c:pt idx="454">
                  <c:v>4.8960000000000008</c:v>
                </c:pt>
                <c:pt idx="455">
                  <c:v>4.92</c:v>
                </c:pt>
                <c:pt idx="456">
                  <c:v>4.9440000000000008</c:v>
                </c:pt>
                <c:pt idx="457">
                  <c:v>4.968</c:v>
                </c:pt>
                <c:pt idx="458">
                  <c:v>4.9920000000000009</c:v>
                </c:pt>
                <c:pt idx="459">
                  <c:v>5.016</c:v>
                </c:pt>
                <c:pt idx="460">
                  <c:v>5.0399999999999991</c:v>
                </c:pt>
                <c:pt idx="461">
                  <c:v>5.0640000000000001</c:v>
                </c:pt>
                <c:pt idx="462">
                  <c:v>5.0879999999999992</c:v>
                </c:pt>
                <c:pt idx="463">
                  <c:v>5.1120000000000001</c:v>
                </c:pt>
                <c:pt idx="464">
                  <c:v>5.1359999999999992</c:v>
                </c:pt>
                <c:pt idx="465">
                  <c:v>5.16</c:v>
                </c:pt>
                <c:pt idx="466">
                  <c:v>5.1839999999999993</c:v>
                </c:pt>
                <c:pt idx="467">
                  <c:v>5.2080000000000002</c:v>
                </c:pt>
                <c:pt idx="468">
                  <c:v>5.2319999999999993</c:v>
                </c:pt>
                <c:pt idx="469">
                  <c:v>5.2560000000000002</c:v>
                </c:pt>
                <c:pt idx="470">
                  <c:v>5.2799999999999994</c:v>
                </c:pt>
                <c:pt idx="471">
                  <c:v>5.3040000000000003</c:v>
                </c:pt>
                <c:pt idx="472">
                  <c:v>5.3279999999999994</c:v>
                </c:pt>
                <c:pt idx="473">
                  <c:v>5.3520000000000003</c:v>
                </c:pt>
                <c:pt idx="474">
                  <c:v>5.3759999999999994</c:v>
                </c:pt>
                <c:pt idx="475">
                  <c:v>5.4</c:v>
                </c:pt>
                <c:pt idx="476">
                  <c:v>5.4239999999999995</c:v>
                </c:pt>
                <c:pt idx="477">
                  <c:v>5.4480000000000004</c:v>
                </c:pt>
                <c:pt idx="478">
                  <c:v>5.4719999999999995</c:v>
                </c:pt>
                <c:pt idx="479">
                  <c:v>5.4960000000000004</c:v>
                </c:pt>
                <c:pt idx="480">
                  <c:v>5.52</c:v>
                </c:pt>
                <c:pt idx="481">
                  <c:v>5.5440000000000005</c:v>
                </c:pt>
                <c:pt idx="482">
                  <c:v>5.5679999999999996</c:v>
                </c:pt>
                <c:pt idx="483">
                  <c:v>5.5920000000000005</c:v>
                </c:pt>
                <c:pt idx="484">
                  <c:v>5.6159999999999997</c:v>
                </c:pt>
                <c:pt idx="485">
                  <c:v>5.6400000000000006</c:v>
                </c:pt>
                <c:pt idx="486">
                  <c:v>5.6639999999999997</c:v>
                </c:pt>
                <c:pt idx="487">
                  <c:v>5.6880000000000006</c:v>
                </c:pt>
                <c:pt idx="488">
                  <c:v>5.7119999999999997</c:v>
                </c:pt>
                <c:pt idx="489">
                  <c:v>5.7360000000000007</c:v>
                </c:pt>
                <c:pt idx="490">
                  <c:v>5.76</c:v>
                </c:pt>
                <c:pt idx="491">
                  <c:v>5.7840000000000007</c:v>
                </c:pt>
                <c:pt idx="492">
                  <c:v>5.8079999999999998</c:v>
                </c:pt>
                <c:pt idx="493">
                  <c:v>5.8320000000000007</c:v>
                </c:pt>
                <c:pt idx="494">
                  <c:v>5.8559999999999999</c:v>
                </c:pt>
                <c:pt idx="495">
                  <c:v>5.8800000000000008</c:v>
                </c:pt>
                <c:pt idx="496">
                  <c:v>5.9039999999999999</c:v>
                </c:pt>
                <c:pt idx="497">
                  <c:v>5.9280000000000008</c:v>
                </c:pt>
                <c:pt idx="498">
                  <c:v>5.952</c:v>
                </c:pt>
                <c:pt idx="499">
                  <c:v>5.9760000000000009</c:v>
                </c:pt>
                <c:pt idx="500">
                  <c:v>6</c:v>
                </c:pt>
              </c:numCache>
            </c:numRef>
          </c:xVal>
          <c:yVal>
            <c:numRef>
              <c:f>'Fig 1 - single value test'!$E$101:$E$601</c:f>
              <c:numCache>
                <c:formatCode>General</c:formatCode>
                <c:ptCount val="501"/>
                <c:pt idx="0">
                  <c:v>6.0758828498232861E-9</c:v>
                </c:pt>
                <c:pt idx="1">
                  <c:v>7.014919960620633E-9</c:v>
                </c:pt>
                <c:pt idx="2">
                  <c:v>8.094422981541427E-9</c:v>
                </c:pt>
                <c:pt idx="3">
                  <c:v>9.3346688630663452E-9</c:v>
                </c:pt>
                <c:pt idx="4">
                  <c:v>1.0758749212031231E-8</c:v>
                </c:pt>
                <c:pt idx="5">
                  <c:v>1.239294431415013E-8</c:v>
                </c:pt>
                <c:pt idx="6">
                  <c:v>1.4267144462795874E-8</c:v>
                </c:pt>
                <c:pt idx="7">
                  <c:v>1.6415324245220411E-8</c:v>
                </c:pt>
                <c:pt idx="8">
                  <c:v>1.8876076068122808E-8</c:v>
                </c:pt>
                <c:pt idx="9">
                  <c:v>2.1693209899897982E-8</c:v>
                </c:pt>
                <c:pt idx="10">
                  <c:v>2.4916426972950989E-8</c:v>
                </c:pt>
                <c:pt idx="11">
                  <c:v>2.8602076032540175E-8</c:v>
                </c:pt>
                <c:pt idx="12">
                  <c:v>3.2814001645590985E-8</c:v>
                </c:pt>
                <c:pt idx="13">
                  <c:v>3.7624495101197993E-8</c:v>
                </c:pt>
                <c:pt idx="14">
                  <c:v>4.3115359552033492E-8</c:v>
                </c:pt>
                <c:pt idx="15">
                  <c:v>4.937910227110449E-8</c:v>
                </c:pt>
                <c:pt idx="16">
                  <c:v>5.6520268240340859E-8</c:v>
                </c:pt>
                <c:pt idx="17">
                  <c:v>6.465693075604519E-8</c:v>
                </c:pt>
                <c:pt idx="18">
                  <c:v>7.3922356341658018E-8</c:v>
                </c:pt>
                <c:pt idx="19">
                  <c:v>8.4466863011588381E-8</c:v>
                </c:pt>
                <c:pt idx="20">
                  <c:v>9.6459892842733842E-8</c:v>
                </c:pt>
                <c:pt idx="21">
                  <c:v>1.1009232189518106E-7</c:v>
                </c:pt>
                <c:pt idx="22">
                  <c:v>1.2557903279356918E-7</c:v>
                </c:pt>
                <c:pt idx="23">
                  <c:v>1.4316177774957213E-7</c:v>
                </c:pt>
                <c:pt idx="24">
                  <c:v>1.6311236248861487E-7</c:v>
                </c:pt>
                <c:pt idx="25">
                  <c:v>1.8573618445552897E-7</c:v>
                </c:pt>
                <c:pt idx="26">
                  <c:v>2.1137616183074064E-7</c:v>
                </c:pt>
                <c:pt idx="27">
                  <c:v>2.4041709330746573E-7</c:v>
                </c:pt>
                <c:pt idx="28">
                  <c:v>2.7329049227913221E-7</c:v>
                </c:pt>
                <c:pt idx="29">
                  <c:v>3.104799430831489E-7</c:v>
                </c:pt>
                <c:pt idx="30">
                  <c:v>3.5252703126140381E-7</c:v>
                </c:pt>
                <c:pt idx="31">
                  <c:v>4.0003790444932249E-7</c:v>
                </c:pt>
                <c:pt idx="32">
                  <c:v>4.5369052551441214E-7</c:v>
                </c:pt>
                <c:pt idx="33">
                  <c:v>5.1424268495308647E-7</c:v>
                </c:pt>
                <c:pt idx="34">
                  <c:v>5.8254084534283306E-7</c:v>
                </c:pt>
                <c:pt idx="35">
                  <c:v>6.5952989685752167E-7</c:v>
                </c:pt>
                <c:pt idx="36">
                  <c:v>7.4626390950944278E-7</c:v>
                </c:pt>
                <c:pt idx="37">
                  <c:v>8.4391797490514879E-7</c:v>
                </c:pt>
                <c:pt idx="38">
                  <c:v>9.5380123791647124E-7</c:v>
                </c:pt>
                <c:pt idx="39">
                  <c:v>1.0773712267960586E-6</c:v>
                </c:pt>
                <c:pt idx="40">
                  <c:v>1.216249598931318E-6</c:v>
                </c:pt>
                <c:pt idx="41">
                  <c:v>1.3722394286545041E-6</c:v>
                </c:pt>
                <c:pt idx="42">
                  <c:v>1.5473441733317411E-6</c:v>
                </c:pt>
                <c:pt idx="43">
                  <c:v>1.7437884643617589E-6</c:v>
                </c:pt>
                <c:pt idx="44">
                  <c:v>1.9640408807463332E-6</c:v>
                </c:pt>
                <c:pt idx="45">
                  <c:v>2.2108388745684212E-6</c:v>
                </c:pt>
                <c:pt idx="46">
                  <c:v>2.4872160300486798E-6</c:v>
                </c:pt>
                <c:pt idx="47">
                  <c:v>2.7965318508624735E-6</c:v>
                </c:pt>
                <c:pt idx="48">
                  <c:v>3.1425042841019479E-6</c:v>
                </c:pt>
                <c:pt idx="49">
                  <c:v>3.5292452036728565E-6</c:v>
                </c:pt>
                <c:pt idx="50">
                  <c:v>3.9612990910320753E-6</c:v>
                </c:pt>
                <c:pt idx="51">
                  <c:v>4.443685167005601E-6</c:v>
                </c:pt>
                <c:pt idx="52">
                  <c:v>4.9819432449787926E-6</c:v>
                </c:pt>
                <c:pt idx="53">
                  <c:v>5.5821835930201659E-6</c:v>
                </c:pt>
                <c:pt idx="54">
                  <c:v>6.2511411104785546E-6</c:v>
                </c:pt>
                <c:pt idx="55">
                  <c:v>6.996234143270405E-6</c:v>
                </c:pt>
                <c:pt idx="56">
                  <c:v>7.825628281430239E-6</c:v>
                </c:pt>
                <c:pt idx="57">
                  <c:v>8.7483055025099134E-6</c:v>
                </c:pt>
                <c:pt idx="58">
                  <c:v>9.7741390450493509E-6</c:v>
                </c:pt>
                <c:pt idx="59">
                  <c:v>1.0913974417565564E-5</c:v>
                </c:pt>
                <c:pt idx="60">
                  <c:v>1.2179716970268655E-5</c:v>
                </c:pt>
                <c:pt idx="61">
                  <c:v>1.3584426478963919E-5</c:v>
                </c:pt>
                <c:pt idx="62">
                  <c:v>1.5142419213261371E-5</c:v>
                </c:pt>
                <c:pt idx="63">
                  <c:v>1.6869377984230626E-5</c:v>
                </c:pt>
                <c:pt idx="64">
                  <c:v>1.8782470689901945E-5</c:v>
                </c:pt>
                <c:pt idx="65">
                  <c:v>2.0900477900450482E-5</c:v>
                </c:pt>
                <c:pt idx="66">
                  <c:v>2.3243930048373714E-5</c:v>
                </c:pt>
                <c:pt idx="67">
                  <c:v>2.5835254812390093E-5</c:v>
                </c:pt>
                <c:pt idx="68">
                  <c:v>2.8698935306977618E-5</c:v>
                </c:pt>
                <c:pt idx="69">
                  <c:v>3.1861679712324516E-5</c:v>
                </c:pt>
                <c:pt idx="70">
                  <c:v>3.5352603001773097E-5</c:v>
                </c:pt>
                <c:pt idx="71">
                  <c:v>3.9203421445463005E-5</c:v>
                </c:pt>
                <c:pt idx="72">
                  <c:v>4.3448660589589352E-5</c:v>
                </c:pt>
                <c:pt idx="73">
                  <c:v>4.8125877430296982E-5</c:v>
                </c:pt>
                <c:pt idx="74">
                  <c:v>5.3275897519493968E-5</c:v>
                </c:pt>
                <c:pt idx="75">
                  <c:v>5.8943067756539855E-5</c:v>
                </c:pt>
                <c:pt idx="76">
                  <c:v>6.5175525634586447E-5</c:v>
                </c:pt>
                <c:pt idx="77">
                  <c:v>7.2025485723041163E-5</c:v>
                </c:pt>
                <c:pt idx="78">
                  <c:v>7.9549544177881284E-5</c:v>
                </c:pt>
                <c:pt idx="79">
                  <c:v>8.7809002079064242E-5</c:v>
                </c:pt>
                <c:pt idx="80">
                  <c:v>9.687020839871926E-5</c:v>
                </c:pt>
                <c:pt idx="81">
                  <c:v>1.0680492340481771E-4</c:v>
                </c:pt>
                <c:pt idx="82">
                  <c:v>1.1769070330224524E-4</c:v>
                </c:pt>
                <c:pt idx="83">
                  <c:v>1.296113069062539E-4</c:v>
                </c:pt>
                <c:pt idx="84">
                  <c:v>1.4265712513176652E-4</c:v>
                </c:pt>
                <c:pt idx="85">
                  <c:v>1.5692563406553226E-4</c:v>
                </c:pt>
                <c:pt idx="86">
                  <c:v>1.7252187236626288E-4</c:v>
                </c:pt>
                <c:pt idx="87">
                  <c:v>1.8955894371021315E-4</c:v>
                </c:pt>
                <c:pt idx="88">
                  <c:v>2.0815854496572918E-4</c:v>
                </c:pt>
                <c:pt idx="89">
                  <c:v>2.2845152073967242E-4</c:v>
                </c:pt>
                <c:pt idx="90">
                  <c:v>2.5057844489086075E-4</c:v>
                </c:pt>
                <c:pt idx="91">
                  <c:v>2.7469022955031567E-4</c:v>
                </c:pt>
                <c:pt idx="92">
                  <c:v>3.0094876212471999E-4</c:v>
                </c:pt>
                <c:pt idx="93">
                  <c:v>3.2952757068762962E-4</c:v>
                </c:pt>
                <c:pt idx="94">
                  <c:v>3.6061251808220741E-4</c:v>
                </c:pt>
                <c:pt idx="95">
                  <c:v>3.9440252496915622E-4</c:v>
                </c:pt>
                <c:pt idx="96">
                  <c:v>4.3111032195367602E-4</c:v>
                </c:pt>
                <c:pt idx="97">
                  <c:v>4.7096323081532949E-4</c:v>
                </c:pt>
                <c:pt idx="98">
                  <c:v>5.1420397474424319E-4</c:v>
                </c:pt>
                <c:pt idx="99">
                  <c:v>5.6109151735582138E-4</c:v>
                </c:pt>
                <c:pt idx="100">
                  <c:v>6.119019301137719E-4</c:v>
                </c:pt>
                <c:pt idx="101">
                  <c:v>6.6692928763750227E-4</c:v>
                </c:pt>
                <c:pt idx="102">
                  <c:v>7.2648659020460105E-4</c:v>
                </c:pt>
                <c:pt idx="103">
                  <c:v>7.9090671258203761E-4</c:v>
                </c:pt>
                <c:pt idx="104">
                  <c:v>8.605433781307579E-4</c:v>
                </c:pt>
                <c:pt idx="105">
                  <c:v>9.3577215692747977E-4</c:v>
                </c:pt>
                <c:pt idx="106">
                  <c:v>1.0169914864347645E-3</c:v>
                </c:pt>
                <c:pt idx="107">
                  <c:v>1.1046237130258381E-3</c:v>
                </c:pt>
                <c:pt idx="108">
                  <c:v>1.1991161524345093E-3</c:v>
                </c:pt>
                <c:pt idx="109">
                  <c:v>1.3009421669529307E-3</c:v>
                </c:pt>
                <c:pt idx="110">
                  <c:v>1.4106022569413848E-3</c:v>
                </c:pt>
                <c:pt idx="111">
                  <c:v>1.528625163945144E-3</c:v>
                </c:pt>
                <c:pt idx="112">
                  <c:v>1.6555689824342061E-3</c:v>
                </c:pt>
                <c:pt idx="113">
                  <c:v>1.7920222768931734E-3</c:v>
                </c:pt>
                <c:pt idx="114">
                  <c:v>1.9386052006913181E-3</c:v>
                </c:pt>
                <c:pt idx="115">
                  <c:v>2.0959706128579419E-3</c:v>
                </c:pt>
                <c:pt idx="116">
                  <c:v>2.264805188576479E-3</c:v>
                </c:pt>
                <c:pt idx="117">
                  <c:v>2.4458305188934013E-3</c:v>
                </c:pt>
                <c:pt idx="118">
                  <c:v>2.6398041948164515E-3</c:v>
                </c:pt>
                <c:pt idx="119">
                  <c:v>2.8475208706519421E-3</c:v>
                </c:pt>
                <c:pt idx="120">
                  <c:v>3.0698133011047403E-3</c:v>
                </c:pt>
                <c:pt idx="121">
                  <c:v>3.3075533463386006E-3</c:v>
                </c:pt>
                <c:pt idx="122">
                  <c:v>3.5616529388703346E-3</c:v>
                </c:pt>
                <c:pt idx="123">
                  <c:v>3.8330650058511109E-3</c:v>
                </c:pt>
                <c:pt idx="124">
                  <c:v>4.122784339973702E-3</c:v>
                </c:pt>
                <c:pt idx="125">
                  <c:v>4.4318484119380075E-3</c:v>
                </c:pt>
                <c:pt idx="126">
                  <c:v>4.7613381171110044E-3</c:v>
                </c:pt>
                <c:pt idx="127">
                  <c:v>5.1123784487336638E-3</c:v>
                </c:pt>
                <c:pt idx="128">
                  <c:v>5.4861390897588055E-3</c:v>
                </c:pt>
                <c:pt idx="129">
                  <c:v>5.883834915153101E-3</c:v>
                </c:pt>
                <c:pt idx="130">
                  <c:v>6.3067263962659275E-3</c:v>
                </c:pt>
                <c:pt idx="131">
                  <c:v>6.7561198986603012E-3</c:v>
                </c:pt>
                <c:pt idx="132">
                  <c:v>7.2333678646196876E-3</c:v>
                </c:pt>
                <c:pt idx="133">
                  <c:v>7.739868871391698E-3</c:v>
                </c:pt>
                <c:pt idx="134">
                  <c:v>8.2770675561084951E-3</c:v>
                </c:pt>
                <c:pt idx="135">
                  <c:v>8.8464543982372315E-3</c:v>
                </c:pt>
                <c:pt idx="136">
                  <c:v>9.4495653503647182E-3</c:v>
                </c:pt>
                <c:pt idx="137">
                  <c:v>1.0087981308111881E-2</c:v>
                </c:pt>
                <c:pt idx="138">
                  <c:v>1.0763327410007743E-2</c:v>
                </c:pt>
                <c:pt idx="139">
                  <c:v>1.1477272158233751E-2</c:v>
                </c:pt>
                <c:pt idx="140">
                  <c:v>1.2231526351277971E-2</c:v>
                </c:pt>
                <c:pt idx="141">
                  <c:v>1.3027841819719665E-2</c:v>
                </c:pt>
                <c:pt idx="142">
                  <c:v>1.3868009956599181E-2</c:v>
                </c:pt>
                <c:pt idx="143">
                  <c:v>1.4753860034118634E-2</c:v>
                </c:pt>
                <c:pt idx="144">
                  <c:v>1.5687257298768114E-2</c:v>
                </c:pt>
                <c:pt idx="145">
                  <c:v>1.6670100837381057E-2</c:v>
                </c:pt>
                <c:pt idx="146">
                  <c:v>1.7704321207094212E-2</c:v>
                </c:pt>
                <c:pt idx="147">
                  <c:v>1.8791877822721837E-2</c:v>
                </c:pt>
                <c:pt idx="148">
                  <c:v>1.993475609565365E-2</c:v>
                </c:pt>
                <c:pt idx="149">
                  <c:v>2.1134964319050476E-2</c:v>
                </c:pt>
                <c:pt idx="150">
                  <c:v>2.2394530294842899E-2</c:v>
                </c:pt>
                <c:pt idx="151">
                  <c:v>2.3715497698834857E-2</c:v>
                </c:pt>
                <c:pt idx="152">
                  <c:v>2.5099922181077771E-2</c:v>
                </c:pt>
                <c:pt idx="153">
                  <c:v>2.65498671996088E-2</c:v>
                </c:pt>
                <c:pt idx="154">
                  <c:v>2.8067399586640101E-2</c:v>
                </c:pt>
                <c:pt idx="155">
                  <c:v>2.9654584847341278E-2</c:v>
                </c:pt>
                <c:pt idx="156">
                  <c:v>3.131348219247429E-2</c:v>
                </c:pt>
                <c:pt idx="157">
                  <c:v>3.3046139307314801E-2</c:v>
                </c:pt>
                <c:pt idx="158">
                  <c:v>3.4854586860525415E-2</c:v>
                </c:pt>
                <c:pt idx="159">
                  <c:v>3.6740832757928006E-2</c:v>
                </c:pt>
                <c:pt idx="160">
                  <c:v>3.8706856147455608E-2</c:v>
                </c:pt>
                <c:pt idx="161">
                  <c:v>4.0754601182937548E-2</c:v>
                </c:pt>
                <c:pt idx="162">
                  <c:v>4.2885970555787321E-2</c:v>
                </c:pt>
                <c:pt idx="163">
                  <c:v>4.5102818805110016E-2</c:v>
                </c:pt>
                <c:pt idx="164">
                  <c:v>4.7406945418221713E-2</c:v>
                </c:pt>
                <c:pt idx="165">
                  <c:v>4.9800087735070775E-2</c:v>
                </c:pt>
                <c:pt idx="166">
                  <c:v>5.2283913671562113E-2</c:v>
                </c:pt>
                <c:pt idx="167">
                  <c:v>5.4860014278304732E-2</c:v>
                </c:pt>
                <c:pt idx="168">
                  <c:v>5.7529896152820871E-2</c:v>
                </c:pt>
                <c:pt idx="169">
                  <c:v>6.0294973724765701E-2</c:v>
                </c:pt>
                <c:pt idx="170">
                  <c:v>6.3156561435198655E-2</c:v>
                </c:pt>
                <c:pt idx="171">
                  <c:v>6.6115865832415521E-2</c:v>
                </c:pt>
                <c:pt idx="172">
                  <c:v>6.9173977608282505E-2</c:v>
                </c:pt>
                <c:pt idx="173">
                  <c:v>7.2331863600401836E-2</c:v>
                </c:pt>
                <c:pt idx="174">
                  <c:v>7.5590358786774225E-2</c:v>
                </c:pt>
                <c:pt idx="175">
                  <c:v>7.8950158300894177E-2</c:v>
                </c:pt>
                <c:pt idx="176">
                  <c:v>8.2411809496414523E-2</c:v>
                </c:pt>
                <c:pt idx="177">
                  <c:v>8.5975704091632174E-2</c:v>
                </c:pt>
                <c:pt idx="178">
                  <c:v>8.9642070425072398E-2</c:v>
                </c:pt>
                <c:pt idx="179">
                  <c:v>9.3410965854371211E-2</c:v>
                </c:pt>
                <c:pt idx="180">
                  <c:v>9.7282269331467539E-2</c:v>
                </c:pt>
                <c:pt idx="181">
                  <c:v>0.10125567418780883</c:v>
                </c:pt>
                <c:pt idx="182">
                  <c:v>0.10533068116383558</c:v>
                </c:pt>
                <c:pt idx="183">
                  <c:v>0.1095065917174368</c:v>
                </c:pt>
                <c:pt idx="184">
                  <c:v>0.11378250164634682</c:v>
                </c:pt>
                <c:pt idx="185">
                  <c:v>0.11815729505958236</c:v>
                </c:pt>
                <c:pt idx="186">
                  <c:v>0.12262963873298507</c:v>
                </c:pt>
                <c:pt idx="187">
                  <c:v>0.12719797688373657</c:v>
                </c:pt>
                <c:pt idx="188">
                  <c:v>0.13186052639834273</c:v>
                </c:pt>
                <c:pt idx="189">
                  <c:v>0.1366152725480389</c:v>
                </c:pt>
                <c:pt idx="190">
                  <c:v>0.1414599652248387</c:v>
                </c:pt>
                <c:pt idx="191">
                  <c:v>0.1463921157305455</c:v>
                </c:pt>
                <c:pt idx="192">
                  <c:v>0.15140899414994616</c:v>
                </c:pt>
                <c:pt idx="193">
                  <c:v>0.15650762733813126</c:v>
                </c:pt>
                <c:pt idx="194">
                  <c:v>0.1616847975504194</c:v>
                </c:pt>
                <c:pt idx="195">
                  <c:v>0.16693704174171375</c:v>
                </c:pt>
                <c:pt idx="196">
                  <c:v>0.17226065156028758</c:v>
                </c:pt>
                <c:pt idx="197">
                  <c:v>0.1776516740589851</c:v>
                </c:pt>
                <c:pt idx="198">
                  <c:v>0.18310591314463986</c:v>
                </c:pt>
                <c:pt idx="199">
                  <c:v>0.18861893178415948</c:v>
                </c:pt>
                <c:pt idx="200">
                  <c:v>0.19418605498321292</c:v>
                </c:pt>
                <c:pt idx="201">
                  <c:v>0.19980237355078795</c:v>
                </c:pt>
                <c:pt idx="202">
                  <c:v>0.20546274866007688</c:v>
                </c:pt>
                <c:pt idx="203">
                  <c:v>0.21116181721320312</c:v>
                </c:pt>
                <c:pt idx="204">
                  <c:v>0.21689399801423551</c:v>
                </c:pt>
                <c:pt idx="205">
                  <c:v>0.22265349875176113</c:v>
                </c:pt>
                <c:pt idx="206">
                  <c:v>0.22843432378901604</c:v>
                </c:pt>
                <c:pt idx="207">
                  <c:v>0.23423028275621952</c:v>
                </c:pt>
                <c:pt idx="208">
                  <c:v>0.2400349999363395</c:v>
                </c:pt>
                <c:pt idx="209">
                  <c:v>0.24584192443204717</c:v>
                </c:pt>
                <c:pt idx="210">
                  <c:v>0.25164434109811712</c:v>
                </c:pt>
                <c:pt idx="211">
                  <c:v>0.25743538222001205</c:v>
                </c:pt>
                <c:pt idx="212">
                  <c:v>0.2632080399158771</c:v>
                </c:pt>
                <c:pt idx="213">
                  <c:v>0.26895517923567464</c:v>
                </c:pt>
                <c:pt idx="214">
                  <c:v>0.27466955192773695</c:v>
                </c:pt>
                <c:pt idx="215">
                  <c:v>0.28034381083962062</c:v>
                </c:pt>
                <c:pt idx="216">
                  <c:v>0.28597052491682845</c:v>
                </c:pt>
                <c:pt idx="217">
                  <c:v>0.29154219475974724</c:v>
                </c:pt>
                <c:pt idx="218">
                  <c:v>0.2970512686960452</c:v>
                </c:pt>
                <c:pt idx="219">
                  <c:v>0.30249015932280471</c:v>
                </c:pt>
                <c:pt idx="220">
                  <c:v>0.30785126046985301</c:v>
                </c:pt>
                <c:pt idx="221">
                  <c:v>0.3131269645331039</c:v>
                </c:pt>
                <c:pt idx="222">
                  <c:v>0.3183096801242743</c:v>
                </c:pt>
                <c:pt idx="223">
                  <c:v>0.32339184998107995</c:v>
                </c:pt>
                <c:pt idx="224">
                  <c:v>0.32836596907998766</c:v>
                </c:pt>
                <c:pt idx="225">
                  <c:v>0.33322460289179973</c:v>
                </c:pt>
                <c:pt idx="226">
                  <c:v>0.33796040571879715</c:v>
                </c:pt>
                <c:pt idx="227">
                  <c:v>0.34256613905087624</c:v>
                </c:pt>
                <c:pt idx="228">
                  <c:v>0.34703468987709241</c:v>
                </c:pt>
                <c:pt idx="229">
                  <c:v>0.3513590888882841</c:v>
                </c:pt>
                <c:pt idx="230">
                  <c:v>0.35553252850599704</c:v>
                </c:pt>
                <c:pt idx="231">
                  <c:v>0.35954838067276951</c:v>
                </c:pt>
                <c:pt idx="232">
                  <c:v>0.36340021433897718</c:v>
                </c:pt>
                <c:pt idx="233">
                  <c:v>0.36708181258188249</c:v>
                </c:pt>
                <c:pt idx="234">
                  <c:v>0.3705871892932735</c:v>
                </c:pt>
                <c:pt idx="235">
                  <c:v>0.37391060537312837</c:v>
                </c:pt>
                <c:pt idx="236">
                  <c:v>0.37704658436808808</c:v>
                </c:pt>
                <c:pt idx="237">
                  <c:v>0.37998992749516874</c:v>
                </c:pt>
                <c:pt idx="238">
                  <c:v>0.38273572799307848</c:v>
                </c:pt>
                <c:pt idx="239">
                  <c:v>0.38527938474572759</c:v>
                </c:pt>
                <c:pt idx="240">
                  <c:v>0.38761661512501411</c:v>
                </c:pt>
                <c:pt idx="241">
                  <c:v>0.38974346700272944</c:v>
                </c:pt>
                <c:pt idx="242">
                  <c:v>0.39165632988443705</c:v>
                </c:pt>
                <c:pt idx="243">
                  <c:v>0.39335194512142974</c:v>
                </c:pt>
                <c:pt idx="244">
                  <c:v>0.39482741516033976</c:v>
                </c:pt>
                <c:pt idx="245">
                  <c:v>0.3960802117936561</c:v>
                </c:pt>
                <c:pt idx="246">
                  <c:v>0.39710818337826648</c:v>
                </c:pt>
                <c:pt idx="247">
                  <c:v>0.39790956099317593</c:v>
                </c:pt>
                <c:pt idx="248">
                  <c:v>0.39848296351173551</c:v>
                </c:pt>
                <c:pt idx="249">
                  <c:v>0.39882740156802315</c:v>
                </c:pt>
                <c:pt idx="250">
                  <c:v>0.3989422804014327</c:v>
                </c:pt>
                <c:pt idx="251">
                  <c:v>0.39882740156802315</c:v>
                </c:pt>
                <c:pt idx="252">
                  <c:v>0.39848296351173551</c:v>
                </c:pt>
                <c:pt idx="253">
                  <c:v>0.39790956099317593</c:v>
                </c:pt>
                <c:pt idx="254">
                  <c:v>0.39710818337826648</c:v>
                </c:pt>
                <c:pt idx="255">
                  <c:v>0.3960802117936561</c:v>
                </c:pt>
                <c:pt idx="256">
                  <c:v>0.39482741516033976</c:v>
                </c:pt>
                <c:pt idx="257">
                  <c:v>0.39335194512142974</c:v>
                </c:pt>
                <c:pt idx="258">
                  <c:v>0.39165632988443705</c:v>
                </c:pt>
                <c:pt idx="259">
                  <c:v>0.38974346700272944</c:v>
                </c:pt>
                <c:pt idx="260">
                  <c:v>0.38761661512501411</c:v>
                </c:pt>
                <c:pt idx="261">
                  <c:v>0.38527938474572759</c:v>
                </c:pt>
                <c:pt idx="262">
                  <c:v>0.38273572799307848</c:v>
                </c:pt>
                <c:pt idx="263">
                  <c:v>0.37998992749516874</c:v>
                </c:pt>
                <c:pt idx="264">
                  <c:v>0.37704658436808808</c:v>
                </c:pt>
                <c:pt idx="265">
                  <c:v>0.37391060537312837</c:v>
                </c:pt>
                <c:pt idx="266">
                  <c:v>0.3705871892932735</c:v>
                </c:pt>
                <c:pt idx="267">
                  <c:v>0.36708181258188249</c:v>
                </c:pt>
                <c:pt idx="268">
                  <c:v>0.36340021433897718</c:v>
                </c:pt>
                <c:pt idx="269">
                  <c:v>0.35954838067276951</c:v>
                </c:pt>
                <c:pt idx="270">
                  <c:v>0.35553252850599704</c:v>
                </c:pt>
                <c:pt idx="271">
                  <c:v>0.3513590888882841</c:v>
                </c:pt>
                <c:pt idx="272">
                  <c:v>0.34703468987709241</c:v>
                </c:pt>
                <c:pt idx="273">
                  <c:v>0.34256613905087624</c:v>
                </c:pt>
                <c:pt idx="274">
                  <c:v>0.33796040571879715</c:v>
                </c:pt>
                <c:pt idx="275">
                  <c:v>0.33322460289179973</c:v>
                </c:pt>
                <c:pt idx="276">
                  <c:v>0.32836596907998766</c:v>
                </c:pt>
                <c:pt idx="277">
                  <c:v>0.32339184998107995</c:v>
                </c:pt>
                <c:pt idx="278">
                  <c:v>0.3183096801242743</c:v>
                </c:pt>
                <c:pt idx="279">
                  <c:v>0.3131269645331039</c:v>
                </c:pt>
                <c:pt idx="280">
                  <c:v>0.30785126046985301</c:v>
                </c:pt>
                <c:pt idx="281">
                  <c:v>0.30249015932280471</c:v>
                </c:pt>
                <c:pt idx="282">
                  <c:v>0.2970512686960452</c:v>
                </c:pt>
                <c:pt idx="283">
                  <c:v>0.29154219475974724</c:v>
                </c:pt>
                <c:pt idx="284">
                  <c:v>0.28597052491682845</c:v>
                </c:pt>
                <c:pt idx="285">
                  <c:v>0.28034381083962062</c:v>
                </c:pt>
                <c:pt idx="286">
                  <c:v>0.27466955192773695</c:v>
                </c:pt>
                <c:pt idx="287">
                  <c:v>0.26895517923567464</c:v>
                </c:pt>
                <c:pt idx="288">
                  <c:v>0.2632080399158771</c:v>
                </c:pt>
                <c:pt idx="289">
                  <c:v>0.25743538222001205</c:v>
                </c:pt>
                <c:pt idx="290">
                  <c:v>0.25164434109811712</c:v>
                </c:pt>
                <c:pt idx="291">
                  <c:v>0.24584192443204717</c:v>
                </c:pt>
                <c:pt idx="292">
                  <c:v>0.2400349999363395</c:v>
                </c:pt>
                <c:pt idx="293">
                  <c:v>0.23423028275621952</c:v>
                </c:pt>
                <c:pt idx="294">
                  <c:v>0.22843432378901604</c:v>
                </c:pt>
                <c:pt idx="295">
                  <c:v>0.22265349875176113</c:v>
                </c:pt>
                <c:pt idx="296">
                  <c:v>0.21689399801423551</c:v>
                </c:pt>
                <c:pt idx="297">
                  <c:v>0.21116181721320312</c:v>
                </c:pt>
                <c:pt idx="298">
                  <c:v>0.20546274866007688</c:v>
                </c:pt>
                <c:pt idx="299">
                  <c:v>0.19980237355078795</c:v>
                </c:pt>
                <c:pt idx="300">
                  <c:v>0.19418605498321292</c:v>
                </c:pt>
                <c:pt idx="301">
                  <c:v>0.18861893178415948</c:v>
                </c:pt>
                <c:pt idx="302">
                  <c:v>0.18310591314463986</c:v>
                </c:pt>
                <c:pt idx="303">
                  <c:v>0.1776516740589851</c:v>
                </c:pt>
                <c:pt idx="304">
                  <c:v>0.17226065156028758</c:v>
                </c:pt>
                <c:pt idx="305">
                  <c:v>0.16693704174171375</c:v>
                </c:pt>
                <c:pt idx="306">
                  <c:v>0.1616847975504194</c:v>
                </c:pt>
                <c:pt idx="307">
                  <c:v>0.15650762733813126</c:v>
                </c:pt>
                <c:pt idx="308">
                  <c:v>0.15140899414994616</c:v>
                </c:pt>
                <c:pt idx="309">
                  <c:v>0.1463921157305455</c:v>
                </c:pt>
                <c:pt idx="310">
                  <c:v>0.1414599652248387</c:v>
                </c:pt>
                <c:pt idx="311">
                  <c:v>0.1366152725480389</c:v>
                </c:pt>
                <c:pt idx="312">
                  <c:v>0.13186052639834273</c:v>
                </c:pt>
                <c:pt idx="313">
                  <c:v>0.12719797688373657</c:v>
                </c:pt>
                <c:pt idx="314">
                  <c:v>0.12262963873298507</c:v>
                </c:pt>
                <c:pt idx="315">
                  <c:v>0.11815729505958236</c:v>
                </c:pt>
                <c:pt idx="316">
                  <c:v>0.11378250164634682</c:v>
                </c:pt>
                <c:pt idx="317">
                  <c:v>0.1095065917174368</c:v>
                </c:pt>
                <c:pt idx="318">
                  <c:v>0.10533068116383558</c:v>
                </c:pt>
                <c:pt idx="319">
                  <c:v>0.10125567418780883</c:v>
                </c:pt>
                <c:pt idx="320">
                  <c:v>9.7282269331467539E-2</c:v>
                </c:pt>
                <c:pt idx="321">
                  <c:v>9.3410965854371211E-2</c:v>
                </c:pt>
                <c:pt idx="322">
                  <c:v>8.9642070425072398E-2</c:v>
                </c:pt>
                <c:pt idx="323">
                  <c:v>8.5975704091632174E-2</c:v>
                </c:pt>
                <c:pt idx="324">
                  <c:v>8.2411809496414523E-2</c:v>
                </c:pt>
                <c:pt idx="325">
                  <c:v>7.8950158300894177E-2</c:v>
                </c:pt>
                <c:pt idx="326">
                  <c:v>7.5590358786774225E-2</c:v>
                </c:pt>
                <c:pt idx="327">
                  <c:v>7.2331863600401836E-2</c:v>
                </c:pt>
                <c:pt idx="328">
                  <c:v>6.9173977608282505E-2</c:v>
                </c:pt>
                <c:pt idx="329">
                  <c:v>6.6115865832415521E-2</c:v>
                </c:pt>
                <c:pt idx="330">
                  <c:v>6.3156561435198655E-2</c:v>
                </c:pt>
                <c:pt idx="331">
                  <c:v>6.0294973724765701E-2</c:v>
                </c:pt>
                <c:pt idx="332">
                  <c:v>5.7529896152820871E-2</c:v>
                </c:pt>
                <c:pt idx="333">
                  <c:v>5.4860014278304732E-2</c:v>
                </c:pt>
                <c:pt idx="334">
                  <c:v>5.2283913671562113E-2</c:v>
                </c:pt>
                <c:pt idx="335">
                  <c:v>4.9800087735070858E-2</c:v>
                </c:pt>
                <c:pt idx="336">
                  <c:v>4.7406945418221713E-2</c:v>
                </c:pt>
                <c:pt idx="337">
                  <c:v>4.5102818805110099E-2</c:v>
                </c:pt>
                <c:pt idx="338">
                  <c:v>4.2885970555787321E-2</c:v>
                </c:pt>
                <c:pt idx="339">
                  <c:v>4.0754601182937618E-2</c:v>
                </c:pt>
                <c:pt idx="340">
                  <c:v>3.8706856147455608E-2</c:v>
                </c:pt>
                <c:pt idx="341">
                  <c:v>3.6740832757928069E-2</c:v>
                </c:pt>
                <c:pt idx="342">
                  <c:v>3.4854586860525415E-2</c:v>
                </c:pt>
                <c:pt idx="343">
                  <c:v>3.3046139307314877E-2</c:v>
                </c:pt>
                <c:pt idx="344">
                  <c:v>3.1313482192474262E-2</c:v>
                </c:pt>
                <c:pt idx="345">
                  <c:v>2.9654584847341316E-2</c:v>
                </c:pt>
                <c:pt idx="346">
                  <c:v>2.8067399586640077E-2</c:v>
                </c:pt>
                <c:pt idx="347">
                  <c:v>2.6549867199608838E-2</c:v>
                </c:pt>
                <c:pt idx="348">
                  <c:v>2.5099922181077736E-2</c:v>
                </c:pt>
                <c:pt idx="349">
                  <c:v>2.3715497698834888E-2</c:v>
                </c:pt>
                <c:pt idx="350">
                  <c:v>2.2394530294842882E-2</c:v>
                </c:pt>
                <c:pt idx="351">
                  <c:v>2.1134964319050504E-2</c:v>
                </c:pt>
                <c:pt idx="352">
                  <c:v>1.9934756095653629E-2</c:v>
                </c:pt>
                <c:pt idx="353">
                  <c:v>1.8791877822721854E-2</c:v>
                </c:pt>
                <c:pt idx="354">
                  <c:v>1.7704321207094198E-2</c:v>
                </c:pt>
                <c:pt idx="355">
                  <c:v>1.6670100837381078E-2</c:v>
                </c:pt>
                <c:pt idx="356">
                  <c:v>1.56872572987681E-2</c:v>
                </c:pt>
                <c:pt idx="357">
                  <c:v>1.4753860034118655E-2</c:v>
                </c:pt>
                <c:pt idx="358">
                  <c:v>1.386800995659916E-2</c:v>
                </c:pt>
                <c:pt idx="359">
                  <c:v>1.3027841819719681E-2</c:v>
                </c:pt>
                <c:pt idx="360">
                  <c:v>1.2231526351277954E-2</c:v>
                </c:pt>
                <c:pt idx="361">
                  <c:v>1.1477272158233767E-2</c:v>
                </c:pt>
                <c:pt idx="362">
                  <c:v>1.0763327410007729E-2</c:v>
                </c:pt>
                <c:pt idx="363">
                  <c:v>1.008798130811189E-2</c:v>
                </c:pt>
                <c:pt idx="364">
                  <c:v>9.449565350364706E-3</c:v>
                </c:pt>
                <c:pt idx="365">
                  <c:v>8.8464543982372315E-3</c:v>
                </c:pt>
                <c:pt idx="366">
                  <c:v>8.277067556108476E-3</c:v>
                </c:pt>
                <c:pt idx="367">
                  <c:v>7.739868871391698E-3</c:v>
                </c:pt>
                <c:pt idx="368">
                  <c:v>7.2333678646196676E-3</c:v>
                </c:pt>
                <c:pt idx="369">
                  <c:v>6.7561198986603012E-3</c:v>
                </c:pt>
                <c:pt idx="370">
                  <c:v>6.3067263962659102E-3</c:v>
                </c:pt>
                <c:pt idx="371">
                  <c:v>5.883834915153101E-3</c:v>
                </c:pt>
                <c:pt idx="372">
                  <c:v>5.4861390897587908E-3</c:v>
                </c:pt>
                <c:pt idx="373">
                  <c:v>5.1123784487336638E-3</c:v>
                </c:pt>
                <c:pt idx="374">
                  <c:v>4.7613381171109914E-3</c:v>
                </c:pt>
                <c:pt idx="375">
                  <c:v>4.4318484119380075E-3</c:v>
                </c:pt>
                <c:pt idx="376">
                  <c:v>4.1227843399737132E-3</c:v>
                </c:pt>
                <c:pt idx="377">
                  <c:v>3.8330650058511109E-3</c:v>
                </c:pt>
                <c:pt idx="378">
                  <c:v>3.5616529388703441E-3</c:v>
                </c:pt>
                <c:pt idx="379">
                  <c:v>3.3075533463386006E-3</c:v>
                </c:pt>
                <c:pt idx="380">
                  <c:v>3.0698133011047486E-3</c:v>
                </c:pt>
                <c:pt idx="381">
                  <c:v>2.8475208706519421E-3</c:v>
                </c:pt>
                <c:pt idx="382">
                  <c:v>2.6398041948164589E-3</c:v>
                </c:pt>
                <c:pt idx="383">
                  <c:v>2.4458305188934013E-3</c:v>
                </c:pt>
                <c:pt idx="384">
                  <c:v>2.2648051885764847E-3</c:v>
                </c:pt>
                <c:pt idx="385">
                  <c:v>2.0959706128579419E-3</c:v>
                </c:pt>
                <c:pt idx="386">
                  <c:v>1.9386052006913198E-3</c:v>
                </c:pt>
                <c:pt idx="387">
                  <c:v>1.7920222768931717E-3</c:v>
                </c:pt>
                <c:pt idx="388">
                  <c:v>1.6555689824342091E-3</c:v>
                </c:pt>
                <c:pt idx="389">
                  <c:v>1.5286251639451411E-3</c:v>
                </c:pt>
                <c:pt idx="390">
                  <c:v>1.4106022569413861E-3</c:v>
                </c:pt>
                <c:pt idx="391">
                  <c:v>1.3009421669529281E-3</c:v>
                </c:pt>
                <c:pt idx="392">
                  <c:v>1.1991161524345115E-3</c:v>
                </c:pt>
                <c:pt idx="393">
                  <c:v>1.1046237130258364E-3</c:v>
                </c:pt>
                <c:pt idx="394">
                  <c:v>1.0169914864347654E-3</c:v>
                </c:pt>
                <c:pt idx="395">
                  <c:v>9.3577215692747804E-4</c:v>
                </c:pt>
                <c:pt idx="396">
                  <c:v>8.6054337813075866E-4</c:v>
                </c:pt>
                <c:pt idx="397">
                  <c:v>7.9090671258203685E-4</c:v>
                </c:pt>
                <c:pt idx="398">
                  <c:v>7.2648659020460235E-4</c:v>
                </c:pt>
                <c:pt idx="399">
                  <c:v>6.6692928763750108E-4</c:v>
                </c:pt>
                <c:pt idx="400">
                  <c:v>6.1190193011377298E-4</c:v>
                </c:pt>
                <c:pt idx="401">
                  <c:v>5.610915173558204E-4</c:v>
                </c:pt>
                <c:pt idx="402">
                  <c:v>5.1420397474424406E-4</c:v>
                </c:pt>
                <c:pt idx="403">
                  <c:v>4.7096323081532873E-4</c:v>
                </c:pt>
                <c:pt idx="404">
                  <c:v>4.3111032195367678E-4</c:v>
                </c:pt>
                <c:pt idx="405">
                  <c:v>3.9440252496915552E-4</c:v>
                </c:pt>
                <c:pt idx="406">
                  <c:v>3.6061251808220806E-4</c:v>
                </c:pt>
                <c:pt idx="407">
                  <c:v>3.2952757068762842E-4</c:v>
                </c:pt>
                <c:pt idx="408">
                  <c:v>3.0094876212471999E-4</c:v>
                </c:pt>
                <c:pt idx="409">
                  <c:v>2.746902295503147E-4</c:v>
                </c:pt>
                <c:pt idx="410">
                  <c:v>2.5057844489086075E-4</c:v>
                </c:pt>
                <c:pt idx="411">
                  <c:v>2.2845152073967183E-4</c:v>
                </c:pt>
                <c:pt idx="412">
                  <c:v>2.0815854496572918E-4</c:v>
                </c:pt>
                <c:pt idx="413">
                  <c:v>1.8955894371021248E-4</c:v>
                </c:pt>
                <c:pt idx="414">
                  <c:v>1.7252187236626288E-4</c:v>
                </c:pt>
                <c:pt idx="415">
                  <c:v>1.5692563406553169E-4</c:v>
                </c:pt>
                <c:pt idx="416">
                  <c:v>1.4265712513176652E-4</c:v>
                </c:pt>
                <c:pt idx="417">
                  <c:v>1.2961130690625436E-4</c:v>
                </c:pt>
                <c:pt idx="418">
                  <c:v>1.1769070330224524E-4</c:v>
                </c:pt>
                <c:pt idx="419">
                  <c:v>1.0680492340481808E-4</c:v>
                </c:pt>
                <c:pt idx="420">
                  <c:v>9.687020839871926E-5</c:v>
                </c:pt>
                <c:pt idx="421">
                  <c:v>8.7809002079064554E-5</c:v>
                </c:pt>
                <c:pt idx="422">
                  <c:v>7.9549544177881284E-5</c:v>
                </c:pt>
                <c:pt idx="423">
                  <c:v>7.2025485723041421E-5</c:v>
                </c:pt>
                <c:pt idx="424">
                  <c:v>6.5175525634586447E-5</c:v>
                </c:pt>
                <c:pt idx="425">
                  <c:v>5.8943067756540058E-5</c:v>
                </c:pt>
                <c:pt idx="426">
                  <c:v>5.3275897519493968E-5</c:v>
                </c:pt>
                <c:pt idx="427">
                  <c:v>4.8125877430297145E-5</c:v>
                </c:pt>
                <c:pt idx="428">
                  <c:v>4.3448660589589352E-5</c:v>
                </c:pt>
                <c:pt idx="429">
                  <c:v>3.9203421445463147E-5</c:v>
                </c:pt>
                <c:pt idx="430">
                  <c:v>3.5352603001773097E-5</c:v>
                </c:pt>
                <c:pt idx="431">
                  <c:v>3.1861679712324632E-5</c:v>
                </c:pt>
                <c:pt idx="432">
                  <c:v>2.8698935306977618E-5</c:v>
                </c:pt>
                <c:pt idx="433">
                  <c:v>2.5835254812390093E-5</c:v>
                </c:pt>
                <c:pt idx="434">
                  <c:v>2.3243930048373714E-5</c:v>
                </c:pt>
                <c:pt idx="435">
                  <c:v>2.0900477900450482E-5</c:v>
                </c:pt>
                <c:pt idx="436">
                  <c:v>1.8782470689901945E-5</c:v>
                </c:pt>
                <c:pt idx="437">
                  <c:v>1.6869377984230626E-5</c:v>
                </c:pt>
                <c:pt idx="438">
                  <c:v>1.5142419213261371E-5</c:v>
                </c:pt>
                <c:pt idx="439">
                  <c:v>1.3584426478963919E-5</c:v>
                </c:pt>
                <c:pt idx="440">
                  <c:v>1.2179716970268655E-5</c:v>
                </c:pt>
                <c:pt idx="441">
                  <c:v>1.0913974417565564E-5</c:v>
                </c:pt>
                <c:pt idx="442">
                  <c:v>9.7741390450493509E-6</c:v>
                </c:pt>
                <c:pt idx="443">
                  <c:v>8.7483055025099134E-6</c:v>
                </c:pt>
                <c:pt idx="444">
                  <c:v>7.8256282814302102E-6</c:v>
                </c:pt>
                <c:pt idx="445">
                  <c:v>6.996234143270405E-6</c:v>
                </c:pt>
                <c:pt idx="446">
                  <c:v>6.2511411104785215E-6</c:v>
                </c:pt>
                <c:pt idx="447">
                  <c:v>5.5821835930201659E-6</c:v>
                </c:pt>
                <c:pt idx="448">
                  <c:v>4.9819432449787756E-6</c:v>
                </c:pt>
                <c:pt idx="449">
                  <c:v>4.443685167005601E-6</c:v>
                </c:pt>
                <c:pt idx="450">
                  <c:v>3.9612990910320609E-6</c:v>
                </c:pt>
                <c:pt idx="451">
                  <c:v>3.5292452036728565E-6</c:v>
                </c:pt>
                <c:pt idx="452">
                  <c:v>3.1425042841019365E-6</c:v>
                </c:pt>
                <c:pt idx="453">
                  <c:v>2.7965318508624735E-6</c:v>
                </c:pt>
                <c:pt idx="454">
                  <c:v>2.4872160300486709E-6</c:v>
                </c:pt>
                <c:pt idx="455">
                  <c:v>2.2108388745684212E-6</c:v>
                </c:pt>
                <c:pt idx="456">
                  <c:v>1.9640408807463227E-6</c:v>
                </c:pt>
                <c:pt idx="457">
                  <c:v>1.7437884643617589E-6</c:v>
                </c:pt>
                <c:pt idx="458">
                  <c:v>1.5473441733317354E-6</c:v>
                </c:pt>
                <c:pt idx="459">
                  <c:v>1.3722394286545041E-6</c:v>
                </c:pt>
                <c:pt idx="460">
                  <c:v>1.2162495989313246E-6</c:v>
                </c:pt>
                <c:pt idx="461">
                  <c:v>1.0773712267960586E-6</c:v>
                </c:pt>
                <c:pt idx="462">
                  <c:v>9.5380123791647633E-7</c:v>
                </c:pt>
                <c:pt idx="463">
                  <c:v>8.4391797490514879E-7</c:v>
                </c:pt>
                <c:pt idx="464">
                  <c:v>7.4626390950944681E-7</c:v>
                </c:pt>
                <c:pt idx="465">
                  <c:v>6.5952989685752167E-7</c:v>
                </c:pt>
                <c:pt idx="466">
                  <c:v>5.8254084534283518E-7</c:v>
                </c:pt>
                <c:pt idx="467">
                  <c:v>5.1424268495308647E-7</c:v>
                </c:pt>
                <c:pt idx="468">
                  <c:v>4.5369052551441447E-7</c:v>
                </c:pt>
                <c:pt idx="469">
                  <c:v>4.0003790444932249E-7</c:v>
                </c:pt>
                <c:pt idx="470">
                  <c:v>3.5252703126140567E-7</c:v>
                </c:pt>
                <c:pt idx="471">
                  <c:v>3.104799430831489E-7</c:v>
                </c:pt>
                <c:pt idx="472">
                  <c:v>2.7329049227913364E-7</c:v>
                </c:pt>
                <c:pt idx="473">
                  <c:v>2.4041709330746573E-7</c:v>
                </c:pt>
                <c:pt idx="474">
                  <c:v>2.1137616183074136E-7</c:v>
                </c:pt>
                <c:pt idx="475">
                  <c:v>1.8573618445552897E-7</c:v>
                </c:pt>
                <c:pt idx="476">
                  <c:v>1.6311236248861543E-7</c:v>
                </c:pt>
                <c:pt idx="477">
                  <c:v>1.4316177774957213E-7</c:v>
                </c:pt>
                <c:pt idx="478">
                  <c:v>1.2557903279356918E-7</c:v>
                </c:pt>
                <c:pt idx="479">
                  <c:v>1.1009232189518106E-7</c:v>
                </c:pt>
                <c:pt idx="480">
                  <c:v>9.6459892842733842E-8</c:v>
                </c:pt>
                <c:pt idx="481">
                  <c:v>8.4466863011587931E-8</c:v>
                </c:pt>
                <c:pt idx="482">
                  <c:v>7.3922356341658018E-8</c:v>
                </c:pt>
                <c:pt idx="483">
                  <c:v>6.4656930756044859E-8</c:v>
                </c:pt>
                <c:pt idx="484">
                  <c:v>5.6520268240340859E-8</c:v>
                </c:pt>
                <c:pt idx="485">
                  <c:v>4.9379102271104225E-8</c:v>
                </c:pt>
                <c:pt idx="486">
                  <c:v>4.3115359552033492E-8</c:v>
                </c:pt>
                <c:pt idx="487">
                  <c:v>3.7624495101197867E-8</c:v>
                </c:pt>
                <c:pt idx="488">
                  <c:v>3.2814001645590985E-8</c:v>
                </c:pt>
                <c:pt idx="489">
                  <c:v>2.8602076032539976E-8</c:v>
                </c:pt>
                <c:pt idx="490">
                  <c:v>2.4916426972950989E-8</c:v>
                </c:pt>
                <c:pt idx="491">
                  <c:v>2.1693209899897903E-8</c:v>
                </c:pt>
                <c:pt idx="492">
                  <c:v>1.8876076068122808E-8</c:v>
                </c:pt>
                <c:pt idx="493">
                  <c:v>1.6415324245220292E-8</c:v>
                </c:pt>
                <c:pt idx="494">
                  <c:v>1.4267144462795874E-8</c:v>
                </c:pt>
                <c:pt idx="495">
                  <c:v>1.239294431415004E-8</c:v>
                </c:pt>
                <c:pt idx="496">
                  <c:v>1.0758749212031231E-8</c:v>
                </c:pt>
                <c:pt idx="497">
                  <c:v>9.3346688630663104E-9</c:v>
                </c:pt>
                <c:pt idx="498">
                  <c:v>8.094422981541427E-9</c:v>
                </c:pt>
                <c:pt idx="499">
                  <c:v>7.0149199606205826E-9</c:v>
                </c:pt>
                <c:pt idx="500">
                  <c:v>6.0758828498232861E-9</c:v>
                </c:pt>
              </c:numCache>
            </c:numRef>
          </c:yVal>
          <c:smooth val="0"/>
        </c:ser>
        <c:ser>
          <c:idx val="2"/>
          <c:order val="1"/>
          <c:tx>
            <c:v>random sample (x)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'Fig 1 - single value test'!$I$100</c:f>
              <c:numCache>
                <c:formatCode>General</c:formatCode>
                <c:ptCount val="1"/>
                <c:pt idx="0">
                  <c:v>8.387985011316984E-2</c:v>
                </c:pt>
              </c:numCache>
            </c:numRef>
          </c:xVal>
          <c:yVal>
            <c:numRef>
              <c:f>'Fig 1 - single value test'!$I$101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88160"/>
        <c:axId val="41790080"/>
      </c:scatterChart>
      <c:valAx>
        <c:axId val="41788160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out"/>
        <c:minorTickMark val="out"/>
        <c:tickLblPos val="nextTo"/>
        <c:crossAx val="41790080"/>
        <c:crosses val="autoZero"/>
        <c:crossBetween val="midCat"/>
        <c:majorUnit val="1"/>
        <c:minorUnit val="0.2"/>
      </c:valAx>
      <c:valAx>
        <c:axId val="41790080"/>
        <c:scaling>
          <c:orientation val="minMax"/>
          <c:max val="0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41788160"/>
        <c:crossesAt val="4"/>
        <c:crossBetween val="midCat"/>
      </c:valAx>
      <c:valAx>
        <c:axId val="41800064"/>
        <c:scaling>
          <c:orientation val="minMax"/>
          <c:max val="0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41801600"/>
        <c:crossesAt val="1"/>
        <c:crossBetween val="midCat"/>
      </c:valAx>
      <c:catAx>
        <c:axId val="41801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800064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12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'Fig 2 - 1-sample t test'!$B$60:$B$141</c:f>
              <c:numCache>
                <c:formatCode>General</c:formatCode>
                <c:ptCount val="82"/>
                <c:pt idx="40">
                  <c:v>-0.78327262401580811</c:v>
                </c:pt>
                <c:pt idx="41">
                  <c:v>-8.0284088850021362E-2</c:v>
                </c:pt>
                <c:pt idx="42">
                  <c:v>0.66306257247924805</c:v>
                </c:pt>
                <c:pt idx="43">
                  <c:v>0.68177968263626099</c:v>
                </c:pt>
                <c:pt idx="44">
                  <c:v>-0.256111741065979</c:v>
                </c:pt>
              </c:numCache>
            </c:numRef>
          </c:xVal>
          <c:yVal>
            <c:numRef>
              <c:f>'Fig 2 - 1-sample t test'!$A$60:$A$141</c:f>
              <c:numCache>
                <c:formatCode>General</c:formatCode>
                <c:ptCount val="82"/>
                <c:pt idx="39">
                  <c:v>0</c:v>
                </c:pt>
                <c:pt idx="40">
                  <c:v>0.4</c:v>
                </c:pt>
                <c:pt idx="41">
                  <c:v>0.60000000000000009</c:v>
                </c:pt>
                <c:pt idx="42">
                  <c:v>0.8</c:v>
                </c:pt>
                <c:pt idx="43">
                  <c:v>1</c:v>
                </c:pt>
                <c:pt idx="44">
                  <c:v>1.2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12"/>
            <c:spPr>
              <a:solidFill>
                <a:schemeClr val="tx1"/>
              </a:solidFill>
              <a:ln>
                <a:noFill/>
              </a:ln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'Fig 2 - 1-sample t test'!$C$14</c:f>
                <c:numCache>
                  <c:formatCode>General</c:formatCode>
                  <c:ptCount val="1"/>
                  <c:pt idx="0">
                    <c:v>0.28105956885484523</c:v>
                  </c:pt>
                </c:numCache>
              </c:numRef>
            </c:plus>
            <c:minus>
              <c:numRef>
                <c:f>'Fig 2 - 1-sample t test'!$C$14</c:f>
                <c:numCache>
                  <c:formatCode>General</c:formatCode>
                  <c:ptCount val="1"/>
                  <c:pt idx="0">
                    <c:v>0.28105956885484523</c:v>
                  </c:pt>
                </c:numCache>
              </c:numRef>
            </c:minus>
            <c:spPr>
              <a:ln w="25400">
                <a:solidFill>
                  <a:schemeClr val="tx1"/>
                </a:solidFill>
              </a:ln>
            </c:spPr>
          </c:errBars>
          <c:xVal>
            <c:numRef>
              <c:f>'Fig 2 - 1-sample t test'!$C$12</c:f>
              <c:numCache>
                <c:formatCode>0.00</c:formatCode>
                <c:ptCount val="1"/>
                <c:pt idx="0">
                  <c:v>4.5034760236740114E-2</c:v>
                </c:pt>
              </c:numCache>
            </c:numRef>
          </c:xVal>
          <c:yVal>
            <c:numRef>
              <c:f>'Fig 2 - 1-sample t test'!$C$101</c:f>
              <c:numCache>
                <c:formatCode>General</c:formatCode>
                <c:ptCount val="1"/>
                <c:pt idx="0">
                  <c:v>-0.5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14656"/>
        <c:axId val="41816448"/>
      </c:scatterChart>
      <c:valAx>
        <c:axId val="41814656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out"/>
        <c:minorTickMark val="out"/>
        <c:tickLblPos val="nextTo"/>
        <c:crossAx val="41816448"/>
        <c:crosses val="autoZero"/>
        <c:crossBetween val="midCat"/>
        <c:majorUnit val="1"/>
        <c:minorUnit val="0.2"/>
      </c:valAx>
      <c:valAx>
        <c:axId val="418164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181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2"/>
          <c:tx>
            <c:v>t &gt; sample t</c:v>
          </c:tx>
          <c:spPr>
            <a:solidFill>
              <a:srgbClr val="1F497D">
                <a:lumMod val="60000"/>
                <a:lumOff val="40000"/>
                <a:alpha val="25000"/>
              </a:srgbClr>
            </a:solidFill>
            <a:ln>
              <a:noFill/>
            </a:ln>
          </c:spPr>
          <c:cat>
            <c:numRef>
              <c:f>'Fig 2 - 1-sample t test'!$F$100:$F$600</c:f>
              <c:numCache>
                <c:formatCode>General</c:formatCode>
                <c:ptCount val="5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-5.4239999999999995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-4.6079999999999997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-4.3439999999999994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-3.7439999999999998</c:v>
                </c:pt>
                <c:pt idx="95">
                  <c:v>-3.7199999999999998</c:v>
                </c:pt>
                <c:pt idx="96">
                  <c:v>-3.6959999999999997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  <c:pt idx="101">
                  <c:v>-3.5760000000000001</c:v>
                </c:pt>
                <c:pt idx="102">
                  <c:v>-3.552</c:v>
                </c:pt>
                <c:pt idx="103">
                  <c:v>-3.528</c:v>
                </c:pt>
                <c:pt idx="104">
                  <c:v>-3.504</c:v>
                </c:pt>
                <c:pt idx="105">
                  <c:v>-3.48</c:v>
                </c:pt>
                <c:pt idx="106">
                  <c:v>-3.456</c:v>
                </c:pt>
                <c:pt idx="107">
                  <c:v>-3.4319999999999999</c:v>
                </c:pt>
                <c:pt idx="108">
                  <c:v>-3.4079999999999999</c:v>
                </c:pt>
                <c:pt idx="109">
                  <c:v>-3.3839999999999999</c:v>
                </c:pt>
                <c:pt idx="110">
                  <c:v>-3.36</c:v>
                </c:pt>
                <c:pt idx="111">
                  <c:v>-3.3359999999999999</c:v>
                </c:pt>
                <c:pt idx="112">
                  <c:v>-3.3119999999999998</c:v>
                </c:pt>
                <c:pt idx="113">
                  <c:v>-3.2879999999999998</c:v>
                </c:pt>
                <c:pt idx="114">
                  <c:v>-3.2639999999999998</c:v>
                </c:pt>
                <c:pt idx="115">
                  <c:v>-3.2399999999999998</c:v>
                </c:pt>
                <c:pt idx="116">
                  <c:v>-3.2159999999999997</c:v>
                </c:pt>
                <c:pt idx="117">
                  <c:v>-3.1919999999999997</c:v>
                </c:pt>
                <c:pt idx="118">
                  <c:v>-3.1680000000000001</c:v>
                </c:pt>
                <c:pt idx="119">
                  <c:v>-3.1440000000000001</c:v>
                </c:pt>
                <c:pt idx="120">
                  <c:v>-3.12</c:v>
                </c:pt>
                <c:pt idx="121">
                  <c:v>-3.0960000000000001</c:v>
                </c:pt>
                <c:pt idx="122">
                  <c:v>-3.0720000000000001</c:v>
                </c:pt>
                <c:pt idx="123">
                  <c:v>-3.048</c:v>
                </c:pt>
                <c:pt idx="124">
                  <c:v>-3.024</c:v>
                </c:pt>
                <c:pt idx="125">
                  <c:v>-3</c:v>
                </c:pt>
                <c:pt idx="126">
                  <c:v>-2.976</c:v>
                </c:pt>
                <c:pt idx="127">
                  <c:v>-2.952</c:v>
                </c:pt>
                <c:pt idx="128">
                  <c:v>-2.9279999999999999</c:v>
                </c:pt>
                <c:pt idx="129">
                  <c:v>-2.9039999999999999</c:v>
                </c:pt>
                <c:pt idx="130">
                  <c:v>-2.88</c:v>
                </c:pt>
                <c:pt idx="131">
                  <c:v>-2.8559999999999999</c:v>
                </c:pt>
                <c:pt idx="132">
                  <c:v>-2.8319999999999999</c:v>
                </c:pt>
                <c:pt idx="133">
                  <c:v>-2.8079999999999998</c:v>
                </c:pt>
                <c:pt idx="134">
                  <c:v>-2.7839999999999998</c:v>
                </c:pt>
                <c:pt idx="135">
                  <c:v>-2.76</c:v>
                </c:pt>
                <c:pt idx="136">
                  <c:v>-2.7359999999999998</c:v>
                </c:pt>
                <c:pt idx="137">
                  <c:v>-2.7119999999999997</c:v>
                </c:pt>
                <c:pt idx="138">
                  <c:v>-2.6879999999999997</c:v>
                </c:pt>
                <c:pt idx="139">
                  <c:v>-2.6640000000000001</c:v>
                </c:pt>
                <c:pt idx="140">
                  <c:v>-2.64</c:v>
                </c:pt>
                <c:pt idx="141">
                  <c:v>-2.6160000000000001</c:v>
                </c:pt>
                <c:pt idx="142">
                  <c:v>-2.5920000000000001</c:v>
                </c:pt>
                <c:pt idx="143">
                  <c:v>-2.5680000000000001</c:v>
                </c:pt>
                <c:pt idx="144">
                  <c:v>-2.544</c:v>
                </c:pt>
                <c:pt idx="145">
                  <c:v>-2.52</c:v>
                </c:pt>
                <c:pt idx="146">
                  <c:v>-2.496</c:v>
                </c:pt>
                <c:pt idx="147">
                  <c:v>-2.472</c:v>
                </c:pt>
                <c:pt idx="148">
                  <c:v>-2.448</c:v>
                </c:pt>
                <c:pt idx="149">
                  <c:v>-2.4239999999999999</c:v>
                </c:pt>
                <c:pt idx="150">
                  <c:v>-2.4</c:v>
                </c:pt>
                <c:pt idx="151">
                  <c:v>-2.3759999999999999</c:v>
                </c:pt>
                <c:pt idx="152">
                  <c:v>-2.3519999999999999</c:v>
                </c:pt>
                <c:pt idx="153">
                  <c:v>-2.3279999999999998</c:v>
                </c:pt>
                <c:pt idx="154">
                  <c:v>-2.3039999999999998</c:v>
                </c:pt>
                <c:pt idx="155">
                  <c:v>-2.2799999999999998</c:v>
                </c:pt>
                <c:pt idx="156">
                  <c:v>-2.2559999999999998</c:v>
                </c:pt>
                <c:pt idx="157">
                  <c:v>-2.2319999999999998</c:v>
                </c:pt>
                <c:pt idx="158">
                  <c:v>-2.2079999999999997</c:v>
                </c:pt>
                <c:pt idx="159">
                  <c:v>-2.1839999999999997</c:v>
                </c:pt>
                <c:pt idx="160">
                  <c:v>-2.16</c:v>
                </c:pt>
                <c:pt idx="161">
                  <c:v>-2.1360000000000001</c:v>
                </c:pt>
                <c:pt idx="162">
                  <c:v>-2.1120000000000001</c:v>
                </c:pt>
                <c:pt idx="163">
                  <c:v>-2.0880000000000001</c:v>
                </c:pt>
                <c:pt idx="164">
                  <c:v>-2.0640000000000001</c:v>
                </c:pt>
                <c:pt idx="165">
                  <c:v>-2.04</c:v>
                </c:pt>
                <c:pt idx="166">
                  <c:v>-2.016</c:v>
                </c:pt>
                <c:pt idx="167">
                  <c:v>-1.992</c:v>
                </c:pt>
                <c:pt idx="168">
                  <c:v>-1.968</c:v>
                </c:pt>
                <c:pt idx="169">
                  <c:v>-1.944</c:v>
                </c:pt>
                <c:pt idx="170">
                  <c:v>-1.92</c:v>
                </c:pt>
                <c:pt idx="171">
                  <c:v>-1.8959999999999999</c:v>
                </c:pt>
                <c:pt idx="172">
                  <c:v>-1.8719999999999999</c:v>
                </c:pt>
                <c:pt idx="173">
                  <c:v>-1.8479999999999999</c:v>
                </c:pt>
                <c:pt idx="174">
                  <c:v>-1.8239999999999998</c:v>
                </c:pt>
                <c:pt idx="175">
                  <c:v>-1.7999999999999998</c:v>
                </c:pt>
                <c:pt idx="176">
                  <c:v>-1.7759999999999998</c:v>
                </c:pt>
                <c:pt idx="177">
                  <c:v>-1.7519999999999998</c:v>
                </c:pt>
                <c:pt idx="178">
                  <c:v>-1.7279999999999998</c:v>
                </c:pt>
                <c:pt idx="179">
                  <c:v>-1.7039999999999997</c:v>
                </c:pt>
                <c:pt idx="180">
                  <c:v>-1.6799999999999997</c:v>
                </c:pt>
                <c:pt idx="181">
                  <c:v>-1.6559999999999997</c:v>
                </c:pt>
                <c:pt idx="182">
                  <c:v>-1.6319999999999997</c:v>
                </c:pt>
                <c:pt idx="183">
                  <c:v>-1.6079999999999997</c:v>
                </c:pt>
                <c:pt idx="184">
                  <c:v>-1.5839999999999996</c:v>
                </c:pt>
                <c:pt idx="185">
                  <c:v>-1.5599999999999996</c:v>
                </c:pt>
                <c:pt idx="186">
                  <c:v>-1.5359999999999996</c:v>
                </c:pt>
                <c:pt idx="187">
                  <c:v>-1.5119999999999996</c:v>
                </c:pt>
                <c:pt idx="188">
                  <c:v>-1.4879999999999995</c:v>
                </c:pt>
                <c:pt idx="189">
                  <c:v>-1.4639999999999995</c:v>
                </c:pt>
                <c:pt idx="190">
                  <c:v>-1.4399999999999995</c:v>
                </c:pt>
                <c:pt idx="191">
                  <c:v>-1.4159999999999995</c:v>
                </c:pt>
                <c:pt idx="192">
                  <c:v>-1.3919999999999995</c:v>
                </c:pt>
                <c:pt idx="193">
                  <c:v>-1.3680000000000003</c:v>
                </c:pt>
                <c:pt idx="194">
                  <c:v>-1.3440000000000003</c:v>
                </c:pt>
                <c:pt idx="195">
                  <c:v>-1.3200000000000003</c:v>
                </c:pt>
                <c:pt idx="196">
                  <c:v>-1.2960000000000003</c:v>
                </c:pt>
                <c:pt idx="197">
                  <c:v>-1.2720000000000002</c:v>
                </c:pt>
                <c:pt idx="198">
                  <c:v>-1.2480000000000002</c:v>
                </c:pt>
                <c:pt idx="199">
                  <c:v>-1.2240000000000002</c:v>
                </c:pt>
                <c:pt idx="200">
                  <c:v>-1.2000000000000002</c:v>
                </c:pt>
                <c:pt idx="201">
                  <c:v>-1.1760000000000002</c:v>
                </c:pt>
                <c:pt idx="202">
                  <c:v>-1.1520000000000001</c:v>
                </c:pt>
                <c:pt idx="203">
                  <c:v>-1.1280000000000001</c:v>
                </c:pt>
                <c:pt idx="204">
                  <c:v>-1.1040000000000001</c:v>
                </c:pt>
                <c:pt idx="205">
                  <c:v>-1.08</c:v>
                </c:pt>
                <c:pt idx="206">
                  <c:v>-1.056</c:v>
                </c:pt>
                <c:pt idx="207">
                  <c:v>-1.032</c:v>
                </c:pt>
                <c:pt idx="208">
                  <c:v>-1.008</c:v>
                </c:pt>
                <c:pt idx="209">
                  <c:v>-0.98399999999999999</c:v>
                </c:pt>
                <c:pt idx="210">
                  <c:v>-0.96</c:v>
                </c:pt>
                <c:pt idx="211">
                  <c:v>-0.93599999999999994</c:v>
                </c:pt>
                <c:pt idx="212">
                  <c:v>-0.91199999999999992</c:v>
                </c:pt>
                <c:pt idx="213">
                  <c:v>-0.8879999999999999</c:v>
                </c:pt>
                <c:pt idx="214">
                  <c:v>-0.86399999999999988</c:v>
                </c:pt>
                <c:pt idx="215">
                  <c:v>-0.83999999999999986</c:v>
                </c:pt>
                <c:pt idx="216">
                  <c:v>-0.81599999999999984</c:v>
                </c:pt>
                <c:pt idx="217">
                  <c:v>-0.79199999999999982</c:v>
                </c:pt>
                <c:pt idx="218">
                  <c:v>-0.76799999999999979</c:v>
                </c:pt>
                <c:pt idx="219">
                  <c:v>-0.74399999999999977</c:v>
                </c:pt>
                <c:pt idx="220">
                  <c:v>-0.71999999999999975</c:v>
                </c:pt>
                <c:pt idx="221">
                  <c:v>-0.69599999999999973</c:v>
                </c:pt>
                <c:pt idx="222">
                  <c:v>-0.67199999999999971</c:v>
                </c:pt>
                <c:pt idx="223">
                  <c:v>-0.64799999999999969</c:v>
                </c:pt>
                <c:pt idx="224">
                  <c:v>-0.62399999999999967</c:v>
                </c:pt>
                <c:pt idx="225">
                  <c:v>-0.59999999999999964</c:v>
                </c:pt>
                <c:pt idx="226">
                  <c:v>-0.57599999999999962</c:v>
                </c:pt>
                <c:pt idx="227">
                  <c:v>-0.5519999999999996</c:v>
                </c:pt>
                <c:pt idx="228">
                  <c:v>-0.52799999999999958</c:v>
                </c:pt>
                <c:pt idx="229">
                  <c:v>-0.50399999999999956</c:v>
                </c:pt>
                <c:pt idx="230">
                  <c:v>-0.47999999999999954</c:v>
                </c:pt>
                <c:pt idx="231">
                  <c:v>-0.45599999999999952</c:v>
                </c:pt>
                <c:pt idx="232">
                  <c:v>-0.4319999999999995</c:v>
                </c:pt>
                <c:pt idx="233">
                  <c:v>-0.40799999999999947</c:v>
                </c:pt>
                <c:pt idx="234">
                  <c:v>-0.38399999999999945</c:v>
                </c:pt>
                <c:pt idx="235">
                  <c:v>-0.36000000000000032</c:v>
                </c:pt>
                <c:pt idx="236">
                  <c:v>-0.3360000000000003</c:v>
                </c:pt>
                <c:pt idx="237">
                  <c:v>-0.31200000000000028</c:v>
                </c:pt>
                <c:pt idx="238">
                  <c:v>-0.28800000000000026</c:v>
                </c:pt>
                <c:pt idx="239">
                  <c:v>-0.26400000000000023</c:v>
                </c:pt>
                <c:pt idx="240">
                  <c:v>-0.24000000000000021</c:v>
                </c:pt>
                <c:pt idx="241">
                  <c:v>-0.21600000000000019</c:v>
                </c:pt>
                <c:pt idx="242">
                  <c:v>-0.19200000000000017</c:v>
                </c:pt>
                <c:pt idx="243">
                  <c:v>-0.16800000000000015</c:v>
                </c:pt>
                <c:pt idx="244">
                  <c:v>-0.14400000000000013</c:v>
                </c:pt>
                <c:pt idx="245">
                  <c:v>-0.12000000000000011</c:v>
                </c:pt>
                <c:pt idx="246">
                  <c:v>-9.6000000000000085E-2</c:v>
                </c:pt>
                <c:pt idx="247">
                  <c:v>-7.2000000000000064E-2</c:v>
                </c:pt>
                <c:pt idx="248">
                  <c:v>-4.8000000000000043E-2</c:v>
                </c:pt>
                <c:pt idx="249">
                  <c:v>-2.4000000000000021E-2</c:v>
                </c:pt>
                <c:pt idx="250">
                  <c:v>0</c:v>
                </c:pt>
                <c:pt idx="251">
                  <c:v>2.4000000000000021E-2</c:v>
                </c:pt>
                <c:pt idx="252">
                  <c:v>4.8000000000000043E-2</c:v>
                </c:pt>
                <c:pt idx="253">
                  <c:v>7.2000000000000064E-2</c:v>
                </c:pt>
                <c:pt idx="254">
                  <c:v>9.6000000000000085E-2</c:v>
                </c:pt>
                <c:pt idx="255">
                  <c:v>0.12000000000000011</c:v>
                </c:pt>
                <c:pt idx="256">
                  <c:v>0.14400000000000013</c:v>
                </c:pt>
                <c:pt idx="257">
                  <c:v>0.16800000000000015</c:v>
                </c:pt>
                <c:pt idx="258">
                  <c:v>0.19200000000000017</c:v>
                </c:pt>
                <c:pt idx="259">
                  <c:v>0.21600000000000019</c:v>
                </c:pt>
                <c:pt idx="260">
                  <c:v>0.24000000000000021</c:v>
                </c:pt>
                <c:pt idx="261">
                  <c:v>0.26400000000000023</c:v>
                </c:pt>
                <c:pt idx="262">
                  <c:v>0.28800000000000026</c:v>
                </c:pt>
                <c:pt idx="263">
                  <c:v>0.31200000000000028</c:v>
                </c:pt>
                <c:pt idx="264">
                  <c:v>0.3360000000000003</c:v>
                </c:pt>
                <c:pt idx="265">
                  <c:v>0.36000000000000032</c:v>
                </c:pt>
                <c:pt idx="266">
                  <c:v>0.38400000000000034</c:v>
                </c:pt>
                <c:pt idx="267">
                  <c:v>0.40800000000000036</c:v>
                </c:pt>
                <c:pt idx="268">
                  <c:v>0.43200000000000038</c:v>
                </c:pt>
                <c:pt idx="269">
                  <c:v>0.45600000000000041</c:v>
                </c:pt>
                <c:pt idx="270">
                  <c:v>0.48000000000000043</c:v>
                </c:pt>
                <c:pt idx="271">
                  <c:v>0.50400000000000045</c:v>
                </c:pt>
                <c:pt idx="272">
                  <c:v>0.52800000000000047</c:v>
                </c:pt>
                <c:pt idx="273">
                  <c:v>0.55200000000000049</c:v>
                </c:pt>
                <c:pt idx="274">
                  <c:v>0.57600000000000051</c:v>
                </c:pt>
                <c:pt idx="275">
                  <c:v>0.60000000000000053</c:v>
                </c:pt>
                <c:pt idx="276">
                  <c:v>0.62400000000000055</c:v>
                </c:pt>
                <c:pt idx="277">
                  <c:v>0.64800000000000058</c:v>
                </c:pt>
                <c:pt idx="278">
                  <c:v>0.67199999999999971</c:v>
                </c:pt>
                <c:pt idx="279">
                  <c:v>0.69599999999999973</c:v>
                </c:pt>
                <c:pt idx="280">
                  <c:v>0.71999999999999975</c:v>
                </c:pt>
                <c:pt idx="281">
                  <c:v>0.74399999999999977</c:v>
                </c:pt>
                <c:pt idx="282">
                  <c:v>0.76799999999999979</c:v>
                </c:pt>
                <c:pt idx="283">
                  <c:v>0.79199999999999982</c:v>
                </c:pt>
                <c:pt idx="284">
                  <c:v>0.81599999999999984</c:v>
                </c:pt>
                <c:pt idx="285">
                  <c:v>0.83999999999999986</c:v>
                </c:pt>
                <c:pt idx="286">
                  <c:v>0.86399999999999988</c:v>
                </c:pt>
                <c:pt idx="287">
                  <c:v>0.8879999999999999</c:v>
                </c:pt>
                <c:pt idx="288">
                  <c:v>0.91199999999999992</c:v>
                </c:pt>
                <c:pt idx="289">
                  <c:v>0.93599999999999994</c:v>
                </c:pt>
                <c:pt idx="290">
                  <c:v>0.96</c:v>
                </c:pt>
                <c:pt idx="291">
                  <c:v>0.98399999999999999</c:v>
                </c:pt>
                <c:pt idx="292">
                  <c:v>1.008</c:v>
                </c:pt>
                <c:pt idx="293">
                  <c:v>1.032</c:v>
                </c:pt>
                <c:pt idx="294">
                  <c:v>1.056</c:v>
                </c:pt>
                <c:pt idx="295">
                  <c:v>1.08</c:v>
                </c:pt>
                <c:pt idx="296">
                  <c:v>1.1040000000000001</c:v>
                </c:pt>
                <c:pt idx="297">
                  <c:v>1.1280000000000001</c:v>
                </c:pt>
                <c:pt idx="298">
                  <c:v>1.1520000000000001</c:v>
                </c:pt>
                <c:pt idx="299">
                  <c:v>1.1760000000000002</c:v>
                </c:pt>
                <c:pt idx="300">
                  <c:v>1.2000000000000002</c:v>
                </c:pt>
                <c:pt idx="301">
                  <c:v>1.2240000000000002</c:v>
                </c:pt>
                <c:pt idx="302">
                  <c:v>1.2480000000000002</c:v>
                </c:pt>
                <c:pt idx="303">
                  <c:v>1.2720000000000002</c:v>
                </c:pt>
                <c:pt idx="304">
                  <c:v>1.2960000000000003</c:v>
                </c:pt>
                <c:pt idx="305">
                  <c:v>1.3200000000000003</c:v>
                </c:pt>
                <c:pt idx="306">
                  <c:v>1.3440000000000003</c:v>
                </c:pt>
                <c:pt idx="307">
                  <c:v>1.3680000000000003</c:v>
                </c:pt>
                <c:pt idx="308">
                  <c:v>1.3920000000000003</c:v>
                </c:pt>
                <c:pt idx="309">
                  <c:v>1.4160000000000004</c:v>
                </c:pt>
                <c:pt idx="310">
                  <c:v>1.4400000000000004</c:v>
                </c:pt>
                <c:pt idx="311">
                  <c:v>1.4640000000000004</c:v>
                </c:pt>
                <c:pt idx="312">
                  <c:v>1.4880000000000004</c:v>
                </c:pt>
                <c:pt idx="313">
                  <c:v>1.5120000000000005</c:v>
                </c:pt>
                <c:pt idx="314">
                  <c:v>1.5360000000000005</c:v>
                </c:pt>
                <c:pt idx="315">
                  <c:v>1.5600000000000005</c:v>
                </c:pt>
                <c:pt idx="316">
                  <c:v>1.5840000000000005</c:v>
                </c:pt>
                <c:pt idx="317">
                  <c:v>1.6080000000000005</c:v>
                </c:pt>
                <c:pt idx="318">
                  <c:v>1.6320000000000006</c:v>
                </c:pt>
                <c:pt idx="319">
                  <c:v>1.6560000000000006</c:v>
                </c:pt>
                <c:pt idx="320">
                  <c:v>1.6799999999999997</c:v>
                </c:pt>
                <c:pt idx="321">
                  <c:v>1.7039999999999997</c:v>
                </c:pt>
                <c:pt idx="322">
                  <c:v>1.7279999999999998</c:v>
                </c:pt>
                <c:pt idx="323">
                  <c:v>1.7519999999999998</c:v>
                </c:pt>
                <c:pt idx="324">
                  <c:v>1.7759999999999998</c:v>
                </c:pt>
                <c:pt idx="325">
                  <c:v>1.7999999999999998</c:v>
                </c:pt>
                <c:pt idx="326">
                  <c:v>1.8239999999999998</c:v>
                </c:pt>
                <c:pt idx="327">
                  <c:v>1.8479999999999999</c:v>
                </c:pt>
                <c:pt idx="328">
                  <c:v>1.8719999999999999</c:v>
                </c:pt>
                <c:pt idx="329">
                  <c:v>1.8959999999999999</c:v>
                </c:pt>
                <c:pt idx="330">
                  <c:v>1.92</c:v>
                </c:pt>
                <c:pt idx="331">
                  <c:v>1.944</c:v>
                </c:pt>
                <c:pt idx="332">
                  <c:v>1.968</c:v>
                </c:pt>
                <c:pt idx="333">
                  <c:v>1.992</c:v>
                </c:pt>
                <c:pt idx="334">
                  <c:v>2.016</c:v>
                </c:pt>
                <c:pt idx="335">
                  <c:v>2.0400000000000009</c:v>
                </c:pt>
                <c:pt idx="336">
                  <c:v>2.0640000000000001</c:v>
                </c:pt>
                <c:pt idx="337">
                  <c:v>2.088000000000001</c:v>
                </c:pt>
                <c:pt idx="338">
                  <c:v>2.1120000000000001</c:v>
                </c:pt>
                <c:pt idx="339">
                  <c:v>2.136000000000001</c:v>
                </c:pt>
                <c:pt idx="340">
                  <c:v>2.16</c:v>
                </c:pt>
                <c:pt idx="341">
                  <c:v>2.1840000000000011</c:v>
                </c:pt>
                <c:pt idx="342">
                  <c:v>2.2080000000000002</c:v>
                </c:pt>
                <c:pt idx="343">
                  <c:v>2.2319999999999993</c:v>
                </c:pt>
                <c:pt idx="344">
                  <c:v>2.2560000000000002</c:v>
                </c:pt>
                <c:pt idx="345">
                  <c:v>2.2799999999999994</c:v>
                </c:pt>
                <c:pt idx="346">
                  <c:v>2.3040000000000003</c:v>
                </c:pt>
                <c:pt idx="347">
                  <c:v>2.3279999999999994</c:v>
                </c:pt>
                <c:pt idx="348">
                  <c:v>2.3520000000000003</c:v>
                </c:pt>
                <c:pt idx="349">
                  <c:v>2.3759999999999994</c:v>
                </c:pt>
                <c:pt idx="350">
                  <c:v>2.4000000000000004</c:v>
                </c:pt>
                <c:pt idx="351">
                  <c:v>2.4239999999999995</c:v>
                </c:pt>
                <c:pt idx="352">
                  <c:v>2.4480000000000004</c:v>
                </c:pt>
                <c:pt idx="353">
                  <c:v>2.4719999999999995</c:v>
                </c:pt>
                <c:pt idx="354">
                  <c:v>2.4960000000000004</c:v>
                </c:pt>
                <c:pt idx="355">
                  <c:v>2.5199999999999996</c:v>
                </c:pt>
                <c:pt idx="356">
                  <c:v>2.5440000000000005</c:v>
                </c:pt>
                <c:pt idx="357">
                  <c:v>2.5679999999999996</c:v>
                </c:pt>
                <c:pt idx="358">
                  <c:v>2.5920000000000005</c:v>
                </c:pt>
                <c:pt idx="359">
                  <c:v>2.6159999999999997</c:v>
                </c:pt>
                <c:pt idx="360">
                  <c:v>2.6400000000000006</c:v>
                </c:pt>
                <c:pt idx="361">
                  <c:v>2.6639999999999997</c:v>
                </c:pt>
                <c:pt idx="362">
                  <c:v>2.6880000000000006</c:v>
                </c:pt>
                <c:pt idx="363">
                  <c:v>2.7119999999999997</c:v>
                </c:pt>
                <c:pt idx="364">
                  <c:v>2.7360000000000007</c:v>
                </c:pt>
                <c:pt idx="365">
                  <c:v>2.76</c:v>
                </c:pt>
                <c:pt idx="366">
                  <c:v>2.7840000000000007</c:v>
                </c:pt>
                <c:pt idx="367">
                  <c:v>2.8079999999999998</c:v>
                </c:pt>
                <c:pt idx="368">
                  <c:v>2.8320000000000007</c:v>
                </c:pt>
                <c:pt idx="369">
                  <c:v>2.8559999999999999</c:v>
                </c:pt>
                <c:pt idx="370">
                  <c:v>2.8800000000000008</c:v>
                </c:pt>
                <c:pt idx="371">
                  <c:v>2.9039999999999999</c:v>
                </c:pt>
                <c:pt idx="372">
                  <c:v>2.9280000000000008</c:v>
                </c:pt>
                <c:pt idx="373">
                  <c:v>2.952</c:v>
                </c:pt>
                <c:pt idx="374">
                  <c:v>2.9760000000000009</c:v>
                </c:pt>
                <c:pt idx="375">
                  <c:v>3</c:v>
                </c:pt>
                <c:pt idx="376">
                  <c:v>3.0240000000000009</c:v>
                </c:pt>
                <c:pt idx="377">
                  <c:v>3.048</c:v>
                </c:pt>
                <c:pt idx="378">
                  <c:v>3.072000000000001</c:v>
                </c:pt>
                <c:pt idx="379">
                  <c:v>3.0960000000000001</c:v>
                </c:pt>
                <c:pt idx="380">
                  <c:v>3.120000000000001</c:v>
                </c:pt>
                <c:pt idx="381">
                  <c:v>3.1440000000000001</c:v>
                </c:pt>
                <c:pt idx="382">
                  <c:v>3.168000000000001</c:v>
                </c:pt>
                <c:pt idx="383">
                  <c:v>3.1920000000000002</c:v>
                </c:pt>
                <c:pt idx="384">
                  <c:v>3.2160000000000011</c:v>
                </c:pt>
                <c:pt idx="385">
                  <c:v>3.24</c:v>
                </c:pt>
                <c:pt idx="386">
                  <c:v>3.2639999999999993</c:v>
                </c:pt>
                <c:pt idx="387">
                  <c:v>3.2880000000000003</c:v>
                </c:pt>
                <c:pt idx="388">
                  <c:v>3.3119999999999994</c:v>
                </c:pt>
                <c:pt idx="389">
                  <c:v>3.3360000000000003</c:v>
                </c:pt>
                <c:pt idx="390">
                  <c:v>3.3599999999999994</c:v>
                </c:pt>
                <c:pt idx="391">
                  <c:v>3.3840000000000003</c:v>
                </c:pt>
                <c:pt idx="392">
                  <c:v>3.4079999999999995</c:v>
                </c:pt>
                <c:pt idx="393">
                  <c:v>3.4320000000000004</c:v>
                </c:pt>
                <c:pt idx="394">
                  <c:v>3.4559999999999995</c:v>
                </c:pt>
                <c:pt idx="395">
                  <c:v>3.4800000000000004</c:v>
                </c:pt>
                <c:pt idx="396">
                  <c:v>3.5039999999999996</c:v>
                </c:pt>
                <c:pt idx="397">
                  <c:v>3.5280000000000005</c:v>
                </c:pt>
                <c:pt idx="398">
                  <c:v>3.5519999999999996</c:v>
                </c:pt>
                <c:pt idx="399">
                  <c:v>3.5760000000000005</c:v>
                </c:pt>
                <c:pt idx="400">
                  <c:v>3.5999999999999996</c:v>
                </c:pt>
                <c:pt idx="401">
                  <c:v>3.6240000000000006</c:v>
                </c:pt>
                <c:pt idx="402">
                  <c:v>3.6479999999999997</c:v>
                </c:pt>
                <c:pt idx="403">
                  <c:v>3.6720000000000006</c:v>
                </c:pt>
                <c:pt idx="404">
                  <c:v>3.6959999999999997</c:v>
                </c:pt>
                <c:pt idx="405">
                  <c:v>3.7200000000000006</c:v>
                </c:pt>
                <c:pt idx="406">
                  <c:v>3.7439999999999998</c:v>
                </c:pt>
                <c:pt idx="407">
                  <c:v>3.7680000000000007</c:v>
                </c:pt>
                <c:pt idx="408">
                  <c:v>3.7919999999999998</c:v>
                </c:pt>
                <c:pt idx="409">
                  <c:v>3.8160000000000007</c:v>
                </c:pt>
                <c:pt idx="410">
                  <c:v>3.84</c:v>
                </c:pt>
                <c:pt idx="411">
                  <c:v>3.8640000000000008</c:v>
                </c:pt>
                <c:pt idx="412">
                  <c:v>3.8879999999999999</c:v>
                </c:pt>
                <c:pt idx="413">
                  <c:v>3.9120000000000008</c:v>
                </c:pt>
                <c:pt idx="414">
                  <c:v>3.9359999999999999</c:v>
                </c:pt>
                <c:pt idx="415">
                  <c:v>3.9600000000000009</c:v>
                </c:pt>
                <c:pt idx="416">
                  <c:v>3.984</c:v>
                </c:pt>
                <c:pt idx="417">
                  <c:v>4.0080000000000009</c:v>
                </c:pt>
                <c:pt idx="418">
                  <c:v>4.032</c:v>
                </c:pt>
                <c:pt idx="419">
                  <c:v>4.0560000000000009</c:v>
                </c:pt>
                <c:pt idx="420">
                  <c:v>4.08</c:v>
                </c:pt>
                <c:pt idx="421">
                  <c:v>4.104000000000001</c:v>
                </c:pt>
                <c:pt idx="422">
                  <c:v>4.1280000000000001</c:v>
                </c:pt>
                <c:pt idx="423">
                  <c:v>4.152000000000001</c:v>
                </c:pt>
                <c:pt idx="424">
                  <c:v>4.1760000000000002</c:v>
                </c:pt>
                <c:pt idx="425">
                  <c:v>4.2000000000000011</c:v>
                </c:pt>
                <c:pt idx="426">
                  <c:v>4.2240000000000002</c:v>
                </c:pt>
                <c:pt idx="427">
                  <c:v>4.2479999999999993</c:v>
                </c:pt>
                <c:pt idx="428">
                  <c:v>4.2720000000000002</c:v>
                </c:pt>
                <c:pt idx="429">
                  <c:v>4.2959999999999994</c:v>
                </c:pt>
                <c:pt idx="430">
                  <c:v>4.32</c:v>
                </c:pt>
                <c:pt idx="431">
                  <c:v>4.3439999999999994</c:v>
                </c:pt>
                <c:pt idx="432">
                  <c:v>4.3680000000000003</c:v>
                </c:pt>
                <c:pt idx="433">
                  <c:v>4.3919999999999995</c:v>
                </c:pt>
                <c:pt idx="434">
                  <c:v>4.4160000000000004</c:v>
                </c:pt>
                <c:pt idx="435">
                  <c:v>4.4399999999999995</c:v>
                </c:pt>
                <c:pt idx="436">
                  <c:v>4.4640000000000004</c:v>
                </c:pt>
                <c:pt idx="437">
                  <c:v>4.4879999999999995</c:v>
                </c:pt>
                <c:pt idx="438">
                  <c:v>4.5120000000000005</c:v>
                </c:pt>
                <c:pt idx="439">
                  <c:v>4.5359999999999996</c:v>
                </c:pt>
                <c:pt idx="440">
                  <c:v>4.5600000000000005</c:v>
                </c:pt>
                <c:pt idx="441">
                  <c:v>4.5839999999999996</c:v>
                </c:pt>
                <c:pt idx="442">
                  <c:v>4.6080000000000005</c:v>
                </c:pt>
                <c:pt idx="443">
                  <c:v>4.6319999999999997</c:v>
                </c:pt>
                <c:pt idx="444">
                  <c:v>4.6560000000000006</c:v>
                </c:pt>
                <c:pt idx="445">
                  <c:v>4.68</c:v>
                </c:pt>
                <c:pt idx="446">
                  <c:v>4.7040000000000006</c:v>
                </c:pt>
                <c:pt idx="447">
                  <c:v>4.7279999999999998</c:v>
                </c:pt>
                <c:pt idx="448">
                  <c:v>4.7520000000000007</c:v>
                </c:pt>
                <c:pt idx="449">
                  <c:v>4.7759999999999998</c:v>
                </c:pt>
                <c:pt idx="450">
                  <c:v>4.8000000000000007</c:v>
                </c:pt>
                <c:pt idx="451">
                  <c:v>4.8239999999999998</c:v>
                </c:pt>
                <c:pt idx="452">
                  <c:v>4.8480000000000008</c:v>
                </c:pt>
                <c:pt idx="453">
                  <c:v>4.8719999999999999</c:v>
                </c:pt>
                <c:pt idx="454">
                  <c:v>4.8960000000000008</c:v>
                </c:pt>
                <c:pt idx="455">
                  <c:v>4.92</c:v>
                </c:pt>
                <c:pt idx="456">
                  <c:v>4.9440000000000008</c:v>
                </c:pt>
                <c:pt idx="457">
                  <c:v>4.968</c:v>
                </c:pt>
                <c:pt idx="458">
                  <c:v>4.9920000000000009</c:v>
                </c:pt>
                <c:pt idx="459">
                  <c:v>5.016</c:v>
                </c:pt>
                <c:pt idx="460">
                  <c:v>5.0400000000000009</c:v>
                </c:pt>
                <c:pt idx="461">
                  <c:v>5.0640000000000001</c:v>
                </c:pt>
                <c:pt idx="462">
                  <c:v>5.088000000000001</c:v>
                </c:pt>
                <c:pt idx="463">
                  <c:v>5.1120000000000001</c:v>
                </c:pt>
                <c:pt idx="464">
                  <c:v>5.136000000000001</c:v>
                </c:pt>
                <c:pt idx="465">
                  <c:v>5.16</c:v>
                </c:pt>
                <c:pt idx="466">
                  <c:v>5.1840000000000011</c:v>
                </c:pt>
                <c:pt idx="467">
                  <c:v>5.2080000000000002</c:v>
                </c:pt>
                <c:pt idx="468">
                  <c:v>5.2320000000000011</c:v>
                </c:pt>
                <c:pt idx="469">
                  <c:v>5.2560000000000002</c:v>
                </c:pt>
                <c:pt idx="470">
                  <c:v>5.2799999999999994</c:v>
                </c:pt>
                <c:pt idx="471">
                  <c:v>5.3040000000000003</c:v>
                </c:pt>
                <c:pt idx="472">
                  <c:v>5.3279999999999994</c:v>
                </c:pt>
                <c:pt idx="473">
                  <c:v>5.3520000000000003</c:v>
                </c:pt>
                <c:pt idx="474">
                  <c:v>5.3759999999999994</c:v>
                </c:pt>
                <c:pt idx="475">
                  <c:v>5.4</c:v>
                </c:pt>
                <c:pt idx="476">
                  <c:v>5.4239999999999995</c:v>
                </c:pt>
                <c:pt idx="477">
                  <c:v>5.4480000000000004</c:v>
                </c:pt>
                <c:pt idx="478">
                  <c:v>5.4719999999999995</c:v>
                </c:pt>
                <c:pt idx="479">
                  <c:v>5.4960000000000004</c:v>
                </c:pt>
                <c:pt idx="480">
                  <c:v>5.52</c:v>
                </c:pt>
                <c:pt idx="481">
                  <c:v>5.5440000000000005</c:v>
                </c:pt>
                <c:pt idx="482">
                  <c:v>5.5679999999999996</c:v>
                </c:pt>
                <c:pt idx="483">
                  <c:v>5.5920000000000005</c:v>
                </c:pt>
                <c:pt idx="484">
                  <c:v>5.6159999999999997</c:v>
                </c:pt>
                <c:pt idx="485">
                  <c:v>5.6400000000000006</c:v>
                </c:pt>
                <c:pt idx="486">
                  <c:v>5.6639999999999997</c:v>
                </c:pt>
                <c:pt idx="487">
                  <c:v>5.6880000000000006</c:v>
                </c:pt>
                <c:pt idx="488">
                  <c:v>5.7119999999999997</c:v>
                </c:pt>
                <c:pt idx="489">
                  <c:v>5.7360000000000007</c:v>
                </c:pt>
                <c:pt idx="490">
                  <c:v>5.76</c:v>
                </c:pt>
                <c:pt idx="491">
                  <c:v>5.7840000000000007</c:v>
                </c:pt>
                <c:pt idx="492">
                  <c:v>5.8079999999999998</c:v>
                </c:pt>
                <c:pt idx="493">
                  <c:v>5.8320000000000007</c:v>
                </c:pt>
                <c:pt idx="494">
                  <c:v>5.8559999999999999</c:v>
                </c:pt>
                <c:pt idx="495">
                  <c:v>5.8800000000000008</c:v>
                </c:pt>
                <c:pt idx="496">
                  <c:v>5.9039999999999999</c:v>
                </c:pt>
                <c:pt idx="497">
                  <c:v>5.9280000000000008</c:v>
                </c:pt>
                <c:pt idx="498">
                  <c:v>5.952</c:v>
                </c:pt>
                <c:pt idx="499">
                  <c:v>5.9760000000000009</c:v>
                </c:pt>
                <c:pt idx="500">
                  <c:v>6</c:v>
                </c:pt>
              </c:numCache>
            </c:numRef>
          </c:cat>
          <c:val>
            <c:numRef>
              <c:f>'Fig 2 - 1-sample t test'!$I$100:$I$600</c:f>
              <c:numCache>
                <c:formatCode>General</c:formatCode>
                <c:ptCount val="501"/>
                <c:pt idx="0">
                  <c:v>1.1858541225631424E-3</c:v>
                </c:pt>
                <c:pt idx="1">
                  <c:v>1.2074275990859437E-3</c:v>
                </c:pt>
                <c:pt idx="2">
                  <c:v>1.2294647466724814E-3</c:v>
                </c:pt>
                <c:pt idx="3">
                  <c:v>1.2519769964117219E-3</c:v>
                </c:pt>
                <c:pt idx="4">
                  <c:v>1.274976095478737E-3</c:v>
                </c:pt>
                <c:pt idx="5">
                  <c:v>1.2984741167604388E-3</c:v>
                </c:pt>
                <c:pt idx="6">
                  <c:v>1.3224834687990369E-3</c:v>
                </c:pt>
                <c:pt idx="7">
                  <c:v>1.3470169060644192E-3</c:v>
                </c:pt>
                <c:pt idx="8">
                  <c:v>1.3720875395670609E-3</c:v>
                </c:pt>
                <c:pt idx="9">
                  <c:v>1.397708847823512E-3</c:v>
                </c:pt>
                <c:pt idx="10">
                  <c:v>1.4238946881869421E-3</c:v>
                </c:pt>
                <c:pt idx="11">
                  <c:v>1.4506593085557018E-3</c:v>
                </c:pt>
                <c:pt idx="12">
                  <c:v>1.4780173594733288E-3</c:v>
                </c:pt>
                <c:pt idx="13">
                  <c:v>1.5059839066339381E-3</c:v>
                </c:pt>
                <c:pt idx="14">
                  <c:v>1.5345744438074443E-3</c:v>
                </c:pt>
                <c:pt idx="15">
                  <c:v>1.5638049061996008E-3</c:v>
                </c:pt>
                <c:pt idx="16">
                  <c:v>1.5936916842624253E-3</c:v>
                </c:pt>
                <c:pt idx="17">
                  <c:v>1.6242516379711208E-3</c:v>
                </c:pt>
                <c:pt idx="18">
                  <c:v>1.6555021115842359E-3</c:v>
                </c:pt>
                <c:pt idx="19">
                  <c:v>1.6874609489044262E-3</c:v>
                </c:pt>
                <c:pt idx="20">
                  <c:v>1.7201465090578147E-3</c:v>
                </c:pt>
                <c:pt idx="21">
                  <c:v>1.7535776828106458E-3</c:v>
                </c:pt>
                <c:pt idx="22">
                  <c:v>1.7877739094426049E-3</c:v>
                </c:pt>
                <c:pt idx="23">
                  <c:v>1.822755194196903E-3</c:v>
                </c:pt>
                <c:pt idx="24">
                  <c:v>1.8585421263280259E-3</c:v>
                </c:pt>
                <c:pt idx="25">
                  <c:v>1.8951558977687263E-3</c:v>
                </c:pt>
                <c:pt idx="26">
                  <c:v>1.9326183224387824E-3</c:v>
                </c:pt>
                <c:pt idx="27">
                  <c:v>1.9709518562187616E-3</c:v>
                </c:pt>
                <c:pt idx="28">
                  <c:v>2.0101796176130002E-3</c:v>
                </c:pt>
                <c:pt idx="29">
                  <c:v>2.0503254091268439E-3</c:v>
                </c:pt>
                <c:pt idx="30">
                  <c:v>2.0914137393841905E-3</c:v>
                </c:pt>
                <c:pt idx="31">
                  <c:v>2.1334698460123021E-3</c:v>
                </c:pt>
                <c:pt idx="32">
                  <c:v>2.1765197193219141E-3</c:v>
                </c:pt>
                <c:pt idx="33">
                  <c:v>2.2205901268116707E-3</c:v>
                </c:pt>
                <c:pt idx="34">
                  <c:v>2.2657086385270415E-3</c:v>
                </c:pt>
                <c:pt idx="35">
                  <c:v>2.311903653304978E-3</c:v>
                </c:pt>
                <c:pt idx="36">
                  <c:v>2.3592044259367578E-3</c:v>
                </c:pt>
                <c:pt idx="37">
                  <c:v>2.4076410952826532E-3</c:v>
                </c:pt>
                <c:pt idx="38">
                  <c:v>2.4572447133733404E-3</c:v>
                </c:pt>
                <c:pt idx="39">
                  <c:v>2.5080472755342623E-3</c:v>
                </c:pt>
                <c:pt idx="40">
                  <c:v>2.5600817515704847E-3</c:v>
                </c:pt>
                <c:pt idx="41">
                  <c:v>2.6133821180510273E-3</c:v>
                </c:pt>
                <c:pt idx="42">
                  <c:v>2.6679833917330554E-3</c:v>
                </c:pt>
                <c:pt idx="43">
                  <c:v>2.7239216641678451E-3</c:v>
                </c:pt>
                <c:pt idx="44">
                  <c:v>2.7812341375319802E-3</c:v>
                </c:pt>
                <c:pt idx="45">
                  <c:v>2.8399591617288408E-3</c:v>
                </c:pt>
                <c:pt idx="46">
                  <c:v>2.9001362728071213E-3</c:v>
                </c:pt>
                <c:pt idx="47">
                  <c:v>2.9618062327448173E-3</c:v>
                </c:pt>
                <c:pt idx="48">
                  <c:v>3.0250110706489196E-3</c:v>
                </c:pt>
                <c:pt idx="49">
                  <c:v>3.0897941254228959E-3</c:v>
                </c:pt>
                <c:pt idx="50">
                  <c:v>3.1562000899559117E-3</c:v>
                </c:pt>
                <c:pt idx="51">
                  <c:v>3.224275056889775E-3</c:v>
                </c:pt>
                <c:pt idx="52">
                  <c:v>3.2940665660215417E-3</c:v>
                </c:pt>
                <c:pt idx="53">
                  <c:v>3.3656236534018967E-3</c:v>
                </c:pt>
                <c:pt idx="54">
                  <c:v>3.4389969021915321E-3</c:v>
                </c:pt>
                <c:pt idx="55">
                  <c:v>3.5142384953400236E-3</c:v>
                </c:pt>
                <c:pt idx="56">
                  <c:v>3.5914022701539977E-3</c:v>
                </c:pt>
                <c:pt idx="57">
                  <c:v>3.6705437748237599E-3</c:v>
                </c:pt>
                <c:pt idx="58">
                  <c:v>3.7517203269800134E-3</c:v>
                </c:pt>
                <c:pt idx="59">
                  <c:v>3.8349910743548442E-3</c:v>
                </c:pt>
                <c:pt idx="60">
                  <c:v>3.9204170576237008E-3</c:v>
                </c:pt>
                <c:pt idx="61">
                  <c:v>4.0080612755078729E-3</c:v>
                </c:pt>
                <c:pt idx="62">
                  <c:v>4.0979887522195465E-3</c:v>
                </c:pt>
                <c:pt idx="63">
                  <c:v>4.1902666073346459E-3</c:v>
                </c:pt>
                <c:pt idx="64">
                  <c:v>4.2849641281811884E-3</c:v>
                </c:pt>
                <c:pt idx="65">
                  <c:v>4.3821528448342922E-3</c:v>
                </c:pt>
                <c:pt idx="66">
                  <c:v>4.4819066078116004E-3</c:v>
                </c:pt>
                <c:pt idx="67">
                  <c:v>4.584301668566472E-3</c:v>
                </c:pt>
                <c:pt idx="68">
                  <c:v>4.6894167628790534E-3</c:v>
                </c:pt>
                <c:pt idx="69">
                  <c:v>4.797333197249066E-3</c:v>
                </c:pt>
                <c:pt idx="70">
                  <c:v>4.9081349383970499E-3</c:v>
                </c:pt>
                <c:pt idx="71">
                  <c:v>5.0219087059847302E-3</c:v>
                </c:pt>
                <c:pt idx="72">
                  <c:v>5.1387440686681352E-3</c:v>
                </c:pt>
                <c:pt idx="73">
                  <c:v>5.2587335436011006E-3</c:v>
                </c:pt>
                <c:pt idx="74">
                  <c:v>5.3819726995101317E-3</c:v>
                </c:pt>
                <c:pt idx="75">
                  <c:v>5.5085602634653572E-3</c:v>
                </c:pt>
                <c:pt idx="76">
                  <c:v>5.6385982314759988E-3</c:v>
                </c:pt>
                <c:pt idx="77">
                  <c:v>5.7721919830425704E-3</c:v>
                </c:pt>
                <c:pt idx="78">
                  <c:v>5.9094503998017517E-3</c:v>
                </c:pt>
                <c:pt idx="79">
                  <c:v>6.050485988403736E-3</c:v>
                </c:pt>
                <c:pt idx="80">
                  <c:v>6.1954150077656615E-3</c:v>
                </c:pt>
                <c:pt idx="81">
                  <c:v>6.3443576008485819E-3</c:v>
                </c:pt>
                <c:pt idx="82">
                  <c:v>6.4974379311092453E-3</c:v>
                </c:pt>
                <c:pt idx="83">
                  <c:v>6.654784323781731E-3</c:v>
                </c:pt>
                <c:pt idx="84">
                  <c:v>6.8165294121478332E-3</c:v>
                </c:pt>
                <c:pt idx="85">
                  <c:v>6.982810288958724E-3</c:v>
                </c:pt>
                <c:pt idx="86">
                  <c:v>7.1537686631740535E-3</c:v>
                </c:pt>
                <c:pt idx="87">
                  <c:v>7.3295510221882947E-3</c:v>
                </c:pt>
                <c:pt idx="88">
                  <c:v>7.5103087997174271E-3</c:v>
                </c:pt>
                <c:pt idx="89">
                  <c:v>7.6961985495224237E-3</c:v>
                </c:pt>
                <c:pt idx="90">
                  <c:v>7.8873821251491377E-3</c:v>
                </c:pt>
                <c:pt idx="91">
                  <c:v>8.0840268658669452E-3</c:v>
                </c:pt>
                <c:pt idx="92">
                  <c:v>8.28630578899134E-3</c:v>
                </c:pt>
                <c:pt idx="93">
                  <c:v>8.4943977887779396E-3</c:v>
                </c:pt>
                <c:pt idx="94">
                  <c:v>8.7084878420774468E-3</c:v>
                </c:pt>
                <c:pt idx="95">
                  <c:v>8.9287672209428705E-3</c:v>
                </c:pt>
                <c:pt idx="96">
                  <c:v>9.1554337123814535E-3</c:v>
                </c:pt>
                <c:pt idx="97">
                  <c:v>9.3886918454446945E-3</c:v>
                </c:pt>
                <c:pt idx="98">
                  <c:v>9.6287531258500928E-3</c:v>
                </c:pt>
                <c:pt idx="99">
                  <c:v>9.8758362783277591E-3</c:v>
                </c:pt>
                <c:pt idx="100">
                  <c:v>1.0130167496884291E-2</c:v>
                </c:pt>
                <c:pt idx="101">
                  <c:v>1.0391980703174387E-2</c:v>
                </c:pt>
                <c:pt idx="102">
                  <c:v>1.0661517813168056E-2</c:v>
                </c:pt>
                <c:pt idx="103">
                  <c:v>1.0939029012297916E-2</c:v>
                </c:pt>
                <c:pt idx="104">
                  <c:v>1.1224773039266465E-2</c:v>
                </c:pt>
                <c:pt idx="105">
                  <c:v>1.151901747868739E-2</c:v>
                </c:pt>
                <c:pt idx="106">
                  <c:v>1.1822039062728308E-2</c:v>
                </c:pt>
                <c:pt idx="107">
                  <c:v>1.2134123981913846E-2</c:v>
                </c:pt>
                <c:pt idx="108">
                  <c:v>1.2455568205238136E-2</c:v>
                </c:pt>
                <c:pt idx="109">
                  <c:v>1.278667780972439E-2</c:v>
                </c:pt>
                <c:pt idx="110">
                  <c:v>1.3127769319555822E-2</c:v>
                </c:pt>
                <c:pt idx="111">
                  <c:v>1.347917005488695E-2</c:v>
                </c:pt>
                <c:pt idx="112">
                  <c:v>1.384121849042666E-2</c:v>
                </c:pt>
                <c:pt idx="113">
                  <c:v>1.421426462386469E-2</c:v>
                </c:pt>
                <c:pt idx="114">
                  <c:v>1.4598670354190581E-2</c:v>
                </c:pt>
                <c:pt idx="115">
                  <c:v>1.4994809869928882E-2</c:v>
                </c:pt>
                <c:pt idx="116">
                  <c:v>1.5403070047286055E-2</c:v>
                </c:pt>
                <c:pt idx="117">
                  <c:v>1.5823850858172631E-2</c:v>
                </c:pt>
                <c:pt idx="118">
                  <c:v>1.6257565788029057E-2</c:v>
                </c:pt>
                <c:pt idx="119">
                  <c:v>1.6704642263344262E-2</c:v>
                </c:pt>
                <c:pt idx="120">
                  <c:v>1.7165522088712429E-2</c:v>
                </c:pt>
                <c:pt idx="121">
                  <c:v>1.7640661893225631E-2</c:v>
                </c:pt>
                <c:pt idx="122">
                  <c:v>1.8130533585946611E-2</c:v>
                </c:pt>
                <c:pt idx="123">
                  <c:v>1.8635624820147932E-2</c:v>
                </c:pt>
                <c:pt idx="124">
                  <c:v>1.9156439465939555E-2</c:v>
                </c:pt>
                <c:pt idx="125">
                  <c:v>1.969349809083654E-2</c:v>
                </c:pt>
                <c:pt idx="126">
                  <c:v>2.0247338447741858E-2</c:v>
                </c:pt>
                <c:pt idx="127">
                  <c:v>2.0818515969735316E-2</c:v>
                </c:pt>
                <c:pt idx="128">
                  <c:v>2.140760427096788E-2</c:v>
                </c:pt>
                <c:pt idx="129">
                  <c:v>2.2015195652861166E-2</c:v>
                </c:pt>
                <c:pt idx="130">
                  <c:v>2.2641901614703371E-2</c:v>
                </c:pt>
                <c:pt idx="131">
                  <c:v>2.3288353367615314E-2</c:v>
                </c:pt>
                <c:pt idx="132">
                  <c:v>2.3955202350732636E-2</c:v>
                </c:pt>
                <c:pt idx="133">
                  <c:v>2.4643120748312371E-2</c:v>
                </c:pt>
                <c:pt idx="134">
                  <c:v>2.535280200632286E-2</c:v>
                </c:pt>
                <c:pt idx="135">
                  <c:v>2.6084961346914844E-2</c:v>
                </c:pt>
                <c:pt idx="136">
                  <c:v>2.6840336278998699E-2</c:v>
                </c:pt>
                <c:pt idx="137">
                  <c:v>2.7619687102965432E-2</c:v>
                </c:pt>
                <c:pt idx="138">
                  <c:v>2.8423797407389258E-2</c:v>
                </c:pt>
                <c:pt idx="139">
                  <c:v>2.9253474555334027E-2</c:v>
                </c:pt>
                <c:pt idx="140">
                  <c:v>3.0109550157655717E-2</c:v>
                </c:pt>
                <c:pt idx="141">
                  <c:v>3.0992880530446503E-2</c:v>
                </c:pt>
                <c:pt idx="142">
                  <c:v>3.1904347133503305E-2</c:v>
                </c:pt>
                <c:pt idx="143">
                  <c:v>3.2844856986422685E-2</c:v>
                </c:pt>
                <c:pt idx="144">
                  <c:v>3.3815343058625845E-2</c:v>
                </c:pt>
                <c:pt idx="145">
                  <c:v>3.4816764629300521E-2</c:v>
                </c:pt>
                <c:pt idx="146">
                  <c:v>3.5850107612909847E-2</c:v>
                </c:pt>
                <c:pt idx="147">
                  <c:v>3.6916384845562755E-2</c:v>
                </c:pt>
                <c:pt idx="148">
                  <c:v>3.8016636327164732E-2</c:v>
                </c:pt>
                <c:pt idx="149">
                  <c:v>3.9151929413871051E-2</c:v>
                </c:pt>
                <c:pt idx="150">
                  <c:v>4.0323358954948263E-2</c:v>
                </c:pt>
                <c:pt idx="151">
                  <c:v>4.1532047367712856E-2</c:v>
                </c:pt>
                <c:pt idx="152">
                  <c:v>4.2779144643757885E-2</c:v>
                </c:pt>
                <c:pt idx="153">
                  <c:v>4.4065828279201753E-2</c:v>
                </c:pt>
                <c:pt idx="154">
                  <c:v>4.5393303121195973E-2</c:v>
                </c:pt>
                <c:pt idx="155">
                  <c:v>4.6762801122413621E-2</c:v>
                </c:pt>
                <c:pt idx="156">
                  <c:v>4.8175580994708166E-2</c:v>
                </c:pt>
                <c:pt idx="157">
                  <c:v>4.9632927752582955E-2</c:v>
                </c:pt>
                <c:pt idx="158">
                  <c:v>5.1136152136550247E-2</c:v>
                </c:pt>
                <c:pt idx="159">
                  <c:v>5.2686589905883791E-2</c:v>
                </c:pt>
                <c:pt idx="160">
                  <c:v>5.4285600989687266E-2</c:v>
                </c:pt>
                <c:pt idx="161">
                  <c:v>5.5934568484611209E-2</c:v>
                </c:pt>
                <c:pt idx="162">
                  <c:v>5.7634897486962051E-2</c:v>
                </c:pt>
                <c:pt idx="163">
                  <c:v>5.9388013746360491E-2</c:v>
                </c:pt>
                <c:pt idx="164">
                  <c:v>6.1195362127525903E-2</c:v>
                </c:pt>
                <c:pt idx="165">
                  <c:v>6.3058404866201748E-2</c:v>
                </c:pt>
                <c:pt idx="166">
                  <c:v>6.4978619604691076E-2</c:v>
                </c:pt>
                <c:pt idx="167">
                  <c:v>6.6957497191959731E-2</c:v>
                </c:pt>
                <c:pt idx="168">
                  <c:v>6.8996539232785856E-2</c:v>
                </c:pt>
                <c:pt idx="169">
                  <c:v>7.1097255370006926E-2</c:v>
                </c:pt>
                <c:pt idx="170">
                  <c:v>7.3261160283543431E-2</c:v>
                </c:pt>
                <c:pt idx="171">
                  <c:v>7.5489770389578395E-2</c:v>
                </c:pt>
                <c:pt idx="172">
                  <c:v>7.7784600223053182E-2</c:v>
                </c:pt>
                <c:pt idx="173">
                  <c:v>8.0147158486520917E-2</c:v>
                </c:pt>
                <c:pt idx="174">
                  <c:v>8.2578943748390934E-2</c:v>
                </c:pt>
                <c:pt idx="175">
                  <c:v>8.5081439773721027E-2</c:v>
                </c:pt>
                <c:pt idx="176">
                  <c:v>8.7656110470984094E-2</c:v>
                </c:pt>
                <c:pt idx="177">
                  <c:v>9.030439443867351E-2</c:v>
                </c:pt>
                <c:pt idx="178">
                  <c:v>9.3027699096236496E-2</c:v>
                </c:pt>
                <c:pt idx="179">
                  <c:v>9.5827394384657982E-2</c:v>
                </c:pt>
                <c:pt idx="180">
                  <c:v>9.8704806023082334E-2</c:v>
                </c:pt>
                <c:pt idx="181">
                  <c:v>0.10166120830917896</c:v>
                </c:pt>
                <c:pt idx="182">
                  <c:v>0.10469781645255553</c:v>
                </c:pt>
                <c:pt idx="183">
                  <c:v>0.1078157784324207</c:v>
                </c:pt>
                <c:pt idx="184">
                  <c:v>0.11101616637292511</c:v>
                </c:pt>
                <c:pt idx="185">
                  <c:v>0.11429996743218467</c:v>
                </c:pt>
                <c:pt idx="186">
                  <c:v>0.11766807420394038</c:v>
                </c:pt>
                <c:pt idx="187">
                  <c:v>0.12112127463415484</c:v>
                </c:pt>
                <c:pt idx="188">
                  <c:v>0.12466024145860648</c:v>
                </c:pt>
                <c:pt idx="189">
                  <c:v>0.12828552117174047</c:v>
                </c:pt>
                <c:pt idx="190">
                  <c:v>0.13199752254167918</c:v>
                </c:pt>
                <c:pt idx="191">
                  <c:v>0.13579650469140442</c:v>
                </c:pt>
                <c:pt idx="192">
                  <c:v>0.13968256477169544</c:v>
                </c:pt>
                <c:pt idx="193">
                  <c:v>0.14365562525745446</c:v>
                </c:pt>
                <c:pt idx="194">
                  <c:v>0.14771542090555762</c:v>
                </c:pt>
                <c:pt idx="195">
                  <c:v>0.15186148541933012</c:v>
                </c:pt>
                <c:pt idx="196">
                  <c:v>0.15609313787214149</c:v>
                </c:pt>
                <c:pt idx="197">
                  <c:v>0.160409468950407</c:v>
                </c:pt>
                <c:pt idx="198">
                  <c:v>0.16480932708444107</c:v>
                </c:pt>
                <c:pt idx="199">
                  <c:v>0.16929130454407559</c:v>
                </c:pt>
                <c:pt idx="200">
                  <c:v>0.17385372358466916</c:v>
                </c:pt>
                <c:pt idx="201">
                  <c:v>0.17849462273801589</c:v>
                </c:pt>
                <c:pt idx="202">
                  <c:v>0.18321174335162632</c:v>
                </c:pt>
                <c:pt idx="203">
                  <c:v>0.18800251648878533</c:v>
                </c:pt>
                <c:pt idx="204">
                  <c:v>0.19286405031058435</c:v>
                </c:pt>
                <c:pt idx="205">
                  <c:v>0.19779311806963132</c:v>
                </c:pt>
                <c:pt idx="206">
                  <c:v>0.20278614685322385</c:v>
                </c:pt>
                <c:pt idx="207">
                  <c:v>0.20783920722125546</c:v>
                </c:pt>
                <c:pt idx="208">
                  <c:v>0.21294800389084881</c:v>
                </c:pt>
                <c:pt idx="209">
                  <c:v>0.21810786762547041</c:v>
                </c:pt>
                <c:pt idx="210">
                  <c:v>0.22331374849090349</c:v>
                </c:pt>
                <c:pt idx="211">
                  <c:v>0.22856021064371371</c:v>
                </c:pt>
                <c:pt idx="212">
                  <c:v>0.23384142881955</c:v>
                </c:pt>
                <c:pt idx="213">
                  <c:v>0.23915118668855898</c:v>
                </c:pt>
                <c:pt idx="214">
                  <c:v>0.24448287724316231</c:v>
                </c:pt>
                <c:pt idx="215">
                  <c:v>0.24982950537925383</c:v>
                </c:pt>
                <c:pt idx="216">
                  <c:v>0.25518369282533815</c:v>
                </c:pt>
                <c:pt idx="217">
                  <c:v>0.26053768556509455</c:v>
                </c:pt>
                <c:pt idx="218">
                  <c:v>0.26588336388717249</c:v>
                </c:pt>
                <c:pt idx="219">
                  <c:v>0.27121225518160852</c:v>
                </c:pt>
                <c:pt idx="220">
                  <c:v>0.27651554958501806</c:v>
                </c:pt>
                <c:pt idx="221">
                  <c:v>0.28178411855666313</c:v>
                </c:pt>
                <c:pt idx="222">
                  <c:v>0.28700853644461471</c:v>
                </c:pt>
                <c:pt idx="223">
                  <c:v>0.29217910507564127</c:v>
                </c:pt>
                <c:pt idx="224">
                  <c:v>0.29728588137425832</c:v>
                </c:pt>
                <c:pt idx="225">
                  <c:v>0.30231870798580246</c:v>
                </c:pt>
                <c:pt idx="226">
                  <c:v>0.30726724684569229</c:v>
                </c:pt>
                <c:pt idx="227">
                  <c:v>0.31212101560254274</c:v>
                </c:pt>
                <c:pt idx="228">
                  <c:v>0.31686942676691116</c:v>
                </c:pt>
                <c:pt idx="229">
                  <c:v>0.32150182942062144</c:v>
                </c:pt>
                <c:pt idx="230">
                  <c:v>0.32600755328435216</c:v>
                </c:pt>
                <c:pt idx="231">
                  <c:v>0.33037595490406529</c:v>
                </c:pt>
                <c:pt idx="232">
                  <c:v>0.33459646568048618</c:v>
                </c:pt>
                <c:pt idx="233">
                  <c:v>0.33865864143087798</c:v>
                </c:pt>
                <c:pt idx="234">
                  <c:v>0.34255221313944695</c:v>
                </c:pt>
                <c:pt idx="235">
                  <c:v>0.34626713852253976</c:v>
                </c:pt>
                <c:pt idx="236">
                  <c:v>0.34979365400800894</c:v>
                </c:pt>
                <c:pt idx="237">
                  <c:v>0.35312232670538063</c:v>
                </c:pt>
                <c:pt idx="238">
                  <c:v>0.35624410592534445</c:v>
                </c:pt>
                <c:pt idx="239">
                  <c:v>0.3591503737941511</c:v>
                </c:pt>
                <c:pt idx="240">
                  <c:v>0.36183299450122092</c:v>
                </c:pt>
                <c:pt idx="241">
                  <c:v>0.3642843617170029</c:v>
                </c:pt>
                <c:pt idx="242">
                  <c:v>0.36649744372318038</c:v>
                </c:pt>
                <c:pt idx="243">
                  <c:v>0.36846582580883275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0.36846582580883275</c:v>
                </c:pt>
                <c:pt idx="258">
                  <c:v>0.36649744372318038</c:v>
                </c:pt>
                <c:pt idx="259">
                  <c:v>0.3642843617170029</c:v>
                </c:pt>
                <c:pt idx="260">
                  <c:v>0.36183299450122092</c:v>
                </c:pt>
                <c:pt idx="261">
                  <c:v>0.3591503737941511</c:v>
                </c:pt>
                <c:pt idx="262">
                  <c:v>0.35624410592534445</c:v>
                </c:pt>
                <c:pt idx="263">
                  <c:v>0.35312232670538063</c:v>
                </c:pt>
                <c:pt idx="264">
                  <c:v>0.34979365400800894</c:v>
                </c:pt>
                <c:pt idx="265">
                  <c:v>0.34626713852253976</c:v>
                </c:pt>
                <c:pt idx="266">
                  <c:v>0.34255221313944695</c:v>
                </c:pt>
                <c:pt idx="267">
                  <c:v>0.33865864143087782</c:v>
                </c:pt>
                <c:pt idx="268">
                  <c:v>0.33459646568048601</c:v>
                </c:pt>
                <c:pt idx="269">
                  <c:v>0.33037595490406513</c:v>
                </c:pt>
                <c:pt idx="270">
                  <c:v>0.32600755328435199</c:v>
                </c:pt>
                <c:pt idx="271">
                  <c:v>0.32150182942062144</c:v>
                </c:pt>
                <c:pt idx="272">
                  <c:v>0.31686942676691099</c:v>
                </c:pt>
                <c:pt idx="273">
                  <c:v>0.31212101560254241</c:v>
                </c:pt>
                <c:pt idx="274">
                  <c:v>0.30726724684569212</c:v>
                </c:pt>
                <c:pt idx="275">
                  <c:v>0.30231870798580235</c:v>
                </c:pt>
                <c:pt idx="276">
                  <c:v>0.29728588137425815</c:v>
                </c:pt>
                <c:pt idx="277">
                  <c:v>0.29217910507564115</c:v>
                </c:pt>
                <c:pt idx="278">
                  <c:v>0.28700853644461471</c:v>
                </c:pt>
                <c:pt idx="279">
                  <c:v>0.28178411855666313</c:v>
                </c:pt>
                <c:pt idx="280">
                  <c:v>0.27651554958501806</c:v>
                </c:pt>
                <c:pt idx="281">
                  <c:v>0.27121225518160852</c:v>
                </c:pt>
                <c:pt idx="282">
                  <c:v>0.26588336388717249</c:v>
                </c:pt>
                <c:pt idx="283">
                  <c:v>0.26053768556509455</c:v>
                </c:pt>
                <c:pt idx="284">
                  <c:v>0.25518369282533815</c:v>
                </c:pt>
                <c:pt idx="285">
                  <c:v>0.24982950537925383</c:v>
                </c:pt>
                <c:pt idx="286">
                  <c:v>0.24448287724316231</c:v>
                </c:pt>
                <c:pt idx="287">
                  <c:v>0.23915118668855898</c:v>
                </c:pt>
                <c:pt idx="288">
                  <c:v>0.23384142881955</c:v>
                </c:pt>
                <c:pt idx="289">
                  <c:v>0.22856021064371371</c:v>
                </c:pt>
                <c:pt idx="290">
                  <c:v>0.22331374849090349</c:v>
                </c:pt>
                <c:pt idx="291">
                  <c:v>0.21810786762547041</c:v>
                </c:pt>
                <c:pt idx="292">
                  <c:v>0.21294800389084881</c:v>
                </c:pt>
                <c:pt idx="293">
                  <c:v>0.20783920722125546</c:v>
                </c:pt>
                <c:pt idx="294">
                  <c:v>0.20278614685322385</c:v>
                </c:pt>
                <c:pt idx="295">
                  <c:v>0.19779311806963132</c:v>
                </c:pt>
                <c:pt idx="296">
                  <c:v>0.19286405031058435</c:v>
                </c:pt>
                <c:pt idx="297">
                  <c:v>0.18800251648878533</c:v>
                </c:pt>
                <c:pt idx="298">
                  <c:v>0.18321174335162632</c:v>
                </c:pt>
                <c:pt idx="299">
                  <c:v>0.17849462273801589</c:v>
                </c:pt>
                <c:pt idx="300">
                  <c:v>0.17385372358466916</c:v>
                </c:pt>
                <c:pt idx="301">
                  <c:v>0.16929130454407559</c:v>
                </c:pt>
                <c:pt idx="302">
                  <c:v>0.16480932708444107</c:v>
                </c:pt>
                <c:pt idx="303">
                  <c:v>0.160409468950407</c:v>
                </c:pt>
                <c:pt idx="304">
                  <c:v>0.15609313787214149</c:v>
                </c:pt>
                <c:pt idx="305">
                  <c:v>0.15186148541933012</c:v>
                </c:pt>
                <c:pt idx="306">
                  <c:v>0.14771542090555762</c:v>
                </c:pt>
                <c:pt idx="307">
                  <c:v>0.14365562525745446</c:v>
                </c:pt>
                <c:pt idx="308">
                  <c:v>0.13968256477169527</c:v>
                </c:pt>
                <c:pt idx="309">
                  <c:v>0.13579650469140422</c:v>
                </c:pt>
                <c:pt idx="310">
                  <c:v>0.13199752254167907</c:v>
                </c:pt>
                <c:pt idx="311">
                  <c:v>0.12828552117174033</c:v>
                </c:pt>
                <c:pt idx="312">
                  <c:v>0.12466024145860637</c:v>
                </c:pt>
                <c:pt idx="313">
                  <c:v>0.12112127463415467</c:v>
                </c:pt>
                <c:pt idx="314">
                  <c:v>0.11766807420394025</c:v>
                </c:pt>
                <c:pt idx="315">
                  <c:v>0.11429996743218451</c:v>
                </c:pt>
                <c:pt idx="316">
                  <c:v>0.11101616637292502</c:v>
                </c:pt>
                <c:pt idx="317">
                  <c:v>0.10781577843242061</c:v>
                </c:pt>
                <c:pt idx="318">
                  <c:v>0.10469781645255544</c:v>
                </c:pt>
                <c:pt idx="319">
                  <c:v>0.10166120830917887</c:v>
                </c:pt>
                <c:pt idx="320">
                  <c:v>9.8704806023082334E-2</c:v>
                </c:pt>
                <c:pt idx="321">
                  <c:v>9.5827394384657982E-2</c:v>
                </c:pt>
                <c:pt idx="322">
                  <c:v>9.3027699096236496E-2</c:v>
                </c:pt>
                <c:pt idx="323">
                  <c:v>9.030439443867351E-2</c:v>
                </c:pt>
                <c:pt idx="324">
                  <c:v>8.7656110470984094E-2</c:v>
                </c:pt>
                <c:pt idx="325">
                  <c:v>8.5081439773721027E-2</c:v>
                </c:pt>
                <c:pt idx="326">
                  <c:v>8.2578943748390934E-2</c:v>
                </c:pt>
                <c:pt idx="327">
                  <c:v>8.0147158486520917E-2</c:v>
                </c:pt>
                <c:pt idx="328">
                  <c:v>7.7784600223053182E-2</c:v>
                </c:pt>
                <c:pt idx="329">
                  <c:v>7.5489770389578395E-2</c:v>
                </c:pt>
                <c:pt idx="330">
                  <c:v>7.3261160283543431E-2</c:v>
                </c:pt>
                <c:pt idx="331">
                  <c:v>7.1097255370006926E-2</c:v>
                </c:pt>
                <c:pt idx="332">
                  <c:v>6.8996539232785856E-2</c:v>
                </c:pt>
                <c:pt idx="333">
                  <c:v>6.6957497191959731E-2</c:v>
                </c:pt>
                <c:pt idx="334">
                  <c:v>6.4978619604691076E-2</c:v>
                </c:pt>
                <c:pt idx="335">
                  <c:v>6.3058404866201664E-2</c:v>
                </c:pt>
                <c:pt idx="336">
                  <c:v>6.1195362127525903E-2</c:v>
                </c:pt>
                <c:pt idx="337">
                  <c:v>5.9388013746360428E-2</c:v>
                </c:pt>
                <c:pt idx="338">
                  <c:v>5.7634897486962051E-2</c:v>
                </c:pt>
                <c:pt idx="339">
                  <c:v>5.5934568484611154E-2</c:v>
                </c:pt>
                <c:pt idx="340">
                  <c:v>5.4285600989687266E-2</c:v>
                </c:pt>
                <c:pt idx="341">
                  <c:v>5.2686589905883714E-2</c:v>
                </c:pt>
                <c:pt idx="342">
                  <c:v>5.1136152136550199E-2</c:v>
                </c:pt>
                <c:pt idx="343">
                  <c:v>4.9632927752583003E-2</c:v>
                </c:pt>
                <c:pt idx="344">
                  <c:v>4.8175580994708145E-2</c:v>
                </c:pt>
                <c:pt idx="345">
                  <c:v>4.6762801122413662E-2</c:v>
                </c:pt>
                <c:pt idx="346">
                  <c:v>4.5393303121195952E-2</c:v>
                </c:pt>
                <c:pt idx="347">
                  <c:v>4.4065828279201795E-2</c:v>
                </c:pt>
                <c:pt idx="348">
                  <c:v>4.2779144643757865E-2</c:v>
                </c:pt>
                <c:pt idx="349">
                  <c:v>4.1532047367712877E-2</c:v>
                </c:pt>
                <c:pt idx="350">
                  <c:v>4.0323358954948249E-2</c:v>
                </c:pt>
                <c:pt idx="351">
                  <c:v>3.9151929413871064E-2</c:v>
                </c:pt>
                <c:pt idx="352">
                  <c:v>3.8016636327164718E-2</c:v>
                </c:pt>
                <c:pt idx="353">
                  <c:v>3.6916384845562755E-2</c:v>
                </c:pt>
                <c:pt idx="354">
                  <c:v>3.5850107612909812E-2</c:v>
                </c:pt>
                <c:pt idx="355">
                  <c:v>3.4816764629300556E-2</c:v>
                </c:pt>
                <c:pt idx="356">
                  <c:v>3.3815343058625824E-2</c:v>
                </c:pt>
                <c:pt idx="357">
                  <c:v>3.2844856986422692E-2</c:v>
                </c:pt>
                <c:pt idx="358">
                  <c:v>3.1904347133503284E-2</c:v>
                </c:pt>
                <c:pt idx="359">
                  <c:v>3.0992880530446514E-2</c:v>
                </c:pt>
                <c:pt idx="360">
                  <c:v>3.0109550157655689E-2</c:v>
                </c:pt>
                <c:pt idx="361">
                  <c:v>2.9253474555334051E-2</c:v>
                </c:pt>
                <c:pt idx="362">
                  <c:v>2.8423797407389238E-2</c:v>
                </c:pt>
                <c:pt idx="363">
                  <c:v>2.7619687102965432E-2</c:v>
                </c:pt>
                <c:pt idx="364">
                  <c:v>2.6840336278998667E-2</c:v>
                </c:pt>
                <c:pt idx="365">
                  <c:v>2.6084961346914844E-2</c:v>
                </c:pt>
                <c:pt idx="366">
                  <c:v>2.5352802006322839E-2</c:v>
                </c:pt>
                <c:pt idx="367">
                  <c:v>2.4643120748312371E-2</c:v>
                </c:pt>
                <c:pt idx="368">
                  <c:v>2.3955202350732608E-2</c:v>
                </c:pt>
                <c:pt idx="369">
                  <c:v>2.3288353367615314E-2</c:v>
                </c:pt>
                <c:pt idx="370">
                  <c:v>2.2641901614703346E-2</c:v>
                </c:pt>
                <c:pt idx="371">
                  <c:v>2.2015195652861166E-2</c:v>
                </c:pt>
                <c:pt idx="372">
                  <c:v>2.1407604270967859E-2</c:v>
                </c:pt>
                <c:pt idx="373">
                  <c:v>2.0818515969735316E-2</c:v>
                </c:pt>
                <c:pt idx="374">
                  <c:v>2.0247338447741837E-2</c:v>
                </c:pt>
                <c:pt idx="375">
                  <c:v>1.969349809083654E-2</c:v>
                </c:pt>
                <c:pt idx="376">
                  <c:v>1.9156439465939538E-2</c:v>
                </c:pt>
                <c:pt idx="377">
                  <c:v>1.8635624820147932E-2</c:v>
                </c:pt>
                <c:pt idx="378">
                  <c:v>1.8130533585946594E-2</c:v>
                </c:pt>
                <c:pt idx="379">
                  <c:v>1.7640661893225631E-2</c:v>
                </c:pt>
                <c:pt idx="380">
                  <c:v>1.7165522088712411E-2</c:v>
                </c:pt>
                <c:pt idx="381">
                  <c:v>1.6704642263344262E-2</c:v>
                </c:pt>
                <c:pt idx="382">
                  <c:v>1.6257565788029043E-2</c:v>
                </c:pt>
                <c:pt idx="383">
                  <c:v>1.5823850858172627E-2</c:v>
                </c:pt>
                <c:pt idx="384">
                  <c:v>1.5403070047286032E-2</c:v>
                </c:pt>
                <c:pt idx="385">
                  <c:v>1.4994809869928873E-2</c:v>
                </c:pt>
                <c:pt idx="386">
                  <c:v>1.4598670354190582E-2</c:v>
                </c:pt>
                <c:pt idx="387">
                  <c:v>1.4214264623864688E-2</c:v>
                </c:pt>
                <c:pt idx="388">
                  <c:v>1.3841218490426669E-2</c:v>
                </c:pt>
                <c:pt idx="389">
                  <c:v>1.3479170054886941E-2</c:v>
                </c:pt>
                <c:pt idx="390">
                  <c:v>1.3127769319555827E-2</c:v>
                </c:pt>
                <c:pt idx="391">
                  <c:v>1.2786677809724381E-2</c:v>
                </c:pt>
                <c:pt idx="392">
                  <c:v>1.2455568205238143E-2</c:v>
                </c:pt>
                <c:pt idx="393">
                  <c:v>1.213412398191384E-2</c:v>
                </c:pt>
                <c:pt idx="394">
                  <c:v>1.182203906272831E-2</c:v>
                </c:pt>
                <c:pt idx="395">
                  <c:v>1.1519017478687376E-2</c:v>
                </c:pt>
                <c:pt idx="396">
                  <c:v>1.1224773039266471E-2</c:v>
                </c:pt>
                <c:pt idx="397">
                  <c:v>1.0939029012297916E-2</c:v>
                </c:pt>
                <c:pt idx="398">
                  <c:v>1.0661517813168056E-2</c:v>
                </c:pt>
                <c:pt idx="399">
                  <c:v>1.0391980703174382E-2</c:v>
                </c:pt>
                <c:pt idx="400">
                  <c:v>1.0130167496884297E-2</c:v>
                </c:pt>
                <c:pt idx="401">
                  <c:v>9.8758362783277487E-3</c:v>
                </c:pt>
                <c:pt idx="402">
                  <c:v>9.628753125850098E-3</c:v>
                </c:pt>
                <c:pt idx="403">
                  <c:v>9.3886918454446893E-3</c:v>
                </c:pt>
                <c:pt idx="404">
                  <c:v>9.1554337123814535E-3</c:v>
                </c:pt>
                <c:pt idx="405">
                  <c:v>8.9287672209428619E-3</c:v>
                </c:pt>
                <c:pt idx="406">
                  <c:v>8.7084878420774468E-3</c:v>
                </c:pt>
                <c:pt idx="407">
                  <c:v>8.4943977887779326E-3</c:v>
                </c:pt>
                <c:pt idx="408">
                  <c:v>8.28630578899134E-3</c:v>
                </c:pt>
                <c:pt idx="409">
                  <c:v>8.0840268658669383E-3</c:v>
                </c:pt>
                <c:pt idx="410">
                  <c:v>7.8873821251491377E-3</c:v>
                </c:pt>
                <c:pt idx="411">
                  <c:v>7.6961985495224176E-3</c:v>
                </c:pt>
                <c:pt idx="412">
                  <c:v>7.5103087997174271E-3</c:v>
                </c:pt>
                <c:pt idx="413">
                  <c:v>7.3295510221882869E-3</c:v>
                </c:pt>
                <c:pt idx="414">
                  <c:v>7.1537686631740535E-3</c:v>
                </c:pt>
                <c:pt idx="415">
                  <c:v>6.9828102889587171E-3</c:v>
                </c:pt>
                <c:pt idx="416">
                  <c:v>6.8165294121478332E-3</c:v>
                </c:pt>
                <c:pt idx="417">
                  <c:v>6.6547843237817249E-3</c:v>
                </c:pt>
                <c:pt idx="418">
                  <c:v>6.4974379311092453E-3</c:v>
                </c:pt>
                <c:pt idx="419">
                  <c:v>6.3443576008485767E-3</c:v>
                </c:pt>
                <c:pt idx="420">
                  <c:v>6.1954150077656615E-3</c:v>
                </c:pt>
                <c:pt idx="421">
                  <c:v>6.0504859884037282E-3</c:v>
                </c:pt>
                <c:pt idx="422">
                  <c:v>5.9094503998017517E-3</c:v>
                </c:pt>
                <c:pt idx="423">
                  <c:v>5.7721919830425652E-3</c:v>
                </c:pt>
                <c:pt idx="424">
                  <c:v>5.6385982314759988E-3</c:v>
                </c:pt>
                <c:pt idx="425">
                  <c:v>5.5085602634653529E-3</c:v>
                </c:pt>
                <c:pt idx="426">
                  <c:v>5.3819726995101317E-3</c:v>
                </c:pt>
                <c:pt idx="427">
                  <c:v>5.258733543601104E-3</c:v>
                </c:pt>
                <c:pt idx="428">
                  <c:v>5.1387440686681352E-3</c:v>
                </c:pt>
                <c:pt idx="429">
                  <c:v>5.0219087059847345E-3</c:v>
                </c:pt>
                <c:pt idx="430">
                  <c:v>4.9081349383970499E-3</c:v>
                </c:pt>
                <c:pt idx="431">
                  <c:v>4.797333197249066E-3</c:v>
                </c:pt>
                <c:pt idx="432">
                  <c:v>4.6894167628790534E-3</c:v>
                </c:pt>
                <c:pt idx="433">
                  <c:v>4.584301668566472E-3</c:v>
                </c:pt>
                <c:pt idx="434">
                  <c:v>4.4819066078116004E-3</c:v>
                </c:pt>
                <c:pt idx="435">
                  <c:v>4.3821528448342922E-3</c:v>
                </c:pt>
                <c:pt idx="436">
                  <c:v>4.2849641281811884E-3</c:v>
                </c:pt>
                <c:pt idx="437">
                  <c:v>4.1902666073346459E-3</c:v>
                </c:pt>
                <c:pt idx="438">
                  <c:v>4.0979887522195465E-3</c:v>
                </c:pt>
                <c:pt idx="439">
                  <c:v>4.0080612755078729E-3</c:v>
                </c:pt>
                <c:pt idx="440">
                  <c:v>3.9204170576237008E-3</c:v>
                </c:pt>
                <c:pt idx="441">
                  <c:v>3.8349910743548442E-3</c:v>
                </c:pt>
                <c:pt idx="442">
                  <c:v>3.7517203269800108E-3</c:v>
                </c:pt>
                <c:pt idx="443">
                  <c:v>3.6705437748237599E-3</c:v>
                </c:pt>
                <c:pt idx="444">
                  <c:v>3.5914022701539956E-3</c:v>
                </c:pt>
                <c:pt idx="445">
                  <c:v>3.5142384953400236E-3</c:v>
                </c:pt>
                <c:pt idx="446">
                  <c:v>3.4389969021915287E-3</c:v>
                </c:pt>
                <c:pt idx="447">
                  <c:v>3.3656236534018967E-3</c:v>
                </c:pt>
                <c:pt idx="448">
                  <c:v>3.2940665660215391E-3</c:v>
                </c:pt>
                <c:pt idx="449">
                  <c:v>3.224275056889775E-3</c:v>
                </c:pt>
                <c:pt idx="450">
                  <c:v>3.15620008995591E-3</c:v>
                </c:pt>
                <c:pt idx="451">
                  <c:v>3.0897941254228959E-3</c:v>
                </c:pt>
                <c:pt idx="452">
                  <c:v>3.0250110706489175E-3</c:v>
                </c:pt>
                <c:pt idx="453">
                  <c:v>2.9618062327448173E-3</c:v>
                </c:pt>
                <c:pt idx="454">
                  <c:v>2.9001362728071195E-3</c:v>
                </c:pt>
                <c:pt idx="455">
                  <c:v>2.8399591617288408E-3</c:v>
                </c:pt>
                <c:pt idx="456">
                  <c:v>2.7812341375319776E-3</c:v>
                </c:pt>
                <c:pt idx="457">
                  <c:v>2.7239216641678451E-3</c:v>
                </c:pt>
                <c:pt idx="458">
                  <c:v>2.6679833917330536E-3</c:v>
                </c:pt>
                <c:pt idx="459">
                  <c:v>2.6133821180510273E-3</c:v>
                </c:pt>
                <c:pt idx="460">
                  <c:v>2.560081751570483E-3</c:v>
                </c:pt>
                <c:pt idx="461">
                  <c:v>2.5080472755342623E-3</c:v>
                </c:pt>
                <c:pt idx="462">
                  <c:v>2.4572447133733391E-3</c:v>
                </c:pt>
                <c:pt idx="463">
                  <c:v>2.4076410952826532E-3</c:v>
                </c:pt>
                <c:pt idx="464">
                  <c:v>2.3592044259367565E-3</c:v>
                </c:pt>
                <c:pt idx="465">
                  <c:v>2.311903653304978E-3</c:v>
                </c:pt>
                <c:pt idx="466">
                  <c:v>2.2657086385270398E-3</c:v>
                </c:pt>
                <c:pt idx="467">
                  <c:v>2.2205901268116707E-3</c:v>
                </c:pt>
                <c:pt idx="468">
                  <c:v>2.1765197193219128E-3</c:v>
                </c:pt>
                <c:pt idx="469">
                  <c:v>2.1334698460123021E-3</c:v>
                </c:pt>
                <c:pt idx="470">
                  <c:v>2.0914137393841922E-3</c:v>
                </c:pt>
                <c:pt idx="471">
                  <c:v>2.0503254091268439E-3</c:v>
                </c:pt>
                <c:pt idx="472">
                  <c:v>2.0101796176130024E-3</c:v>
                </c:pt>
                <c:pt idx="473">
                  <c:v>1.9709518562187616E-3</c:v>
                </c:pt>
                <c:pt idx="474">
                  <c:v>1.9326183224387824E-3</c:v>
                </c:pt>
                <c:pt idx="475">
                  <c:v>1.8951558977687263E-3</c:v>
                </c:pt>
                <c:pt idx="476">
                  <c:v>1.8585421263280259E-3</c:v>
                </c:pt>
                <c:pt idx="477">
                  <c:v>1.822755194196903E-3</c:v>
                </c:pt>
                <c:pt idx="478">
                  <c:v>1.7877739094426049E-3</c:v>
                </c:pt>
                <c:pt idx="479">
                  <c:v>1.7535776828106458E-3</c:v>
                </c:pt>
                <c:pt idx="480">
                  <c:v>1.7201465090578147E-3</c:v>
                </c:pt>
                <c:pt idx="481">
                  <c:v>1.6874609489044244E-3</c:v>
                </c:pt>
                <c:pt idx="482">
                  <c:v>1.6555021115842359E-3</c:v>
                </c:pt>
                <c:pt idx="483">
                  <c:v>1.6242516379711201E-3</c:v>
                </c:pt>
                <c:pt idx="484">
                  <c:v>1.5936916842624253E-3</c:v>
                </c:pt>
                <c:pt idx="485">
                  <c:v>1.5638049061996002E-3</c:v>
                </c:pt>
                <c:pt idx="486">
                  <c:v>1.5345744438074443E-3</c:v>
                </c:pt>
                <c:pt idx="487">
                  <c:v>1.5059839066339374E-3</c:v>
                </c:pt>
                <c:pt idx="488">
                  <c:v>1.4780173594733288E-3</c:v>
                </c:pt>
                <c:pt idx="489">
                  <c:v>1.4506593085557005E-3</c:v>
                </c:pt>
                <c:pt idx="490">
                  <c:v>1.4238946881869421E-3</c:v>
                </c:pt>
                <c:pt idx="491">
                  <c:v>1.3977088478235114E-3</c:v>
                </c:pt>
                <c:pt idx="492">
                  <c:v>1.3720875395670609E-3</c:v>
                </c:pt>
                <c:pt idx="493">
                  <c:v>1.3470169060644179E-3</c:v>
                </c:pt>
                <c:pt idx="494">
                  <c:v>1.3224834687990369E-3</c:v>
                </c:pt>
                <c:pt idx="495">
                  <c:v>1.2984741167604375E-3</c:v>
                </c:pt>
                <c:pt idx="496">
                  <c:v>1.274976095478737E-3</c:v>
                </c:pt>
                <c:pt idx="497">
                  <c:v>1.2519769964117213E-3</c:v>
                </c:pt>
                <c:pt idx="498">
                  <c:v>1.2294647466724814E-3</c:v>
                </c:pt>
                <c:pt idx="499">
                  <c:v>1.2074275990859426E-3</c:v>
                </c:pt>
                <c:pt idx="500">
                  <c:v>1.1858541225631424E-3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14848"/>
        <c:axId val="43780352"/>
      </c:areaChart>
      <c:scatterChart>
        <c:scatterStyle val="lineMarker"/>
        <c:varyColors val="0"/>
        <c:ser>
          <c:idx val="2"/>
          <c:order val="0"/>
          <c:tx>
            <c:v>sample t value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</c:marker>
          <c:xVal>
            <c:numRef>
              <c:f>'Fig 2 - 1-sample t test'!$K$100</c:f>
              <c:numCache>
                <c:formatCode>0.00</c:formatCode>
                <c:ptCount val="1"/>
                <c:pt idx="0">
                  <c:v>0.16023208325633831</c:v>
                </c:pt>
              </c:numCache>
            </c:numRef>
          </c:xVal>
          <c:yVal>
            <c:numRef>
              <c:f>'Fig 2 - 1-sample t test'!$K$101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t distribution, df=n-1</c:v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  <a:effectLst/>
          </c:spPr>
          <c:marker>
            <c:symbol val="none"/>
          </c:marker>
          <c:xVal>
            <c:numRef>
              <c:f>'Fig 2 - 1-sample t test'!$F$100:$F$600</c:f>
              <c:numCache>
                <c:formatCode>General</c:formatCode>
                <c:ptCount val="5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-5.4239999999999995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-4.6079999999999997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-4.3439999999999994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-3.7439999999999998</c:v>
                </c:pt>
                <c:pt idx="95">
                  <c:v>-3.7199999999999998</c:v>
                </c:pt>
                <c:pt idx="96">
                  <c:v>-3.6959999999999997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  <c:pt idx="101">
                  <c:v>-3.5760000000000001</c:v>
                </c:pt>
                <c:pt idx="102">
                  <c:v>-3.552</c:v>
                </c:pt>
                <c:pt idx="103">
                  <c:v>-3.528</c:v>
                </c:pt>
                <c:pt idx="104">
                  <c:v>-3.504</c:v>
                </c:pt>
                <c:pt idx="105">
                  <c:v>-3.48</c:v>
                </c:pt>
                <c:pt idx="106">
                  <c:v>-3.456</c:v>
                </c:pt>
                <c:pt idx="107">
                  <c:v>-3.4319999999999999</c:v>
                </c:pt>
                <c:pt idx="108">
                  <c:v>-3.4079999999999999</c:v>
                </c:pt>
                <c:pt idx="109">
                  <c:v>-3.3839999999999999</c:v>
                </c:pt>
                <c:pt idx="110">
                  <c:v>-3.36</c:v>
                </c:pt>
                <c:pt idx="111">
                  <c:v>-3.3359999999999999</c:v>
                </c:pt>
                <c:pt idx="112">
                  <c:v>-3.3119999999999998</c:v>
                </c:pt>
                <c:pt idx="113">
                  <c:v>-3.2879999999999998</c:v>
                </c:pt>
                <c:pt idx="114">
                  <c:v>-3.2639999999999998</c:v>
                </c:pt>
                <c:pt idx="115">
                  <c:v>-3.2399999999999998</c:v>
                </c:pt>
                <c:pt idx="116">
                  <c:v>-3.2159999999999997</c:v>
                </c:pt>
                <c:pt idx="117">
                  <c:v>-3.1919999999999997</c:v>
                </c:pt>
                <c:pt idx="118">
                  <c:v>-3.1680000000000001</c:v>
                </c:pt>
                <c:pt idx="119">
                  <c:v>-3.1440000000000001</c:v>
                </c:pt>
                <c:pt idx="120">
                  <c:v>-3.12</c:v>
                </c:pt>
                <c:pt idx="121">
                  <c:v>-3.0960000000000001</c:v>
                </c:pt>
                <c:pt idx="122">
                  <c:v>-3.0720000000000001</c:v>
                </c:pt>
                <c:pt idx="123">
                  <c:v>-3.048</c:v>
                </c:pt>
                <c:pt idx="124">
                  <c:v>-3.024</c:v>
                </c:pt>
                <c:pt idx="125">
                  <c:v>-3</c:v>
                </c:pt>
                <c:pt idx="126">
                  <c:v>-2.976</c:v>
                </c:pt>
                <c:pt idx="127">
                  <c:v>-2.952</c:v>
                </c:pt>
                <c:pt idx="128">
                  <c:v>-2.9279999999999999</c:v>
                </c:pt>
                <c:pt idx="129">
                  <c:v>-2.9039999999999999</c:v>
                </c:pt>
                <c:pt idx="130">
                  <c:v>-2.88</c:v>
                </c:pt>
                <c:pt idx="131">
                  <c:v>-2.8559999999999999</c:v>
                </c:pt>
                <c:pt idx="132">
                  <c:v>-2.8319999999999999</c:v>
                </c:pt>
                <c:pt idx="133">
                  <c:v>-2.8079999999999998</c:v>
                </c:pt>
                <c:pt idx="134">
                  <c:v>-2.7839999999999998</c:v>
                </c:pt>
                <c:pt idx="135">
                  <c:v>-2.76</c:v>
                </c:pt>
                <c:pt idx="136">
                  <c:v>-2.7359999999999998</c:v>
                </c:pt>
                <c:pt idx="137">
                  <c:v>-2.7119999999999997</c:v>
                </c:pt>
                <c:pt idx="138">
                  <c:v>-2.6879999999999997</c:v>
                </c:pt>
                <c:pt idx="139">
                  <c:v>-2.6640000000000001</c:v>
                </c:pt>
                <c:pt idx="140">
                  <c:v>-2.64</c:v>
                </c:pt>
                <c:pt idx="141">
                  <c:v>-2.6160000000000001</c:v>
                </c:pt>
                <c:pt idx="142">
                  <c:v>-2.5920000000000001</c:v>
                </c:pt>
                <c:pt idx="143">
                  <c:v>-2.5680000000000001</c:v>
                </c:pt>
                <c:pt idx="144">
                  <c:v>-2.544</c:v>
                </c:pt>
                <c:pt idx="145">
                  <c:v>-2.52</c:v>
                </c:pt>
                <c:pt idx="146">
                  <c:v>-2.496</c:v>
                </c:pt>
                <c:pt idx="147">
                  <c:v>-2.472</c:v>
                </c:pt>
                <c:pt idx="148">
                  <c:v>-2.448</c:v>
                </c:pt>
                <c:pt idx="149">
                  <c:v>-2.4239999999999999</c:v>
                </c:pt>
                <c:pt idx="150">
                  <c:v>-2.4</c:v>
                </c:pt>
                <c:pt idx="151">
                  <c:v>-2.3759999999999999</c:v>
                </c:pt>
                <c:pt idx="152">
                  <c:v>-2.3519999999999999</c:v>
                </c:pt>
                <c:pt idx="153">
                  <c:v>-2.3279999999999998</c:v>
                </c:pt>
                <c:pt idx="154">
                  <c:v>-2.3039999999999998</c:v>
                </c:pt>
                <c:pt idx="155">
                  <c:v>-2.2799999999999998</c:v>
                </c:pt>
                <c:pt idx="156">
                  <c:v>-2.2559999999999998</c:v>
                </c:pt>
                <c:pt idx="157">
                  <c:v>-2.2319999999999998</c:v>
                </c:pt>
                <c:pt idx="158">
                  <c:v>-2.2079999999999997</c:v>
                </c:pt>
                <c:pt idx="159">
                  <c:v>-2.1839999999999997</c:v>
                </c:pt>
                <c:pt idx="160">
                  <c:v>-2.16</c:v>
                </c:pt>
                <c:pt idx="161">
                  <c:v>-2.1360000000000001</c:v>
                </c:pt>
                <c:pt idx="162">
                  <c:v>-2.1120000000000001</c:v>
                </c:pt>
                <c:pt idx="163">
                  <c:v>-2.0880000000000001</c:v>
                </c:pt>
                <c:pt idx="164">
                  <c:v>-2.0640000000000001</c:v>
                </c:pt>
                <c:pt idx="165">
                  <c:v>-2.04</c:v>
                </c:pt>
                <c:pt idx="166">
                  <c:v>-2.016</c:v>
                </c:pt>
                <c:pt idx="167">
                  <c:v>-1.992</c:v>
                </c:pt>
                <c:pt idx="168">
                  <c:v>-1.968</c:v>
                </c:pt>
                <c:pt idx="169">
                  <c:v>-1.944</c:v>
                </c:pt>
                <c:pt idx="170">
                  <c:v>-1.92</c:v>
                </c:pt>
                <c:pt idx="171">
                  <c:v>-1.8959999999999999</c:v>
                </c:pt>
                <c:pt idx="172">
                  <c:v>-1.8719999999999999</c:v>
                </c:pt>
                <c:pt idx="173">
                  <c:v>-1.8479999999999999</c:v>
                </c:pt>
                <c:pt idx="174">
                  <c:v>-1.8239999999999998</c:v>
                </c:pt>
                <c:pt idx="175">
                  <c:v>-1.7999999999999998</c:v>
                </c:pt>
                <c:pt idx="176">
                  <c:v>-1.7759999999999998</c:v>
                </c:pt>
                <c:pt idx="177">
                  <c:v>-1.7519999999999998</c:v>
                </c:pt>
                <c:pt idx="178">
                  <c:v>-1.7279999999999998</c:v>
                </c:pt>
                <c:pt idx="179">
                  <c:v>-1.7039999999999997</c:v>
                </c:pt>
                <c:pt idx="180">
                  <c:v>-1.6799999999999997</c:v>
                </c:pt>
                <c:pt idx="181">
                  <c:v>-1.6559999999999997</c:v>
                </c:pt>
                <c:pt idx="182">
                  <c:v>-1.6319999999999997</c:v>
                </c:pt>
                <c:pt idx="183">
                  <c:v>-1.6079999999999997</c:v>
                </c:pt>
                <c:pt idx="184">
                  <c:v>-1.5839999999999996</c:v>
                </c:pt>
                <c:pt idx="185">
                  <c:v>-1.5599999999999996</c:v>
                </c:pt>
                <c:pt idx="186">
                  <c:v>-1.5359999999999996</c:v>
                </c:pt>
                <c:pt idx="187">
                  <c:v>-1.5119999999999996</c:v>
                </c:pt>
                <c:pt idx="188">
                  <c:v>-1.4879999999999995</c:v>
                </c:pt>
                <c:pt idx="189">
                  <c:v>-1.4639999999999995</c:v>
                </c:pt>
                <c:pt idx="190">
                  <c:v>-1.4399999999999995</c:v>
                </c:pt>
                <c:pt idx="191">
                  <c:v>-1.4159999999999995</c:v>
                </c:pt>
                <c:pt idx="192">
                  <c:v>-1.3919999999999995</c:v>
                </c:pt>
                <c:pt idx="193">
                  <c:v>-1.3680000000000003</c:v>
                </c:pt>
                <c:pt idx="194">
                  <c:v>-1.3440000000000003</c:v>
                </c:pt>
                <c:pt idx="195">
                  <c:v>-1.3200000000000003</c:v>
                </c:pt>
                <c:pt idx="196">
                  <c:v>-1.2960000000000003</c:v>
                </c:pt>
                <c:pt idx="197">
                  <c:v>-1.2720000000000002</c:v>
                </c:pt>
                <c:pt idx="198">
                  <c:v>-1.2480000000000002</c:v>
                </c:pt>
                <c:pt idx="199">
                  <c:v>-1.2240000000000002</c:v>
                </c:pt>
                <c:pt idx="200">
                  <c:v>-1.2000000000000002</c:v>
                </c:pt>
                <c:pt idx="201">
                  <c:v>-1.1760000000000002</c:v>
                </c:pt>
                <c:pt idx="202">
                  <c:v>-1.1520000000000001</c:v>
                </c:pt>
                <c:pt idx="203">
                  <c:v>-1.1280000000000001</c:v>
                </c:pt>
                <c:pt idx="204">
                  <c:v>-1.1040000000000001</c:v>
                </c:pt>
                <c:pt idx="205">
                  <c:v>-1.08</c:v>
                </c:pt>
                <c:pt idx="206">
                  <c:v>-1.056</c:v>
                </c:pt>
                <c:pt idx="207">
                  <c:v>-1.032</c:v>
                </c:pt>
                <c:pt idx="208">
                  <c:v>-1.008</c:v>
                </c:pt>
                <c:pt idx="209">
                  <c:v>-0.98399999999999999</c:v>
                </c:pt>
                <c:pt idx="210">
                  <c:v>-0.96</c:v>
                </c:pt>
                <c:pt idx="211">
                  <c:v>-0.93599999999999994</c:v>
                </c:pt>
                <c:pt idx="212">
                  <c:v>-0.91199999999999992</c:v>
                </c:pt>
                <c:pt idx="213">
                  <c:v>-0.8879999999999999</c:v>
                </c:pt>
                <c:pt idx="214">
                  <c:v>-0.86399999999999988</c:v>
                </c:pt>
                <c:pt idx="215">
                  <c:v>-0.83999999999999986</c:v>
                </c:pt>
                <c:pt idx="216">
                  <c:v>-0.81599999999999984</c:v>
                </c:pt>
                <c:pt idx="217">
                  <c:v>-0.79199999999999982</c:v>
                </c:pt>
                <c:pt idx="218">
                  <c:v>-0.76799999999999979</c:v>
                </c:pt>
                <c:pt idx="219">
                  <c:v>-0.74399999999999977</c:v>
                </c:pt>
                <c:pt idx="220">
                  <c:v>-0.71999999999999975</c:v>
                </c:pt>
                <c:pt idx="221">
                  <c:v>-0.69599999999999973</c:v>
                </c:pt>
                <c:pt idx="222">
                  <c:v>-0.67199999999999971</c:v>
                </c:pt>
                <c:pt idx="223">
                  <c:v>-0.64799999999999969</c:v>
                </c:pt>
                <c:pt idx="224">
                  <c:v>-0.62399999999999967</c:v>
                </c:pt>
                <c:pt idx="225">
                  <c:v>-0.59999999999999964</c:v>
                </c:pt>
                <c:pt idx="226">
                  <c:v>-0.57599999999999962</c:v>
                </c:pt>
                <c:pt idx="227">
                  <c:v>-0.5519999999999996</c:v>
                </c:pt>
                <c:pt idx="228">
                  <c:v>-0.52799999999999958</c:v>
                </c:pt>
                <c:pt idx="229">
                  <c:v>-0.50399999999999956</c:v>
                </c:pt>
                <c:pt idx="230">
                  <c:v>-0.47999999999999954</c:v>
                </c:pt>
                <c:pt idx="231">
                  <c:v>-0.45599999999999952</c:v>
                </c:pt>
                <c:pt idx="232">
                  <c:v>-0.4319999999999995</c:v>
                </c:pt>
                <c:pt idx="233">
                  <c:v>-0.40799999999999947</c:v>
                </c:pt>
                <c:pt idx="234">
                  <c:v>-0.38399999999999945</c:v>
                </c:pt>
                <c:pt idx="235">
                  <c:v>-0.36000000000000032</c:v>
                </c:pt>
                <c:pt idx="236">
                  <c:v>-0.3360000000000003</c:v>
                </c:pt>
                <c:pt idx="237">
                  <c:v>-0.31200000000000028</c:v>
                </c:pt>
                <c:pt idx="238">
                  <c:v>-0.28800000000000026</c:v>
                </c:pt>
                <c:pt idx="239">
                  <c:v>-0.26400000000000023</c:v>
                </c:pt>
                <c:pt idx="240">
                  <c:v>-0.24000000000000021</c:v>
                </c:pt>
                <c:pt idx="241">
                  <c:v>-0.21600000000000019</c:v>
                </c:pt>
                <c:pt idx="242">
                  <c:v>-0.19200000000000017</c:v>
                </c:pt>
                <c:pt idx="243">
                  <c:v>-0.16800000000000015</c:v>
                </c:pt>
                <c:pt idx="244">
                  <c:v>-0.14400000000000013</c:v>
                </c:pt>
                <c:pt idx="245">
                  <c:v>-0.12000000000000011</c:v>
                </c:pt>
                <c:pt idx="246">
                  <c:v>-9.6000000000000085E-2</c:v>
                </c:pt>
                <c:pt idx="247">
                  <c:v>-7.2000000000000064E-2</c:v>
                </c:pt>
                <c:pt idx="248">
                  <c:v>-4.8000000000000043E-2</c:v>
                </c:pt>
                <c:pt idx="249">
                  <c:v>-2.4000000000000021E-2</c:v>
                </c:pt>
                <c:pt idx="250">
                  <c:v>0</c:v>
                </c:pt>
                <c:pt idx="251">
                  <c:v>2.4000000000000021E-2</c:v>
                </c:pt>
                <c:pt idx="252">
                  <c:v>4.8000000000000043E-2</c:v>
                </c:pt>
                <c:pt idx="253">
                  <c:v>7.2000000000000064E-2</c:v>
                </c:pt>
                <c:pt idx="254">
                  <c:v>9.6000000000000085E-2</c:v>
                </c:pt>
                <c:pt idx="255">
                  <c:v>0.12000000000000011</c:v>
                </c:pt>
                <c:pt idx="256">
                  <c:v>0.14400000000000013</c:v>
                </c:pt>
                <c:pt idx="257">
                  <c:v>0.16800000000000015</c:v>
                </c:pt>
                <c:pt idx="258">
                  <c:v>0.19200000000000017</c:v>
                </c:pt>
                <c:pt idx="259">
                  <c:v>0.21600000000000019</c:v>
                </c:pt>
                <c:pt idx="260">
                  <c:v>0.24000000000000021</c:v>
                </c:pt>
                <c:pt idx="261">
                  <c:v>0.26400000000000023</c:v>
                </c:pt>
                <c:pt idx="262">
                  <c:v>0.28800000000000026</c:v>
                </c:pt>
                <c:pt idx="263">
                  <c:v>0.31200000000000028</c:v>
                </c:pt>
                <c:pt idx="264">
                  <c:v>0.3360000000000003</c:v>
                </c:pt>
                <c:pt idx="265">
                  <c:v>0.36000000000000032</c:v>
                </c:pt>
                <c:pt idx="266">
                  <c:v>0.38400000000000034</c:v>
                </c:pt>
                <c:pt idx="267">
                  <c:v>0.40800000000000036</c:v>
                </c:pt>
                <c:pt idx="268">
                  <c:v>0.43200000000000038</c:v>
                </c:pt>
                <c:pt idx="269">
                  <c:v>0.45600000000000041</c:v>
                </c:pt>
                <c:pt idx="270">
                  <c:v>0.48000000000000043</c:v>
                </c:pt>
                <c:pt idx="271">
                  <c:v>0.50400000000000045</c:v>
                </c:pt>
                <c:pt idx="272">
                  <c:v>0.52800000000000047</c:v>
                </c:pt>
                <c:pt idx="273">
                  <c:v>0.55200000000000049</c:v>
                </c:pt>
                <c:pt idx="274">
                  <c:v>0.57600000000000051</c:v>
                </c:pt>
                <c:pt idx="275">
                  <c:v>0.60000000000000053</c:v>
                </c:pt>
                <c:pt idx="276">
                  <c:v>0.62400000000000055</c:v>
                </c:pt>
                <c:pt idx="277">
                  <c:v>0.64800000000000058</c:v>
                </c:pt>
                <c:pt idx="278">
                  <c:v>0.67199999999999971</c:v>
                </c:pt>
                <c:pt idx="279">
                  <c:v>0.69599999999999973</c:v>
                </c:pt>
                <c:pt idx="280">
                  <c:v>0.71999999999999975</c:v>
                </c:pt>
                <c:pt idx="281">
                  <c:v>0.74399999999999977</c:v>
                </c:pt>
                <c:pt idx="282">
                  <c:v>0.76799999999999979</c:v>
                </c:pt>
                <c:pt idx="283">
                  <c:v>0.79199999999999982</c:v>
                </c:pt>
                <c:pt idx="284">
                  <c:v>0.81599999999999984</c:v>
                </c:pt>
                <c:pt idx="285">
                  <c:v>0.83999999999999986</c:v>
                </c:pt>
                <c:pt idx="286">
                  <c:v>0.86399999999999988</c:v>
                </c:pt>
                <c:pt idx="287">
                  <c:v>0.8879999999999999</c:v>
                </c:pt>
                <c:pt idx="288">
                  <c:v>0.91199999999999992</c:v>
                </c:pt>
                <c:pt idx="289">
                  <c:v>0.93599999999999994</c:v>
                </c:pt>
                <c:pt idx="290">
                  <c:v>0.96</c:v>
                </c:pt>
                <c:pt idx="291">
                  <c:v>0.98399999999999999</c:v>
                </c:pt>
                <c:pt idx="292">
                  <c:v>1.008</c:v>
                </c:pt>
                <c:pt idx="293">
                  <c:v>1.032</c:v>
                </c:pt>
                <c:pt idx="294">
                  <c:v>1.056</c:v>
                </c:pt>
                <c:pt idx="295">
                  <c:v>1.08</c:v>
                </c:pt>
                <c:pt idx="296">
                  <c:v>1.1040000000000001</c:v>
                </c:pt>
                <c:pt idx="297">
                  <c:v>1.1280000000000001</c:v>
                </c:pt>
                <c:pt idx="298">
                  <c:v>1.1520000000000001</c:v>
                </c:pt>
                <c:pt idx="299">
                  <c:v>1.1760000000000002</c:v>
                </c:pt>
                <c:pt idx="300">
                  <c:v>1.2000000000000002</c:v>
                </c:pt>
                <c:pt idx="301">
                  <c:v>1.2240000000000002</c:v>
                </c:pt>
                <c:pt idx="302">
                  <c:v>1.2480000000000002</c:v>
                </c:pt>
                <c:pt idx="303">
                  <c:v>1.2720000000000002</c:v>
                </c:pt>
                <c:pt idx="304">
                  <c:v>1.2960000000000003</c:v>
                </c:pt>
                <c:pt idx="305">
                  <c:v>1.3200000000000003</c:v>
                </c:pt>
                <c:pt idx="306">
                  <c:v>1.3440000000000003</c:v>
                </c:pt>
                <c:pt idx="307">
                  <c:v>1.3680000000000003</c:v>
                </c:pt>
                <c:pt idx="308">
                  <c:v>1.3920000000000003</c:v>
                </c:pt>
                <c:pt idx="309">
                  <c:v>1.4160000000000004</c:v>
                </c:pt>
                <c:pt idx="310">
                  <c:v>1.4400000000000004</c:v>
                </c:pt>
                <c:pt idx="311">
                  <c:v>1.4640000000000004</c:v>
                </c:pt>
                <c:pt idx="312">
                  <c:v>1.4880000000000004</c:v>
                </c:pt>
                <c:pt idx="313">
                  <c:v>1.5120000000000005</c:v>
                </c:pt>
                <c:pt idx="314">
                  <c:v>1.5360000000000005</c:v>
                </c:pt>
                <c:pt idx="315">
                  <c:v>1.5600000000000005</c:v>
                </c:pt>
                <c:pt idx="316">
                  <c:v>1.5840000000000005</c:v>
                </c:pt>
                <c:pt idx="317">
                  <c:v>1.6080000000000005</c:v>
                </c:pt>
                <c:pt idx="318">
                  <c:v>1.6320000000000006</c:v>
                </c:pt>
                <c:pt idx="319">
                  <c:v>1.6560000000000006</c:v>
                </c:pt>
                <c:pt idx="320">
                  <c:v>1.6799999999999997</c:v>
                </c:pt>
                <c:pt idx="321">
                  <c:v>1.7039999999999997</c:v>
                </c:pt>
                <c:pt idx="322">
                  <c:v>1.7279999999999998</c:v>
                </c:pt>
                <c:pt idx="323">
                  <c:v>1.7519999999999998</c:v>
                </c:pt>
                <c:pt idx="324">
                  <c:v>1.7759999999999998</c:v>
                </c:pt>
                <c:pt idx="325">
                  <c:v>1.7999999999999998</c:v>
                </c:pt>
                <c:pt idx="326">
                  <c:v>1.8239999999999998</c:v>
                </c:pt>
                <c:pt idx="327">
                  <c:v>1.8479999999999999</c:v>
                </c:pt>
                <c:pt idx="328">
                  <c:v>1.8719999999999999</c:v>
                </c:pt>
                <c:pt idx="329">
                  <c:v>1.8959999999999999</c:v>
                </c:pt>
                <c:pt idx="330">
                  <c:v>1.92</c:v>
                </c:pt>
                <c:pt idx="331">
                  <c:v>1.944</c:v>
                </c:pt>
                <c:pt idx="332">
                  <c:v>1.968</c:v>
                </c:pt>
                <c:pt idx="333">
                  <c:v>1.992</c:v>
                </c:pt>
                <c:pt idx="334">
                  <c:v>2.016</c:v>
                </c:pt>
                <c:pt idx="335">
                  <c:v>2.0400000000000009</c:v>
                </c:pt>
                <c:pt idx="336">
                  <c:v>2.0640000000000001</c:v>
                </c:pt>
                <c:pt idx="337">
                  <c:v>2.088000000000001</c:v>
                </c:pt>
                <c:pt idx="338">
                  <c:v>2.1120000000000001</c:v>
                </c:pt>
                <c:pt idx="339">
                  <c:v>2.136000000000001</c:v>
                </c:pt>
                <c:pt idx="340">
                  <c:v>2.16</c:v>
                </c:pt>
                <c:pt idx="341">
                  <c:v>2.1840000000000011</c:v>
                </c:pt>
                <c:pt idx="342">
                  <c:v>2.2080000000000002</c:v>
                </c:pt>
                <c:pt idx="343">
                  <c:v>2.2319999999999993</c:v>
                </c:pt>
                <c:pt idx="344">
                  <c:v>2.2560000000000002</c:v>
                </c:pt>
                <c:pt idx="345">
                  <c:v>2.2799999999999994</c:v>
                </c:pt>
                <c:pt idx="346">
                  <c:v>2.3040000000000003</c:v>
                </c:pt>
                <c:pt idx="347">
                  <c:v>2.3279999999999994</c:v>
                </c:pt>
                <c:pt idx="348">
                  <c:v>2.3520000000000003</c:v>
                </c:pt>
                <c:pt idx="349">
                  <c:v>2.3759999999999994</c:v>
                </c:pt>
                <c:pt idx="350">
                  <c:v>2.4000000000000004</c:v>
                </c:pt>
                <c:pt idx="351">
                  <c:v>2.4239999999999995</c:v>
                </c:pt>
                <c:pt idx="352">
                  <c:v>2.4480000000000004</c:v>
                </c:pt>
                <c:pt idx="353">
                  <c:v>2.4719999999999995</c:v>
                </c:pt>
                <c:pt idx="354">
                  <c:v>2.4960000000000004</c:v>
                </c:pt>
                <c:pt idx="355">
                  <c:v>2.5199999999999996</c:v>
                </c:pt>
                <c:pt idx="356">
                  <c:v>2.5440000000000005</c:v>
                </c:pt>
                <c:pt idx="357">
                  <c:v>2.5679999999999996</c:v>
                </c:pt>
                <c:pt idx="358">
                  <c:v>2.5920000000000005</c:v>
                </c:pt>
                <c:pt idx="359">
                  <c:v>2.6159999999999997</c:v>
                </c:pt>
                <c:pt idx="360">
                  <c:v>2.6400000000000006</c:v>
                </c:pt>
                <c:pt idx="361">
                  <c:v>2.6639999999999997</c:v>
                </c:pt>
                <c:pt idx="362">
                  <c:v>2.6880000000000006</c:v>
                </c:pt>
                <c:pt idx="363">
                  <c:v>2.7119999999999997</c:v>
                </c:pt>
                <c:pt idx="364">
                  <c:v>2.7360000000000007</c:v>
                </c:pt>
                <c:pt idx="365">
                  <c:v>2.76</c:v>
                </c:pt>
                <c:pt idx="366">
                  <c:v>2.7840000000000007</c:v>
                </c:pt>
                <c:pt idx="367">
                  <c:v>2.8079999999999998</c:v>
                </c:pt>
                <c:pt idx="368">
                  <c:v>2.8320000000000007</c:v>
                </c:pt>
                <c:pt idx="369">
                  <c:v>2.8559999999999999</c:v>
                </c:pt>
                <c:pt idx="370">
                  <c:v>2.8800000000000008</c:v>
                </c:pt>
                <c:pt idx="371">
                  <c:v>2.9039999999999999</c:v>
                </c:pt>
                <c:pt idx="372">
                  <c:v>2.9280000000000008</c:v>
                </c:pt>
                <c:pt idx="373">
                  <c:v>2.952</c:v>
                </c:pt>
                <c:pt idx="374">
                  <c:v>2.9760000000000009</c:v>
                </c:pt>
                <c:pt idx="375">
                  <c:v>3</c:v>
                </c:pt>
                <c:pt idx="376">
                  <c:v>3.0240000000000009</c:v>
                </c:pt>
                <c:pt idx="377">
                  <c:v>3.048</c:v>
                </c:pt>
                <c:pt idx="378">
                  <c:v>3.072000000000001</c:v>
                </c:pt>
                <c:pt idx="379">
                  <c:v>3.0960000000000001</c:v>
                </c:pt>
                <c:pt idx="380">
                  <c:v>3.120000000000001</c:v>
                </c:pt>
                <c:pt idx="381">
                  <c:v>3.1440000000000001</c:v>
                </c:pt>
                <c:pt idx="382">
                  <c:v>3.168000000000001</c:v>
                </c:pt>
                <c:pt idx="383">
                  <c:v>3.1920000000000002</c:v>
                </c:pt>
                <c:pt idx="384">
                  <c:v>3.2160000000000011</c:v>
                </c:pt>
                <c:pt idx="385">
                  <c:v>3.24</c:v>
                </c:pt>
                <c:pt idx="386">
                  <c:v>3.2639999999999993</c:v>
                </c:pt>
                <c:pt idx="387">
                  <c:v>3.2880000000000003</c:v>
                </c:pt>
                <c:pt idx="388">
                  <c:v>3.3119999999999994</c:v>
                </c:pt>
                <c:pt idx="389">
                  <c:v>3.3360000000000003</c:v>
                </c:pt>
                <c:pt idx="390">
                  <c:v>3.3599999999999994</c:v>
                </c:pt>
                <c:pt idx="391">
                  <c:v>3.3840000000000003</c:v>
                </c:pt>
                <c:pt idx="392">
                  <c:v>3.4079999999999995</c:v>
                </c:pt>
                <c:pt idx="393">
                  <c:v>3.4320000000000004</c:v>
                </c:pt>
                <c:pt idx="394">
                  <c:v>3.4559999999999995</c:v>
                </c:pt>
                <c:pt idx="395">
                  <c:v>3.4800000000000004</c:v>
                </c:pt>
                <c:pt idx="396">
                  <c:v>3.5039999999999996</c:v>
                </c:pt>
                <c:pt idx="397">
                  <c:v>3.5280000000000005</c:v>
                </c:pt>
                <c:pt idx="398">
                  <c:v>3.5519999999999996</c:v>
                </c:pt>
                <c:pt idx="399">
                  <c:v>3.5760000000000005</c:v>
                </c:pt>
                <c:pt idx="400">
                  <c:v>3.5999999999999996</c:v>
                </c:pt>
                <c:pt idx="401">
                  <c:v>3.6240000000000006</c:v>
                </c:pt>
                <c:pt idx="402">
                  <c:v>3.6479999999999997</c:v>
                </c:pt>
                <c:pt idx="403">
                  <c:v>3.6720000000000006</c:v>
                </c:pt>
                <c:pt idx="404">
                  <c:v>3.6959999999999997</c:v>
                </c:pt>
                <c:pt idx="405">
                  <c:v>3.7200000000000006</c:v>
                </c:pt>
                <c:pt idx="406">
                  <c:v>3.7439999999999998</c:v>
                </c:pt>
                <c:pt idx="407">
                  <c:v>3.7680000000000007</c:v>
                </c:pt>
                <c:pt idx="408">
                  <c:v>3.7919999999999998</c:v>
                </c:pt>
                <c:pt idx="409">
                  <c:v>3.8160000000000007</c:v>
                </c:pt>
                <c:pt idx="410">
                  <c:v>3.84</c:v>
                </c:pt>
                <c:pt idx="411">
                  <c:v>3.8640000000000008</c:v>
                </c:pt>
                <c:pt idx="412">
                  <c:v>3.8879999999999999</c:v>
                </c:pt>
                <c:pt idx="413">
                  <c:v>3.9120000000000008</c:v>
                </c:pt>
                <c:pt idx="414">
                  <c:v>3.9359999999999999</c:v>
                </c:pt>
                <c:pt idx="415">
                  <c:v>3.9600000000000009</c:v>
                </c:pt>
                <c:pt idx="416">
                  <c:v>3.984</c:v>
                </c:pt>
                <c:pt idx="417">
                  <c:v>4.0080000000000009</c:v>
                </c:pt>
                <c:pt idx="418">
                  <c:v>4.032</c:v>
                </c:pt>
                <c:pt idx="419">
                  <c:v>4.0560000000000009</c:v>
                </c:pt>
                <c:pt idx="420">
                  <c:v>4.08</c:v>
                </c:pt>
                <c:pt idx="421">
                  <c:v>4.104000000000001</c:v>
                </c:pt>
                <c:pt idx="422">
                  <c:v>4.1280000000000001</c:v>
                </c:pt>
                <c:pt idx="423">
                  <c:v>4.152000000000001</c:v>
                </c:pt>
                <c:pt idx="424">
                  <c:v>4.1760000000000002</c:v>
                </c:pt>
                <c:pt idx="425">
                  <c:v>4.2000000000000011</c:v>
                </c:pt>
                <c:pt idx="426">
                  <c:v>4.2240000000000002</c:v>
                </c:pt>
                <c:pt idx="427">
                  <c:v>4.2479999999999993</c:v>
                </c:pt>
                <c:pt idx="428">
                  <c:v>4.2720000000000002</c:v>
                </c:pt>
                <c:pt idx="429">
                  <c:v>4.2959999999999994</c:v>
                </c:pt>
                <c:pt idx="430">
                  <c:v>4.32</c:v>
                </c:pt>
                <c:pt idx="431">
                  <c:v>4.3439999999999994</c:v>
                </c:pt>
                <c:pt idx="432">
                  <c:v>4.3680000000000003</c:v>
                </c:pt>
                <c:pt idx="433">
                  <c:v>4.3919999999999995</c:v>
                </c:pt>
                <c:pt idx="434">
                  <c:v>4.4160000000000004</c:v>
                </c:pt>
                <c:pt idx="435">
                  <c:v>4.4399999999999995</c:v>
                </c:pt>
                <c:pt idx="436">
                  <c:v>4.4640000000000004</c:v>
                </c:pt>
                <c:pt idx="437">
                  <c:v>4.4879999999999995</c:v>
                </c:pt>
                <c:pt idx="438">
                  <c:v>4.5120000000000005</c:v>
                </c:pt>
                <c:pt idx="439">
                  <c:v>4.5359999999999996</c:v>
                </c:pt>
                <c:pt idx="440">
                  <c:v>4.5600000000000005</c:v>
                </c:pt>
                <c:pt idx="441">
                  <c:v>4.5839999999999996</c:v>
                </c:pt>
                <c:pt idx="442">
                  <c:v>4.6080000000000005</c:v>
                </c:pt>
                <c:pt idx="443">
                  <c:v>4.6319999999999997</c:v>
                </c:pt>
                <c:pt idx="444">
                  <c:v>4.6560000000000006</c:v>
                </c:pt>
                <c:pt idx="445">
                  <c:v>4.68</c:v>
                </c:pt>
                <c:pt idx="446">
                  <c:v>4.7040000000000006</c:v>
                </c:pt>
                <c:pt idx="447">
                  <c:v>4.7279999999999998</c:v>
                </c:pt>
                <c:pt idx="448">
                  <c:v>4.7520000000000007</c:v>
                </c:pt>
                <c:pt idx="449">
                  <c:v>4.7759999999999998</c:v>
                </c:pt>
                <c:pt idx="450">
                  <c:v>4.8000000000000007</c:v>
                </c:pt>
                <c:pt idx="451">
                  <c:v>4.8239999999999998</c:v>
                </c:pt>
                <c:pt idx="452">
                  <c:v>4.8480000000000008</c:v>
                </c:pt>
                <c:pt idx="453">
                  <c:v>4.8719999999999999</c:v>
                </c:pt>
                <c:pt idx="454">
                  <c:v>4.8960000000000008</c:v>
                </c:pt>
                <c:pt idx="455">
                  <c:v>4.92</c:v>
                </c:pt>
                <c:pt idx="456">
                  <c:v>4.9440000000000008</c:v>
                </c:pt>
                <c:pt idx="457">
                  <c:v>4.968</c:v>
                </c:pt>
                <c:pt idx="458">
                  <c:v>4.9920000000000009</c:v>
                </c:pt>
                <c:pt idx="459">
                  <c:v>5.016</c:v>
                </c:pt>
                <c:pt idx="460">
                  <c:v>5.0400000000000009</c:v>
                </c:pt>
                <c:pt idx="461">
                  <c:v>5.0640000000000001</c:v>
                </c:pt>
                <c:pt idx="462">
                  <c:v>5.088000000000001</c:v>
                </c:pt>
                <c:pt idx="463">
                  <c:v>5.1120000000000001</c:v>
                </c:pt>
                <c:pt idx="464">
                  <c:v>5.136000000000001</c:v>
                </c:pt>
                <c:pt idx="465">
                  <c:v>5.16</c:v>
                </c:pt>
                <c:pt idx="466">
                  <c:v>5.1840000000000011</c:v>
                </c:pt>
                <c:pt idx="467">
                  <c:v>5.2080000000000002</c:v>
                </c:pt>
                <c:pt idx="468">
                  <c:v>5.2320000000000011</c:v>
                </c:pt>
                <c:pt idx="469">
                  <c:v>5.2560000000000002</c:v>
                </c:pt>
                <c:pt idx="470">
                  <c:v>5.2799999999999994</c:v>
                </c:pt>
                <c:pt idx="471">
                  <c:v>5.3040000000000003</c:v>
                </c:pt>
                <c:pt idx="472">
                  <c:v>5.3279999999999994</c:v>
                </c:pt>
                <c:pt idx="473">
                  <c:v>5.3520000000000003</c:v>
                </c:pt>
                <c:pt idx="474">
                  <c:v>5.3759999999999994</c:v>
                </c:pt>
                <c:pt idx="475">
                  <c:v>5.4</c:v>
                </c:pt>
                <c:pt idx="476">
                  <c:v>5.4239999999999995</c:v>
                </c:pt>
                <c:pt idx="477">
                  <c:v>5.4480000000000004</c:v>
                </c:pt>
                <c:pt idx="478">
                  <c:v>5.4719999999999995</c:v>
                </c:pt>
                <c:pt idx="479">
                  <c:v>5.4960000000000004</c:v>
                </c:pt>
                <c:pt idx="480">
                  <c:v>5.52</c:v>
                </c:pt>
                <c:pt idx="481">
                  <c:v>5.5440000000000005</c:v>
                </c:pt>
                <c:pt idx="482">
                  <c:v>5.5679999999999996</c:v>
                </c:pt>
                <c:pt idx="483">
                  <c:v>5.5920000000000005</c:v>
                </c:pt>
                <c:pt idx="484">
                  <c:v>5.6159999999999997</c:v>
                </c:pt>
                <c:pt idx="485">
                  <c:v>5.6400000000000006</c:v>
                </c:pt>
                <c:pt idx="486">
                  <c:v>5.6639999999999997</c:v>
                </c:pt>
                <c:pt idx="487">
                  <c:v>5.6880000000000006</c:v>
                </c:pt>
                <c:pt idx="488">
                  <c:v>5.7119999999999997</c:v>
                </c:pt>
                <c:pt idx="489">
                  <c:v>5.7360000000000007</c:v>
                </c:pt>
                <c:pt idx="490">
                  <c:v>5.76</c:v>
                </c:pt>
                <c:pt idx="491">
                  <c:v>5.7840000000000007</c:v>
                </c:pt>
                <c:pt idx="492">
                  <c:v>5.8079999999999998</c:v>
                </c:pt>
                <c:pt idx="493">
                  <c:v>5.8320000000000007</c:v>
                </c:pt>
                <c:pt idx="494">
                  <c:v>5.8559999999999999</c:v>
                </c:pt>
                <c:pt idx="495">
                  <c:v>5.8800000000000008</c:v>
                </c:pt>
                <c:pt idx="496">
                  <c:v>5.9039999999999999</c:v>
                </c:pt>
                <c:pt idx="497">
                  <c:v>5.9280000000000008</c:v>
                </c:pt>
                <c:pt idx="498">
                  <c:v>5.952</c:v>
                </c:pt>
                <c:pt idx="499">
                  <c:v>5.9760000000000009</c:v>
                </c:pt>
                <c:pt idx="500">
                  <c:v>6</c:v>
                </c:pt>
              </c:numCache>
            </c:numRef>
          </c:xVal>
          <c:yVal>
            <c:numRef>
              <c:f>'Fig 2 - 1-sample t test'!$G$100:$G$600</c:f>
              <c:numCache>
                <c:formatCode>General</c:formatCode>
                <c:ptCount val="501"/>
                <c:pt idx="0">
                  <c:v>1.1858541225631424E-3</c:v>
                </c:pt>
                <c:pt idx="1">
                  <c:v>1.2074275990859437E-3</c:v>
                </c:pt>
                <c:pt idx="2">
                  <c:v>1.2294647466724814E-3</c:v>
                </c:pt>
                <c:pt idx="3">
                  <c:v>1.2519769964117219E-3</c:v>
                </c:pt>
                <c:pt idx="4">
                  <c:v>1.274976095478737E-3</c:v>
                </c:pt>
                <c:pt idx="5">
                  <c:v>1.2984741167604388E-3</c:v>
                </c:pt>
                <c:pt idx="6">
                  <c:v>1.3224834687990369E-3</c:v>
                </c:pt>
                <c:pt idx="7">
                  <c:v>1.3470169060644192E-3</c:v>
                </c:pt>
                <c:pt idx="8">
                  <c:v>1.3720875395670609E-3</c:v>
                </c:pt>
                <c:pt idx="9">
                  <c:v>1.397708847823512E-3</c:v>
                </c:pt>
                <c:pt idx="10">
                  <c:v>1.4238946881869421E-3</c:v>
                </c:pt>
                <c:pt idx="11">
                  <c:v>1.4506593085557018E-3</c:v>
                </c:pt>
                <c:pt idx="12">
                  <c:v>1.4780173594733288E-3</c:v>
                </c:pt>
                <c:pt idx="13">
                  <c:v>1.5059839066339381E-3</c:v>
                </c:pt>
                <c:pt idx="14">
                  <c:v>1.5345744438074443E-3</c:v>
                </c:pt>
                <c:pt idx="15">
                  <c:v>1.5638049061996008E-3</c:v>
                </c:pt>
                <c:pt idx="16">
                  <c:v>1.5936916842624253E-3</c:v>
                </c:pt>
                <c:pt idx="17">
                  <c:v>1.6242516379711208E-3</c:v>
                </c:pt>
                <c:pt idx="18">
                  <c:v>1.6555021115842359E-3</c:v>
                </c:pt>
                <c:pt idx="19">
                  <c:v>1.6874609489044262E-3</c:v>
                </c:pt>
                <c:pt idx="20">
                  <c:v>1.7201465090578147E-3</c:v>
                </c:pt>
                <c:pt idx="21">
                  <c:v>1.7535776828106458E-3</c:v>
                </c:pt>
                <c:pt idx="22">
                  <c:v>1.7877739094426049E-3</c:v>
                </c:pt>
                <c:pt idx="23">
                  <c:v>1.822755194196903E-3</c:v>
                </c:pt>
                <c:pt idx="24">
                  <c:v>1.8585421263280259E-3</c:v>
                </c:pt>
                <c:pt idx="25">
                  <c:v>1.8951558977687263E-3</c:v>
                </c:pt>
                <c:pt idx="26">
                  <c:v>1.9326183224387824E-3</c:v>
                </c:pt>
                <c:pt idx="27">
                  <c:v>1.9709518562187616E-3</c:v>
                </c:pt>
                <c:pt idx="28">
                  <c:v>2.0101796176130002E-3</c:v>
                </c:pt>
                <c:pt idx="29">
                  <c:v>2.0503254091268439E-3</c:v>
                </c:pt>
                <c:pt idx="30">
                  <c:v>2.0914137393841905E-3</c:v>
                </c:pt>
                <c:pt idx="31">
                  <c:v>2.1334698460123021E-3</c:v>
                </c:pt>
                <c:pt idx="32">
                  <c:v>2.1765197193219141E-3</c:v>
                </c:pt>
                <c:pt idx="33">
                  <c:v>2.2205901268116707E-3</c:v>
                </c:pt>
                <c:pt idx="34">
                  <c:v>2.2657086385270415E-3</c:v>
                </c:pt>
                <c:pt idx="35">
                  <c:v>2.311903653304978E-3</c:v>
                </c:pt>
                <c:pt idx="36">
                  <c:v>2.3592044259367578E-3</c:v>
                </c:pt>
                <c:pt idx="37">
                  <c:v>2.4076410952826532E-3</c:v>
                </c:pt>
                <c:pt idx="38">
                  <c:v>2.4572447133733404E-3</c:v>
                </c:pt>
                <c:pt idx="39">
                  <c:v>2.5080472755342623E-3</c:v>
                </c:pt>
                <c:pt idx="40">
                  <c:v>2.5600817515704847E-3</c:v>
                </c:pt>
                <c:pt idx="41">
                  <c:v>2.6133821180510273E-3</c:v>
                </c:pt>
                <c:pt idx="42">
                  <c:v>2.6679833917330554E-3</c:v>
                </c:pt>
                <c:pt idx="43">
                  <c:v>2.7239216641678451E-3</c:v>
                </c:pt>
                <c:pt idx="44">
                  <c:v>2.7812341375319802E-3</c:v>
                </c:pt>
                <c:pt idx="45">
                  <c:v>2.8399591617288408E-3</c:v>
                </c:pt>
                <c:pt idx="46">
                  <c:v>2.9001362728071213E-3</c:v>
                </c:pt>
                <c:pt idx="47">
                  <c:v>2.9618062327448173E-3</c:v>
                </c:pt>
                <c:pt idx="48">
                  <c:v>3.0250110706489196E-3</c:v>
                </c:pt>
                <c:pt idx="49">
                  <c:v>3.0897941254228959E-3</c:v>
                </c:pt>
                <c:pt idx="50">
                  <c:v>3.1562000899559117E-3</c:v>
                </c:pt>
                <c:pt idx="51">
                  <c:v>3.224275056889775E-3</c:v>
                </c:pt>
                <c:pt idx="52">
                  <c:v>3.2940665660215417E-3</c:v>
                </c:pt>
                <c:pt idx="53">
                  <c:v>3.3656236534018967E-3</c:v>
                </c:pt>
                <c:pt idx="54">
                  <c:v>3.4389969021915321E-3</c:v>
                </c:pt>
                <c:pt idx="55">
                  <c:v>3.5142384953400236E-3</c:v>
                </c:pt>
                <c:pt idx="56">
                  <c:v>3.5914022701539977E-3</c:v>
                </c:pt>
                <c:pt idx="57">
                  <c:v>3.6705437748237599E-3</c:v>
                </c:pt>
                <c:pt idx="58">
                  <c:v>3.7517203269800134E-3</c:v>
                </c:pt>
                <c:pt idx="59">
                  <c:v>3.8349910743548442E-3</c:v>
                </c:pt>
                <c:pt idx="60">
                  <c:v>3.9204170576237008E-3</c:v>
                </c:pt>
                <c:pt idx="61">
                  <c:v>4.0080612755078729E-3</c:v>
                </c:pt>
                <c:pt idx="62">
                  <c:v>4.0979887522195465E-3</c:v>
                </c:pt>
                <c:pt idx="63">
                  <c:v>4.1902666073346459E-3</c:v>
                </c:pt>
                <c:pt idx="64">
                  <c:v>4.2849641281811884E-3</c:v>
                </c:pt>
                <c:pt idx="65">
                  <c:v>4.3821528448342922E-3</c:v>
                </c:pt>
                <c:pt idx="66">
                  <c:v>4.4819066078116004E-3</c:v>
                </c:pt>
                <c:pt idx="67">
                  <c:v>4.584301668566472E-3</c:v>
                </c:pt>
                <c:pt idx="68">
                  <c:v>4.6894167628790534E-3</c:v>
                </c:pt>
                <c:pt idx="69">
                  <c:v>4.797333197249066E-3</c:v>
                </c:pt>
                <c:pt idx="70">
                  <c:v>4.9081349383970499E-3</c:v>
                </c:pt>
                <c:pt idx="71">
                  <c:v>5.0219087059847302E-3</c:v>
                </c:pt>
                <c:pt idx="72">
                  <c:v>5.1387440686681352E-3</c:v>
                </c:pt>
                <c:pt idx="73">
                  <c:v>5.2587335436011006E-3</c:v>
                </c:pt>
                <c:pt idx="74">
                  <c:v>5.3819726995101317E-3</c:v>
                </c:pt>
                <c:pt idx="75">
                  <c:v>5.5085602634653572E-3</c:v>
                </c:pt>
                <c:pt idx="76">
                  <c:v>5.6385982314759988E-3</c:v>
                </c:pt>
                <c:pt idx="77">
                  <c:v>5.7721919830425704E-3</c:v>
                </c:pt>
                <c:pt idx="78">
                  <c:v>5.9094503998017517E-3</c:v>
                </c:pt>
                <c:pt idx="79">
                  <c:v>6.050485988403736E-3</c:v>
                </c:pt>
                <c:pt idx="80">
                  <c:v>6.1954150077656615E-3</c:v>
                </c:pt>
                <c:pt idx="81">
                  <c:v>6.3443576008485819E-3</c:v>
                </c:pt>
                <c:pt idx="82">
                  <c:v>6.4974379311092453E-3</c:v>
                </c:pt>
                <c:pt idx="83">
                  <c:v>6.654784323781731E-3</c:v>
                </c:pt>
                <c:pt idx="84">
                  <c:v>6.8165294121478332E-3</c:v>
                </c:pt>
                <c:pt idx="85">
                  <c:v>6.982810288958724E-3</c:v>
                </c:pt>
                <c:pt idx="86">
                  <c:v>7.1537686631740535E-3</c:v>
                </c:pt>
                <c:pt idx="87">
                  <c:v>7.3295510221882947E-3</c:v>
                </c:pt>
                <c:pt idx="88">
                  <c:v>7.5103087997174271E-3</c:v>
                </c:pt>
                <c:pt idx="89">
                  <c:v>7.6961985495224237E-3</c:v>
                </c:pt>
                <c:pt idx="90">
                  <c:v>7.8873821251491377E-3</c:v>
                </c:pt>
                <c:pt idx="91">
                  <c:v>8.0840268658669452E-3</c:v>
                </c:pt>
                <c:pt idx="92">
                  <c:v>8.28630578899134E-3</c:v>
                </c:pt>
                <c:pt idx="93">
                  <c:v>8.4943977887779396E-3</c:v>
                </c:pt>
                <c:pt idx="94">
                  <c:v>8.7084878420774468E-3</c:v>
                </c:pt>
                <c:pt idx="95">
                  <c:v>8.9287672209428705E-3</c:v>
                </c:pt>
                <c:pt idx="96">
                  <c:v>9.1554337123814535E-3</c:v>
                </c:pt>
                <c:pt idx="97">
                  <c:v>9.3886918454446945E-3</c:v>
                </c:pt>
                <c:pt idx="98">
                  <c:v>9.6287531258500928E-3</c:v>
                </c:pt>
                <c:pt idx="99">
                  <c:v>9.8758362783277591E-3</c:v>
                </c:pt>
                <c:pt idx="100">
                  <c:v>1.0130167496884291E-2</c:v>
                </c:pt>
                <c:pt idx="101">
                  <c:v>1.0391980703174387E-2</c:v>
                </c:pt>
                <c:pt idx="102">
                  <c:v>1.0661517813168056E-2</c:v>
                </c:pt>
                <c:pt idx="103">
                  <c:v>1.0939029012297916E-2</c:v>
                </c:pt>
                <c:pt idx="104">
                  <c:v>1.1224773039266465E-2</c:v>
                </c:pt>
                <c:pt idx="105">
                  <c:v>1.151901747868739E-2</c:v>
                </c:pt>
                <c:pt idx="106">
                  <c:v>1.1822039062728308E-2</c:v>
                </c:pt>
                <c:pt idx="107">
                  <c:v>1.2134123981913846E-2</c:v>
                </c:pt>
                <c:pt idx="108">
                  <c:v>1.2455568205238136E-2</c:v>
                </c:pt>
                <c:pt idx="109">
                  <c:v>1.278667780972439E-2</c:v>
                </c:pt>
                <c:pt idx="110">
                  <c:v>1.3127769319555822E-2</c:v>
                </c:pt>
                <c:pt idx="111">
                  <c:v>1.347917005488695E-2</c:v>
                </c:pt>
                <c:pt idx="112">
                  <c:v>1.384121849042666E-2</c:v>
                </c:pt>
                <c:pt idx="113">
                  <c:v>1.421426462386469E-2</c:v>
                </c:pt>
                <c:pt idx="114">
                  <c:v>1.4598670354190581E-2</c:v>
                </c:pt>
                <c:pt idx="115">
                  <c:v>1.4994809869928882E-2</c:v>
                </c:pt>
                <c:pt idx="116">
                  <c:v>1.5403070047286055E-2</c:v>
                </c:pt>
                <c:pt idx="117">
                  <c:v>1.5823850858172631E-2</c:v>
                </c:pt>
                <c:pt idx="118">
                  <c:v>1.6257565788029057E-2</c:v>
                </c:pt>
                <c:pt idx="119">
                  <c:v>1.6704642263344262E-2</c:v>
                </c:pt>
                <c:pt idx="120">
                  <c:v>1.7165522088712429E-2</c:v>
                </c:pt>
                <c:pt idx="121">
                  <c:v>1.7640661893225631E-2</c:v>
                </c:pt>
                <c:pt idx="122">
                  <c:v>1.8130533585946611E-2</c:v>
                </c:pt>
                <c:pt idx="123">
                  <c:v>1.8635624820147932E-2</c:v>
                </c:pt>
                <c:pt idx="124">
                  <c:v>1.9156439465939555E-2</c:v>
                </c:pt>
                <c:pt idx="125">
                  <c:v>1.969349809083654E-2</c:v>
                </c:pt>
                <c:pt idx="126">
                  <c:v>2.0247338447741858E-2</c:v>
                </c:pt>
                <c:pt idx="127">
                  <c:v>2.0818515969735316E-2</c:v>
                </c:pt>
                <c:pt idx="128">
                  <c:v>2.140760427096788E-2</c:v>
                </c:pt>
                <c:pt idx="129">
                  <c:v>2.2015195652861166E-2</c:v>
                </c:pt>
                <c:pt idx="130">
                  <c:v>2.2641901614703371E-2</c:v>
                </c:pt>
                <c:pt idx="131">
                  <c:v>2.3288353367615314E-2</c:v>
                </c:pt>
                <c:pt idx="132">
                  <c:v>2.3955202350732636E-2</c:v>
                </c:pt>
                <c:pt idx="133">
                  <c:v>2.4643120748312371E-2</c:v>
                </c:pt>
                <c:pt idx="134">
                  <c:v>2.535280200632286E-2</c:v>
                </c:pt>
                <c:pt idx="135">
                  <c:v>2.6084961346914844E-2</c:v>
                </c:pt>
                <c:pt idx="136">
                  <c:v>2.6840336278998699E-2</c:v>
                </c:pt>
                <c:pt idx="137">
                  <c:v>2.7619687102965432E-2</c:v>
                </c:pt>
                <c:pt idx="138">
                  <c:v>2.8423797407389258E-2</c:v>
                </c:pt>
                <c:pt idx="139">
                  <c:v>2.9253474555334027E-2</c:v>
                </c:pt>
                <c:pt idx="140">
                  <c:v>3.0109550157655717E-2</c:v>
                </c:pt>
                <c:pt idx="141">
                  <c:v>3.0992880530446503E-2</c:v>
                </c:pt>
                <c:pt idx="142">
                  <c:v>3.1904347133503305E-2</c:v>
                </c:pt>
                <c:pt idx="143">
                  <c:v>3.2844856986422685E-2</c:v>
                </c:pt>
                <c:pt idx="144">
                  <c:v>3.3815343058625845E-2</c:v>
                </c:pt>
                <c:pt idx="145">
                  <c:v>3.4816764629300521E-2</c:v>
                </c:pt>
                <c:pt idx="146">
                  <c:v>3.5850107612909847E-2</c:v>
                </c:pt>
                <c:pt idx="147">
                  <c:v>3.6916384845562755E-2</c:v>
                </c:pt>
                <c:pt idx="148">
                  <c:v>3.8016636327164732E-2</c:v>
                </c:pt>
                <c:pt idx="149">
                  <c:v>3.9151929413871051E-2</c:v>
                </c:pt>
                <c:pt idx="150">
                  <c:v>4.0323358954948263E-2</c:v>
                </c:pt>
                <c:pt idx="151">
                  <c:v>4.1532047367712856E-2</c:v>
                </c:pt>
                <c:pt idx="152">
                  <c:v>4.2779144643757885E-2</c:v>
                </c:pt>
                <c:pt idx="153">
                  <c:v>4.4065828279201753E-2</c:v>
                </c:pt>
                <c:pt idx="154">
                  <c:v>4.5393303121195973E-2</c:v>
                </c:pt>
                <c:pt idx="155">
                  <c:v>4.6762801122413621E-2</c:v>
                </c:pt>
                <c:pt idx="156">
                  <c:v>4.8175580994708166E-2</c:v>
                </c:pt>
                <c:pt idx="157">
                  <c:v>4.9632927752582955E-2</c:v>
                </c:pt>
                <c:pt idx="158">
                  <c:v>5.1136152136550247E-2</c:v>
                </c:pt>
                <c:pt idx="159">
                  <c:v>5.2686589905883791E-2</c:v>
                </c:pt>
                <c:pt idx="160">
                  <c:v>5.4285600989687266E-2</c:v>
                </c:pt>
                <c:pt idx="161">
                  <c:v>5.5934568484611209E-2</c:v>
                </c:pt>
                <c:pt idx="162">
                  <c:v>5.7634897486962051E-2</c:v>
                </c:pt>
                <c:pt idx="163">
                  <c:v>5.9388013746360491E-2</c:v>
                </c:pt>
                <c:pt idx="164">
                  <c:v>6.1195362127525903E-2</c:v>
                </c:pt>
                <c:pt idx="165">
                  <c:v>6.3058404866201748E-2</c:v>
                </c:pt>
                <c:pt idx="166">
                  <c:v>6.4978619604691076E-2</c:v>
                </c:pt>
                <c:pt idx="167">
                  <c:v>6.6957497191959731E-2</c:v>
                </c:pt>
                <c:pt idx="168">
                  <c:v>6.8996539232785856E-2</c:v>
                </c:pt>
                <c:pt idx="169">
                  <c:v>7.1097255370006926E-2</c:v>
                </c:pt>
                <c:pt idx="170">
                  <c:v>7.3261160283543431E-2</c:v>
                </c:pt>
                <c:pt idx="171">
                  <c:v>7.5489770389578395E-2</c:v>
                </c:pt>
                <c:pt idx="172">
                  <c:v>7.7784600223053182E-2</c:v>
                </c:pt>
                <c:pt idx="173">
                  <c:v>8.0147158486520917E-2</c:v>
                </c:pt>
                <c:pt idx="174">
                  <c:v>8.2578943748390934E-2</c:v>
                </c:pt>
                <c:pt idx="175">
                  <c:v>8.5081439773721027E-2</c:v>
                </c:pt>
                <c:pt idx="176">
                  <c:v>8.7656110470984094E-2</c:v>
                </c:pt>
                <c:pt idx="177">
                  <c:v>9.030439443867351E-2</c:v>
                </c:pt>
                <c:pt idx="178">
                  <c:v>9.3027699096236496E-2</c:v>
                </c:pt>
                <c:pt idx="179">
                  <c:v>9.5827394384657982E-2</c:v>
                </c:pt>
                <c:pt idx="180">
                  <c:v>9.8704806023082334E-2</c:v>
                </c:pt>
                <c:pt idx="181">
                  <c:v>0.10166120830917896</c:v>
                </c:pt>
                <c:pt idx="182">
                  <c:v>0.10469781645255553</c:v>
                </c:pt>
                <c:pt idx="183">
                  <c:v>0.1078157784324207</c:v>
                </c:pt>
                <c:pt idx="184">
                  <c:v>0.11101616637292511</c:v>
                </c:pt>
                <c:pt idx="185">
                  <c:v>0.11429996743218467</c:v>
                </c:pt>
                <c:pt idx="186">
                  <c:v>0.11766807420394038</c:v>
                </c:pt>
                <c:pt idx="187">
                  <c:v>0.12112127463415484</c:v>
                </c:pt>
                <c:pt idx="188">
                  <c:v>0.12466024145860648</c:v>
                </c:pt>
                <c:pt idx="189">
                  <c:v>0.12828552117174047</c:v>
                </c:pt>
                <c:pt idx="190">
                  <c:v>0.13199752254167918</c:v>
                </c:pt>
                <c:pt idx="191">
                  <c:v>0.13579650469140442</c:v>
                </c:pt>
                <c:pt idx="192">
                  <c:v>0.13968256477169544</c:v>
                </c:pt>
                <c:pt idx="193">
                  <c:v>0.14365562525745446</c:v>
                </c:pt>
                <c:pt idx="194">
                  <c:v>0.14771542090555762</c:v>
                </c:pt>
                <c:pt idx="195">
                  <c:v>0.15186148541933012</c:v>
                </c:pt>
                <c:pt idx="196">
                  <c:v>0.15609313787214149</c:v>
                </c:pt>
                <c:pt idx="197">
                  <c:v>0.160409468950407</c:v>
                </c:pt>
                <c:pt idx="198">
                  <c:v>0.16480932708444107</c:v>
                </c:pt>
                <c:pt idx="199">
                  <c:v>0.16929130454407559</c:v>
                </c:pt>
                <c:pt idx="200">
                  <c:v>0.17385372358466916</c:v>
                </c:pt>
                <c:pt idx="201">
                  <c:v>0.17849462273801589</c:v>
                </c:pt>
                <c:pt idx="202">
                  <c:v>0.18321174335162632</c:v>
                </c:pt>
                <c:pt idx="203">
                  <c:v>0.18800251648878533</c:v>
                </c:pt>
                <c:pt idx="204">
                  <c:v>0.19286405031058435</c:v>
                </c:pt>
                <c:pt idx="205">
                  <c:v>0.19779311806963132</c:v>
                </c:pt>
                <c:pt idx="206">
                  <c:v>0.20278614685322385</c:v>
                </c:pt>
                <c:pt idx="207">
                  <c:v>0.20783920722125546</c:v>
                </c:pt>
                <c:pt idx="208">
                  <c:v>0.21294800389084881</c:v>
                </c:pt>
                <c:pt idx="209">
                  <c:v>0.21810786762547041</c:v>
                </c:pt>
                <c:pt idx="210">
                  <c:v>0.22331374849090349</c:v>
                </c:pt>
                <c:pt idx="211">
                  <c:v>0.22856021064371371</c:v>
                </c:pt>
                <c:pt idx="212">
                  <c:v>0.23384142881955</c:v>
                </c:pt>
                <c:pt idx="213">
                  <c:v>0.23915118668855898</c:v>
                </c:pt>
                <c:pt idx="214">
                  <c:v>0.24448287724316231</c:v>
                </c:pt>
                <c:pt idx="215">
                  <c:v>0.24982950537925383</c:v>
                </c:pt>
                <c:pt idx="216">
                  <c:v>0.25518369282533815</c:v>
                </c:pt>
                <c:pt idx="217">
                  <c:v>0.26053768556509455</c:v>
                </c:pt>
                <c:pt idx="218">
                  <c:v>0.26588336388717249</c:v>
                </c:pt>
                <c:pt idx="219">
                  <c:v>0.27121225518160852</c:v>
                </c:pt>
                <c:pt idx="220">
                  <c:v>0.27651554958501806</c:v>
                </c:pt>
                <c:pt idx="221">
                  <c:v>0.28178411855666313</c:v>
                </c:pt>
                <c:pt idx="222">
                  <c:v>0.28700853644461471</c:v>
                </c:pt>
                <c:pt idx="223">
                  <c:v>0.29217910507564127</c:v>
                </c:pt>
                <c:pt idx="224">
                  <c:v>0.29728588137425832</c:v>
                </c:pt>
                <c:pt idx="225">
                  <c:v>0.30231870798580246</c:v>
                </c:pt>
                <c:pt idx="226">
                  <c:v>0.30726724684569229</c:v>
                </c:pt>
                <c:pt idx="227">
                  <c:v>0.31212101560254274</c:v>
                </c:pt>
                <c:pt idx="228">
                  <c:v>0.31686942676691116</c:v>
                </c:pt>
                <c:pt idx="229">
                  <c:v>0.32150182942062144</c:v>
                </c:pt>
                <c:pt idx="230">
                  <c:v>0.32600755328435216</c:v>
                </c:pt>
                <c:pt idx="231">
                  <c:v>0.33037595490406529</c:v>
                </c:pt>
                <c:pt idx="232">
                  <c:v>0.33459646568048618</c:v>
                </c:pt>
                <c:pt idx="233">
                  <c:v>0.33865864143087798</c:v>
                </c:pt>
                <c:pt idx="234">
                  <c:v>0.34255221313944695</c:v>
                </c:pt>
                <c:pt idx="235">
                  <c:v>0.34626713852253976</c:v>
                </c:pt>
                <c:pt idx="236">
                  <c:v>0.34979365400800894</c:v>
                </c:pt>
                <c:pt idx="237">
                  <c:v>0.35312232670538063</c:v>
                </c:pt>
                <c:pt idx="238">
                  <c:v>0.35624410592534445</c:v>
                </c:pt>
                <c:pt idx="239">
                  <c:v>0.3591503737941511</c:v>
                </c:pt>
                <c:pt idx="240">
                  <c:v>0.36183299450122092</c:v>
                </c:pt>
                <c:pt idx="241">
                  <c:v>0.3642843617170029</c:v>
                </c:pt>
                <c:pt idx="242">
                  <c:v>0.36649744372318038</c:v>
                </c:pt>
                <c:pt idx="243">
                  <c:v>0.36846582580883275</c:v>
                </c:pt>
                <c:pt idx="244">
                  <c:v>0.37018374950420541</c:v>
                </c:pt>
                <c:pt idx="245">
                  <c:v>0.37164614824819869</c:v>
                </c:pt>
                <c:pt idx="246">
                  <c:v>0.37284867911634922</c:v>
                </c:pt>
                <c:pt idx="247">
                  <c:v>0.3737877502726048</c:v>
                </c:pt>
                <c:pt idx="248">
                  <c:v>0.37446054385007987</c:v>
                </c:pt>
                <c:pt idx="249">
                  <c:v>0.37486503401265325</c:v>
                </c:pt>
                <c:pt idx="250">
                  <c:v>0.37500000000000006</c:v>
                </c:pt>
                <c:pt idx="251">
                  <c:v>0.37486503401265325</c:v>
                </c:pt>
                <c:pt idx="252">
                  <c:v>0.37446054385007987</c:v>
                </c:pt>
                <c:pt idx="253">
                  <c:v>0.3737877502726048</c:v>
                </c:pt>
                <c:pt idx="254">
                  <c:v>0.37284867911634922</c:v>
                </c:pt>
                <c:pt idx="255">
                  <c:v>0.37164614824819869</c:v>
                </c:pt>
                <c:pt idx="256">
                  <c:v>0.37018374950420541</c:v>
                </c:pt>
                <c:pt idx="257">
                  <c:v>0.36846582580883275</c:v>
                </c:pt>
                <c:pt idx="258">
                  <c:v>0.36649744372318038</c:v>
                </c:pt>
                <c:pt idx="259">
                  <c:v>0.3642843617170029</c:v>
                </c:pt>
                <c:pt idx="260">
                  <c:v>0.36183299450122092</c:v>
                </c:pt>
                <c:pt idx="261">
                  <c:v>0.3591503737941511</c:v>
                </c:pt>
                <c:pt idx="262">
                  <c:v>0.35624410592534445</c:v>
                </c:pt>
                <c:pt idx="263">
                  <c:v>0.35312232670538063</c:v>
                </c:pt>
                <c:pt idx="264">
                  <c:v>0.34979365400800894</c:v>
                </c:pt>
                <c:pt idx="265">
                  <c:v>0.34626713852253976</c:v>
                </c:pt>
                <c:pt idx="266">
                  <c:v>0.34255221313944695</c:v>
                </c:pt>
                <c:pt idx="267">
                  <c:v>0.33865864143087782</c:v>
                </c:pt>
                <c:pt idx="268">
                  <c:v>0.33459646568048601</c:v>
                </c:pt>
                <c:pt idx="269">
                  <c:v>0.33037595490406513</c:v>
                </c:pt>
                <c:pt idx="270">
                  <c:v>0.32600755328435199</c:v>
                </c:pt>
                <c:pt idx="271">
                  <c:v>0.32150182942062144</c:v>
                </c:pt>
                <c:pt idx="272">
                  <c:v>0.31686942676691099</c:v>
                </c:pt>
                <c:pt idx="273">
                  <c:v>0.31212101560254241</c:v>
                </c:pt>
                <c:pt idx="274">
                  <c:v>0.30726724684569212</c:v>
                </c:pt>
                <c:pt idx="275">
                  <c:v>0.30231870798580235</c:v>
                </c:pt>
                <c:pt idx="276">
                  <c:v>0.29728588137425815</c:v>
                </c:pt>
                <c:pt idx="277">
                  <c:v>0.29217910507564115</c:v>
                </c:pt>
                <c:pt idx="278">
                  <c:v>0.28700853644461471</c:v>
                </c:pt>
                <c:pt idx="279">
                  <c:v>0.28178411855666313</c:v>
                </c:pt>
                <c:pt idx="280">
                  <c:v>0.27651554958501806</c:v>
                </c:pt>
                <c:pt idx="281">
                  <c:v>0.27121225518160852</c:v>
                </c:pt>
                <c:pt idx="282">
                  <c:v>0.26588336388717249</c:v>
                </c:pt>
                <c:pt idx="283">
                  <c:v>0.26053768556509455</c:v>
                </c:pt>
                <c:pt idx="284">
                  <c:v>0.25518369282533815</c:v>
                </c:pt>
                <c:pt idx="285">
                  <c:v>0.24982950537925383</c:v>
                </c:pt>
                <c:pt idx="286">
                  <c:v>0.24448287724316231</c:v>
                </c:pt>
                <c:pt idx="287">
                  <c:v>0.23915118668855898</c:v>
                </c:pt>
                <c:pt idx="288">
                  <c:v>0.23384142881955</c:v>
                </c:pt>
                <c:pt idx="289">
                  <c:v>0.22856021064371371</c:v>
                </c:pt>
                <c:pt idx="290">
                  <c:v>0.22331374849090349</c:v>
                </c:pt>
                <c:pt idx="291">
                  <c:v>0.21810786762547041</c:v>
                </c:pt>
                <c:pt idx="292">
                  <c:v>0.21294800389084881</c:v>
                </c:pt>
                <c:pt idx="293">
                  <c:v>0.20783920722125546</c:v>
                </c:pt>
                <c:pt idx="294">
                  <c:v>0.20278614685322385</c:v>
                </c:pt>
                <c:pt idx="295">
                  <c:v>0.19779311806963132</c:v>
                </c:pt>
                <c:pt idx="296">
                  <c:v>0.19286405031058435</c:v>
                </c:pt>
                <c:pt idx="297">
                  <c:v>0.18800251648878533</c:v>
                </c:pt>
                <c:pt idx="298">
                  <c:v>0.18321174335162632</c:v>
                </c:pt>
                <c:pt idx="299">
                  <c:v>0.17849462273801589</c:v>
                </c:pt>
                <c:pt idx="300">
                  <c:v>0.17385372358466916</c:v>
                </c:pt>
                <c:pt idx="301">
                  <c:v>0.16929130454407559</c:v>
                </c:pt>
                <c:pt idx="302">
                  <c:v>0.16480932708444107</c:v>
                </c:pt>
                <c:pt idx="303">
                  <c:v>0.160409468950407</c:v>
                </c:pt>
                <c:pt idx="304">
                  <c:v>0.15609313787214149</c:v>
                </c:pt>
                <c:pt idx="305">
                  <c:v>0.15186148541933012</c:v>
                </c:pt>
                <c:pt idx="306">
                  <c:v>0.14771542090555762</c:v>
                </c:pt>
                <c:pt idx="307">
                  <c:v>0.14365562525745446</c:v>
                </c:pt>
                <c:pt idx="308">
                  <c:v>0.13968256477169527</c:v>
                </c:pt>
                <c:pt idx="309">
                  <c:v>0.13579650469140422</c:v>
                </c:pt>
                <c:pt idx="310">
                  <c:v>0.13199752254167907</c:v>
                </c:pt>
                <c:pt idx="311">
                  <c:v>0.12828552117174033</c:v>
                </c:pt>
                <c:pt idx="312">
                  <c:v>0.12466024145860637</c:v>
                </c:pt>
                <c:pt idx="313">
                  <c:v>0.12112127463415467</c:v>
                </c:pt>
                <c:pt idx="314">
                  <c:v>0.11766807420394025</c:v>
                </c:pt>
                <c:pt idx="315">
                  <c:v>0.11429996743218451</c:v>
                </c:pt>
                <c:pt idx="316">
                  <c:v>0.11101616637292502</c:v>
                </c:pt>
                <c:pt idx="317">
                  <c:v>0.10781577843242061</c:v>
                </c:pt>
                <c:pt idx="318">
                  <c:v>0.10469781645255544</c:v>
                </c:pt>
                <c:pt idx="319">
                  <c:v>0.10166120830917887</c:v>
                </c:pt>
                <c:pt idx="320">
                  <c:v>9.8704806023082334E-2</c:v>
                </c:pt>
                <c:pt idx="321">
                  <c:v>9.5827394384657982E-2</c:v>
                </c:pt>
                <c:pt idx="322">
                  <c:v>9.3027699096236496E-2</c:v>
                </c:pt>
                <c:pt idx="323">
                  <c:v>9.030439443867351E-2</c:v>
                </c:pt>
                <c:pt idx="324">
                  <c:v>8.7656110470984094E-2</c:v>
                </c:pt>
                <c:pt idx="325">
                  <c:v>8.5081439773721027E-2</c:v>
                </c:pt>
                <c:pt idx="326">
                  <c:v>8.2578943748390934E-2</c:v>
                </c:pt>
                <c:pt idx="327">
                  <c:v>8.0147158486520917E-2</c:v>
                </c:pt>
                <c:pt idx="328">
                  <c:v>7.7784600223053182E-2</c:v>
                </c:pt>
                <c:pt idx="329">
                  <c:v>7.5489770389578395E-2</c:v>
                </c:pt>
                <c:pt idx="330">
                  <c:v>7.3261160283543431E-2</c:v>
                </c:pt>
                <c:pt idx="331">
                  <c:v>7.1097255370006926E-2</c:v>
                </c:pt>
                <c:pt idx="332">
                  <c:v>6.8996539232785856E-2</c:v>
                </c:pt>
                <c:pt idx="333">
                  <c:v>6.6957497191959731E-2</c:v>
                </c:pt>
                <c:pt idx="334">
                  <c:v>6.4978619604691076E-2</c:v>
                </c:pt>
                <c:pt idx="335">
                  <c:v>6.3058404866201664E-2</c:v>
                </c:pt>
                <c:pt idx="336">
                  <c:v>6.1195362127525903E-2</c:v>
                </c:pt>
                <c:pt idx="337">
                  <c:v>5.9388013746360428E-2</c:v>
                </c:pt>
                <c:pt idx="338">
                  <c:v>5.7634897486962051E-2</c:v>
                </c:pt>
                <c:pt idx="339">
                  <c:v>5.5934568484611154E-2</c:v>
                </c:pt>
                <c:pt idx="340">
                  <c:v>5.4285600989687266E-2</c:v>
                </c:pt>
                <c:pt idx="341">
                  <c:v>5.2686589905883714E-2</c:v>
                </c:pt>
                <c:pt idx="342">
                  <c:v>5.1136152136550199E-2</c:v>
                </c:pt>
                <c:pt idx="343">
                  <c:v>4.9632927752583003E-2</c:v>
                </c:pt>
                <c:pt idx="344">
                  <c:v>4.8175580994708145E-2</c:v>
                </c:pt>
                <c:pt idx="345">
                  <c:v>4.6762801122413662E-2</c:v>
                </c:pt>
                <c:pt idx="346">
                  <c:v>4.5393303121195952E-2</c:v>
                </c:pt>
                <c:pt idx="347">
                  <c:v>4.4065828279201795E-2</c:v>
                </c:pt>
                <c:pt idx="348">
                  <c:v>4.2779144643757865E-2</c:v>
                </c:pt>
                <c:pt idx="349">
                  <c:v>4.1532047367712877E-2</c:v>
                </c:pt>
                <c:pt idx="350">
                  <c:v>4.0323358954948249E-2</c:v>
                </c:pt>
                <c:pt idx="351">
                  <c:v>3.9151929413871064E-2</c:v>
                </c:pt>
                <c:pt idx="352">
                  <c:v>3.8016636327164718E-2</c:v>
                </c:pt>
                <c:pt idx="353">
                  <c:v>3.6916384845562755E-2</c:v>
                </c:pt>
                <c:pt idx="354">
                  <c:v>3.5850107612909812E-2</c:v>
                </c:pt>
                <c:pt idx="355">
                  <c:v>3.4816764629300556E-2</c:v>
                </c:pt>
                <c:pt idx="356">
                  <c:v>3.3815343058625824E-2</c:v>
                </c:pt>
                <c:pt idx="357">
                  <c:v>3.2844856986422692E-2</c:v>
                </c:pt>
                <c:pt idx="358">
                  <c:v>3.1904347133503284E-2</c:v>
                </c:pt>
                <c:pt idx="359">
                  <c:v>3.0992880530446514E-2</c:v>
                </c:pt>
                <c:pt idx="360">
                  <c:v>3.0109550157655689E-2</c:v>
                </c:pt>
                <c:pt idx="361">
                  <c:v>2.9253474555334051E-2</c:v>
                </c:pt>
                <c:pt idx="362">
                  <c:v>2.8423797407389238E-2</c:v>
                </c:pt>
                <c:pt idx="363">
                  <c:v>2.7619687102965432E-2</c:v>
                </c:pt>
                <c:pt idx="364">
                  <c:v>2.6840336278998667E-2</c:v>
                </c:pt>
                <c:pt idx="365">
                  <c:v>2.6084961346914844E-2</c:v>
                </c:pt>
                <c:pt idx="366">
                  <c:v>2.5352802006322839E-2</c:v>
                </c:pt>
                <c:pt idx="367">
                  <c:v>2.4643120748312371E-2</c:v>
                </c:pt>
                <c:pt idx="368">
                  <c:v>2.3955202350732608E-2</c:v>
                </c:pt>
                <c:pt idx="369">
                  <c:v>2.3288353367615314E-2</c:v>
                </c:pt>
                <c:pt idx="370">
                  <c:v>2.2641901614703346E-2</c:v>
                </c:pt>
                <c:pt idx="371">
                  <c:v>2.2015195652861166E-2</c:v>
                </c:pt>
                <c:pt idx="372">
                  <c:v>2.1407604270967859E-2</c:v>
                </c:pt>
                <c:pt idx="373">
                  <c:v>2.0818515969735316E-2</c:v>
                </c:pt>
                <c:pt idx="374">
                  <c:v>2.0247338447741837E-2</c:v>
                </c:pt>
                <c:pt idx="375">
                  <c:v>1.969349809083654E-2</c:v>
                </c:pt>
                <c:pt idx="376">
                  <c:v>1.9156439465939538E-2</c:v>
                </c:pt>
                <c:pt idx="377">
                  <c:v>1.8635624820147932E-2</c:v>
                </c:pt>
                <c:pt idx="378">
                  <c:v>1.8130533585946594E-2</c:v>
                </c:pt>
                <c:pt idx="379">
                  <c:v>1.7640661893225631E-2</c:v>
                </c:pt>
                <c:pt idx="380">
                  <c:v>1.7165522088712411E-2</c:v>
                </c:pt>
                <c:pt idx="381">
                  <c:v>1.6704642263344262E-2</c:v>
                </c:pt>
                <c:pt idx="382">
                  <c:v>1.6257565788029043E-2</c:v>
                </c:pt>
                <c:pt idx="383">
                  <c:v>1.5823850858172627E-2</c:v>
                </c:pt>
                <c:pt idx="384">
                  <c:v>1.5403070047286032E-2</c:v>
                </c:pt>
                <c:pt idx="385">
                  <c:v>1.4994809869928873E-2</c:v>
                </c:pt>
                <c:pt idx="386">
                  <c:v>1.4598670354190582E-2</c:v>
                </c:pt>
                <c:pt idx="387">
                  <c:v>1.4214264623864688E-2</c:v>
                </c:pt>
                <c:pt idx="388">
                  <c:v>1.3841218490426669E-2</c:v>
                </c:pt>
                <c:pt idx="389">
                  <c:v>1.3479170054886941E-2</c:v>
                </c:pt>
                <c:pt idx="390">
                  <c:v>1.3127769319555827E-2</c:v>
                </c:pt>
                <c:pt idx="391">
                  <c:v>1.2786677809724381E-2</c:v>
                </c:pt>
                <c:pt idx="392">
                  <c:v>1.2455568205238143E-2</c:v>
                </c:pt>
                <c:pt idx="393">
                  <c:v>1.213412398191384E-2</c:v>
                </c:pt>
                <c:pt idx="394">
                  <c:v>1.182203906272831E-2</c:v>
                </c:pt>
                <c:pt idx="395">
                  <c:v>1.1519017478687376E-2</c:v>
                </c:pt>
                <c:pt idx="396">
                  <c:v>1.1224773039266471E-2</c:v>
                </c:pt>
                <c:pt idx="397">
                  <c:v>1.0939029012297916E-2</c:v>
                </c:pt>
                <c:pt idx="398">
                  <c:v>1.0661517813168056E-2</c:v>
                </c:pt>
                <c:pt idx="399">
                  <c:v>1.0391980703174382E-2</c:v>
                </c:pt>
                <c:pt idx="400">
                  <c:v>1.0130167496884297E-2</c:v>
                </c:pt>
                <c:pt idx="401">
                  <c:v>9.8758362783277487E-3</c:v>
                </c:pt>
                <c:pt idx="402">
                  <c:v>9.628753125850098E-3</c:v>
                </c:pt>
                <c:pt idx="403">
                  <c:v>9.3886918454446893E-3</c:v>
                </c:pt>
                <c:pt idx="404">
                  <c:v>9.1554337123814535E-3</c:v>
                </c:pt>
                <c:pt idx="405">
                  <c:v>8.9287672209428619E-3</c:v>
                </c:pt>
                <c:pt idx="406">
                  <c:v>8.7084878420774468E-3</c:v>
                </c:pt>
                <c:pt idx="407">
                  <c:v>8.4943977887779326E-3</c:v>
                </c:pt>
                <c:pt idx="408">
                  <c:v>8.28630578899134E-3</c:v>
                </c:pt>
                <c:pt idx="409">
                  <c:v>8.0840268658669383E-3</c:v>
                </c:pt>
                <c:pt idx="410">
                  <c:v>7.8873821251491377E-3</c:v>
                </c:pt>
                <c:pt idx="411">
                  <c:v>7.6961985495224176E-3</c:v>
                </c:pt>
                <c:pt idx="412">
                  <c:v>7.5103087997174271E-3</c:v>
                </c:pt>
                <c:pt idx="413">
                  <c:v>7.3295510221882869E-3</c:v>
                </c:pt>
                <c:pt idx="414">
                  <c:v>7.1537686631740535E-3</c:v>
                </c:pt>
                <c:pt idx="415">
                  <c:v>6.9828102889587171E-3</c:v>
                </c:pt>
                <c:pt idx="416">
                  <c:v>6.8165294121478332E-3</c:v>
                </c:pt>
                <c:pt idx="417">
                  <c:v>6.6547843237817249E-3</c:v>
                </c:pt>
                <c:pt idx="418">
                  <c:v>6.4974379311092453E-3</c:v>
                </c:pt>
                <c:pt idx="419">
                  <c:v>6.3443576008485767E-3</c:v>
                </c:pt>
                <c:pt idx="420">
                  <c:v>6.1954150077656615E-3</c:v>
                </c:pt>
                <c:pt idx="421">
                  <c:v>6.0504859884037282E-3</c:v>
                </c:pt>
                <c:pt idx="422">
                  <c:v>5.9094503998017517E-3</c:v>
                </c:pt>
                <c:pt idx="423">
                  <c:v>5.7721919830425652E-3</c:v>
                </c:pt>
                <c:pt idx="424">
                  <c:v>5.6385982314759988E-3</c:v>
                </c:pt>
                <c:pt idx="425">
                  <c:v>5.5085602634653529E-3</c:v>
                </c:pt>
                <c:pt idx="426">
                  <c:v>5.3819726995101317E-3</c:v>
                </c:pt>
                <c:pt idx="427">
                  <c:v>5.258733543601104E-3</c:v>
                </c:pt>
                <c:pt idx="428">
                  <c:v>5.1387440686681352E-3</c:v>
                </c:pt>
                <c:pt idx="429">
                  <c:v>5.0219087059847345E-3</c:v>
                </c:pt>
                <c:pt idx="430">
                  <c:v>4.9081349383970499E-3</c:v>
                </c:pt>
                <c:pt idx="431">
                  <c:v>4.797333197249066E-3</c:v>
                </c:pt>
                <c:pt idx="432">
                  <c:v>4.6894167628790534E-3</c:v>
                </c:pt>
                <c:pt idx="433">
                  <c:v>4.584301668566472E-3</c:v>
                </c:pt>
                <c:pt idx="434">
                  <c:v>4.4819066078116004E-3</c:v>
                </c:pt>
                <c:pt idx="435">
                  <c:v>4.3821528448342922E-3</c:v>
                </c:pt>
                <c:pt idx="436">
                  <c:v>4.2849641281811884E-3</c:v>
                </c:pt>
                <c:pt idx="437">
                  <c:v>4.1902666073346459E-3</c:v>
                </c:pt>
                <c:pt idx="438">
                  <c:v>4.0979887522195465E-3</c:v>
                </c:pt>
                <c:pt idx="439">
                  <c:v>4.0080612755078729E-3</c:v>
                </c:pt>
                <c:pt idx="440">
                  <c:v>3.9204170576237008E-3</c:v>
                </c:pt>
                <c:pt idx="441">
                  <c:v>3.8349910743548442E-3</c:v>
                </c:pt>
                <c:pt idx="442">
                  <c:v>3.7517203269800108E-3</c:v>
                </c:pt>
                <c:pt idx="443">
                  <c:v>3.6705437748237599E-3</c:v>
                </c:pt>
                <c:pt idx="444">
                  <c:v>3.5914022701539956E-3</c:v>
                </c:pt>
                <c:pt idx="445">
                  <c:v>3.5142384953400236E-3</c:v>
                </c:pt>
                <c:pt idx="446">
                  <c:v>3.4389969021915287E-3</c:v>
                </c:pt>
                <c:pt idx="447">
                  <c:v>3.3656236534018967E-3</c:v>
                </c:pt>
                <c:pt idx="448">
                  <c:v>3.2940665660215391E-3</c:v>
                </c:pt>
                <c:pt idx="449">
                  <c:v>3.224275056889775E-3</c:v>
                </c:pt>
                <c:pt idx="450">
                  <c:v>3.15620008995591E-3</c:v>
                </c:pt>
                <c:pt idx="451">
                  <c:v>3.0897941254228959E-3</c:v>
                </c:pt>
                <c:pt idx="452">
                  <c:v>3.0250110706489175E-3</c:v>
                </c:pt>
                <c:pt idx="453">
                  <c:v>2.9618062327448173E-3</c:v>
                </c:pt>
                <c:pt idx="454">
                  <c:v>2.9001362728071195E-3</c:v>
                </c:pt>
                <c:pt idx="455">
                  <c:v>2.8399591617288408E-3</c:v>
                </c:pt>
                <c:pt idx="456">
                  <c:v>2.7812341375319776E-3</c:v>
                </c:pt>
                <c:pt idx="457">
                  <c:v>2.7239216641678451E-3</c:v>
                </c:pt>
                <c:pt idx="458">
                  <c:v>2.6679833917330536E-3</c:v>
                </c:pt>
                <c:pt idx="459">
                  <c:v>2.6133821180510273E-3</c:v>
                </c:pt>
                <c:pt idx="460">
                  <c:v>2.560081751570483E-3</c:v>
                </c:pt>
                <c:pt idx="461">
                  <c:v>2.5080472755342623E-3</c:v>
                </c:pt>
                <c:pt idx="462">
                  <c:v>2.4572447133733391E-3</c:v>
                </c:pt>
                <c:pt idx="463">
                  <c:v>2.4076410952826532E-3</c:v>
                </c:pt>
                <c:pt idx="464">
                  <c:v>2.3592044259367565E-3</c:v>
                </c:pt>
                <c:pt idx="465">
                  <c:v>2.311903653304978E-3</c:v>
                </c:pt>
                <c:pt idx="466">
                  <c:v>2.2657086385270398E-3</c:v>
                </c:pt>
                <c:pt idx="467">
                  <c:v>2.2205901268116707E-3</c:v>
                </c:pt>
                <c:pt idx="468">
                  <c:v>2.1765197193219128E-3</c:v>
                </c:pt>
                <c:pt idx="469">
                  <c:v>2.1334698460123021E-3</c:v>
                </c:pt>
                <c:pt idx="470">
                  <c:v>2.0914137393841922E-3</c:v>
                </c:pt>
                <c:pt idx="471">
                  <c:v>2.0503254091268439E-3</c:v>
                </c:pt>
                <c:pt idx="472">
                  <c:v>2.0101796176130024E-3</c:v>
                </c:pt>
                <c:pt idx="473">
                  <c:v>1.9709518562187616E-3</c:v>
                </c:pt>
                <c:pt idx="474">
                  <c:v>1.9326183224387824E-3</c:v>
                </c:pt>
                <c:pt idx="475">
                  <c:v>1.8951558977687263E-3</c:v>
                </c:pt>
                <c:pt idx="476">
                  <c:v>1.8585421263280259E-3</c:v>
                </c:pt>
                <c:pt idx="477">
                  <c:v>1.822755194196903E-3</c:v>
                </c:pt>
                <c:pt idx="478">
                  <c:v>1.7877739094426049E-3</c:v>
                </c:pt>
                <c:pt idx="479">
                  <c:v>1.7535776828106458E-3</c:v>
                </c:pt>
                <c:pt idx="480">
                  <c:v>1.7201465090578147E-3</c:v>
                </c:pt>
                <c:pt idx="481">
                  <c:v>1.6874609489044244E-3</c:v>
                </c:pt>
                <c:pt idx="482">
                  <c:v>1.6555021115842359E-3</c:v>
                </c:pt>
                <c:pt idx="483">
                  <c:v>1.6242516379711201E-3</c:v>
                </c:pt>
                <c:pt idx="484">
                  <c:v>1.5936916842624253E-3</c:v>
                </c:pt>
                <c:pt idx="485">
                  <c:v>1.5638049061996002E-3</c:v>
                </c:pt>
                <c:pt idx="486">
                  <c:v>1.5345744438074443E-3</c:v>
                </c:pt>
                <c:pt idx="487">
                  <c:v>1.5059839066339374E-3</c:v>
                </c:pt>
                <c:pt idx="488">
                  <c:v>1.4780173594733288E-3</c:v>
                </c:pt>
                <c:pt idx="489">
                  <c:v>1.4506593085557005E-3</c:v>
                </c:pt>
                <c:pt idx="490">
                  <c:v>1.4238946881869421E-3</c:v>
                </c:pt>
                <c:pt idx="491">
                  <c:v>1.3977088478235114E-3</c:v>
                </c:pt>
                <c:pt idx="492">
                  <c:v>1.3720875395670609E-3</c:v>
                </c:pt>
                <c:pt idx="493">
                  <c:v>1.3470169060644179E-3</c:v>
                </c:pt>
                <c:pt idx="494">
                  <c:v>1.3224834687990369E-3</c:v>
                </c:pt>
                <c:pt idx="495">
                  <c:v>1.2984741167604375E-3</c:v>
                </c:pt>
                <c:pt idx="496">
                  <c:v>1.274976095478737E-3</c:v>
                </c:pt>
                <c:pt idx="497">
                  <c:v>1.2519769964117213E-3</c:v>
                </c:pt>
                <c:pt idx="498">
                  <c:v>1.2294647466724814E-3</c:v>
                </c:pt>
                <c:pt idx="499">
                  <c:v>1.2074275990859426E-3</c:v>
                </c:pt>
                <c:pt idx="500">
                  <c:v>1.1858541225631424E-3</c:v>
                </c:pt>
              </c:numCache>
            </c:numRef>
          </c:yVal>
          <c:smooth val="0"/>
        </c:ser>
        <c:ser>
          <c:idx val="3"/>
          <c:order val="3"/>
          <c:tx>
            <c:v>unit normal distribution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'Fig 2 - 1-sample t test'!$F$100:$F$600</c:f>
              <c:numCache>
                <c:formatCode>General</c:formatCode>
                <c:ptCount val="5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-5.4239999999999995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-4.6079999999999997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-4.3439999999999994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-3.7439999999999998</c:v>
                </c:pt>
                <c:pt idx="95">
                  <c:v>-3.7199999999999998</c:v>
                </c:pt>
                <c:pt idx="96">
                  <c:v>-3.6959999999999997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  <c:pt idx="101">
                  <c:v>-3.5760000000000001</c:v>
                </c:pt>
                <c:pt idx="102">
                  <c:v>-3.552</c:v>
                </c:pt>
                <c:pt idx="103">
                  <c:v>-3.528</c:v>
                </c:pt>
                <c:pt idx="104">
                  <c:v>-3.504</c:v>
                </c:pt>
                <c:pt idx="105">
                  <c:v>-3.48</c:v>
                </c:pt>
                <c:pt idx="106">
                  <c:v>-3.456</c:v>
                </c:pt>
                <c:pt idx="107">
                  <c:v>-3.4319999999999999</c:v>
                </c:pt>
                <c:pt idx="108">
                  <c:v>-3.4079999999999999</c:v>
                </c:pt>
                <c:pt idx="109">
                  <c:v>-3.3839999999999999</c:v>
                </c:pt>
                <c:pt idx="110">
                  <c:v>-3.36</c:v>
                </c:pt>
                <c:pt idx="111">
                  <c:v>-3.3359999999999999</c:v>
                </c:pt>
                <c:pt idx="112">
                  <c:v>-3.3119999999999998</c:v>
                </c:pt>
                <c:pt idx="113">
                  <c:v>-3.2879999999999998</c:v>
                </c:pt>
                <c:pt idx="114">
                  <c:v>-3.2639999999999998</c:v>
                </c:pt>
                <c:pt idx="115">
                  <c:v>-3.2399999999999998</c:v>
                </c:pt>
                <c:pt idx="116">
                  <c:v>-3.2159999999999997</c:v>
                </c:pt>
                <c:pt idx="117">
                  <c:v>-3.1919999999999997</c:v>
                </c:pt>
                <c:pt idx="118">
                  <c:v>-3.1680000000000001</c:v>
                </c:pt>
                <c:pt idx="119">
                  <c:v>-3.1440000000000001</c:v>
                </c:pt>
                <c:pt idx="120">
                  <c:v>-3.12</c:v>
                </c:pt>
                <c:pt idx="121">
                  <c:v>-3.0960000000000001</c:v>
                </c:pt>
                <c:pt idx="122">
                  <c:v>-3.0720000000000001</c:v>
                </c:pt>
                <c:pt idx="123">
                  <c:v>-3.048</c:v>
                </c:pt>
                <c:pt idx="124">
                  <c:v>-3.024</c:v>
                </c:pt>
                <c:pt idx="125">
                  <c:v>-3</c:v>
                </c:pt>
                <c:pt idx="126">
                  <c:v>-2.976</c:v>
                </c:pt>
                <c:pt idx="127">
                  <c:v>-2.952</c:v>
                </c:pt>
                <c:pt idx="128">
                  <c:v>-2.9279999999999999</c:v>
                </c:pt>
                <c:pt idx="129">
                  <c:v>-2.9039999999999999</c:v>
                </c:pt>
                <c:pt idx="130">
                  <c:v>-2.88</c:v>
                </c:pt>
                <c:pt idx="131">
                  <c:v>-2.8559999999999999</c:v>
                </c:pt>
                <c:pt idx="132">
                  <c:v>-2.8319999999999999</c:v>
                </c:pt>
                <c:pt idx="133">
                  <c:v>-2.8079999999999998</c:v>
                </c:pt>
                <c:pt idx="134">
                  <c:v>-2.7839999999999998</c:v>
                </c:pt>
                <c:pt idx="135">
                  <c:v>-2.76</c:v>
                </c:pt>
                <c:pt idx="136">
                  <c:v>-2.7359999999999998</c:v>
                </c:pt>
                <c:pt idx="137">
                  <c:v>-2.7119999999999997</c:v>
                </c:pt>
                <c:pt idx="138">
                  <c:v>-2.6879999999999997</c:v>
                </c:pt>
                <c:pt idx="139">
                  <c:v>-2.6640000000000001</c:v>
                </c:pt>
                <c:pt idx="140">
                  <c:v>-2.64</c:v>
                </c:pt>
                <c:pt idx="141">
                  <c:v>-2.6160000000000001</c:v>
                </c:pt>
                <c:pt idx="142">
                  <c:v>-2.5920000000000001</c:v>
                </c:pt>
                <c:pt idx="143">
                  <c:v>-2.5680000000000001</c:v>
                </c:pt>
                <c:pt idx="144">
                  <c:v>-2.544</c:v>
                </c:pt>
                <c:pt idx="145">
                  <c:v>-2.52</c:v>
                </c:pt>
                <c:pt idx="146">
                  <c:v>-2.496</c:v>
                </c:pt>
                <c:pt idx="147">
                  <c:v>-2.472</c:v>
                </c:pt>
                <c:pt idx="148">
                  <c:v>-2.448</c:v>
                </c:pt>
                <c:pt idx="149">
                  <c:v>-2.4239999999999999</c:v>
                </c:pt>
                <c:pt idx="150">
                  <c:v>-2.4</c:v>
                </c:pt>
                <c:pt idx="151">
                  <c:v>-2.3759999999999999</c:v>
                </c:pt>
                <c:pt idx="152">
                  <c:v>-2.3519999999999999</c:v>
                </c:pt>
                <c:pt idx="153">
                  <c:v>-2.3279999999999998</c:v>
                </c:pt>
                <c:pt idx="154">
                  <c:v>-2.3039999999999998</c:v>
                </c:pt>
                <c:pt idx="155">
                  <c:v>-2.2799999999999998</c:v>
                </c:pt>
                <c:pt idx="156">
                  <c:v>-2.2559999999999998</c:v>
                </c:pt>
                <c:pt idx="157">
                  <c:v>-2.2319999999999998</c:v>
                </c:pt>
                <c:pt idx="158">
                  <c:v>-2.2079999999999997</c:v>
                </c:pt>
                <c:pt idx="159">
                  <c:v>-2.1839999999999997</c:v>
                </c:pt>
                <c:pt idx="160">
                  <c:v>-2.16</c:v>
                </c:pt>
                <c:pt idx="161">
                  <c:v>-2.1360000000000001</c:v>
                </c:pt>
                <c:pt idx="162">
                  <c:v>-2.1120000000000001</c:v>
                </c:pt>
                <c:pt idx="163">
                  <c:v>-2.0880000000000001</c:v>
                </c:pt>
                <c:pt idx="164">
                  <c:v>-2.0640000000000001</c:v>
                </c:pt>
                <c:pt idx="165">
                  <c:v>-2.04</c:v>
                </c:pt>
                <c:pt idx="166">
                  <c:v>-2.016</c:v>
                </c:pt>
                <c:pt idx="167">
                  <c:v>-1.992</c:v>
                </c:pt>
                <c:pt idx="168">
                  <c:v>-1.968</c:v>
                </c:pt>
                <c:pt idx="169">
                  <c:v>-1.944</c:v>
                </c:pt>
                <c:pt idx="170">
                  <c:v>-1.92</c:v>
                </c:pt>
                <c:pt idx="171">
                  <c:v>-1.8959999999999999</c:v>
                </c:pt>
                <c:pt idx="172">
                  <c:v>-1.8719999999999999</c:v>
                </c:pt>
                <c:pt idx="173">
                  <c:v>-1.8479999999999999</c:v>
                </c:pt>
                <c:pt idx="174">
                  <c:v>-1.8239999999999998</c:v>
                </c:pt>
                <c:pt idx="175">
                  <c:v>-1.7999999999999998</c:v>
                </c:pt>
                <c:pt idx="176">
                  <c:v>-1.7759999999999998</c:v>
                </c:pt>
                <c:pt idx="177">
                  <c:v>-1.7519999999999998</c:v>
                </c:pt>
                <c:pt idx="178">
                  <c:v>-1.7279999999999998</c:v>
                </c:pt>
                <c:pt idx="179">
                  <c:v>-1.7039999999999997</c:v>
                </c:pt>
                <c:pt idx="180">
                  <c:v>-1.6799999999999997</c:v>
                </c:pt>
                <c:pt idx="181">
                  <c:v>-1.6559999999999997</c:v>
                </c:pt>
                <c:pt idx="182">
                  <c:v>-1.6319999999999997</c:v>
                </c:pt>
                <c:pt idx="183">
                  <c:v>-1.6079999999999997</c:v>
                </c:pt>
                <c:pt idx="184">
                  <c:v>-1.5839999999999996</c:v>
                </c:pt>
                <c:pt idx="185">
                  <c:v>-1.5599999999999996</c:v>
                </c:pt>
                <c:pt idx="186">
                  <c:v>-1.5359999999999996</c:v>
                </c:pt>
                <c:pt idx="187">
                  <c:v>-1.5119999999999996</c:v>
                </c:pt>
                <c:pt idx="188">
                  <c:v>-1.4879999999999995</c:v>
                </c:pt>
                <c:pt idx="189">
                  <c:v>-1.4639999999999995</c:v>
                </c:pt>
                <c:pt idx="190">
                  <c:v>-1.4399999999999995</c:v>
                </c:pt>
                <c:pt idx="191">
                  <c:v>-1.4159999999999995</c:v>
                </c:pt>
                <c:pt idx="192">
                  <c:v>-1.3919999999999995</c:v>
                </c:pt>
                <c:pt idx="193">
                  <c:v>-1.3680000000000003</c:v>
                </c:pt>
                <c:pt idx="194">
                  <c:v>-1.3440000000000003</c:v>
                </c:pt>
                <c:pt idx="195">
                  <c:v>-1.3200000000000003</c:v>
                </c:pt>
                <c:pt idx="196">
                  <c:v>-1.2960000000000003</c:v>
                </c:pt>
                <c:pt idx="197">
                  <c:v>-1.2720000000000002</c:v>
                </c:pt>
                <c:pt idx="198">
                  <c:v>-1.2480000000000002</c:v>
                </c:pt>
                <c:pt idx="199">
                  <c:v>-1.2240000000000002</c:v>
                </c:pt>
                <c:pt idx="200">
                  <c:v>-1.2000000000000002</c:v>
                </c:pt>
                <c:pt idx="201">
                  <c:v>-1.1760000000000002</c:v>
                </c:pt>
                <c:pt idx="202">
                  <c:v>-1.1520000000000001</c:v>
                </c:pt>
                <c:pt idx="203">
                  <c:v>-1.1280000000000001</c:v>
                </c:pt>
                <c:pt idx="204">
                  <c:v>-1.1040000000000001</c:v>
                </c:pt>
                <c:pt idx="205">
                  <c:v>-1.08</c:v>
                </c:pt>
                <c:pt idx="206">
                  <c:v>-1.056</c:v>
                </c:pt>
                <c:pt idx="207">
                  <c:v>-1.032</c:v>
                </c:pt>
                <c:pt idx="208">
                  <c:v>-1.008</c:v>
                </c:pt>
                <c:pt idx="209">
                  <c:v>-0.98399999999999999</c:v>
                </c:pt>
                <c:pt idx="210">
                  <c:v>-0.96</c:v>
                </c:pt>
                <c:pt idx="211">
                  <c:v>-0.93599999999999994</c:v>
                </c:pt>
                <c:pt idx="212">
                  <c:v>-0.91199999999999992</c:v>
                </c:pt>
                <c:pt idx="213">
                  <c:v>-0.8879999999999999</c:v>
                </c:pt>
                <c:pt idx="214">
                  <c:v>-0.86399999999999988</c:v>
                </c:pt>
                <c:pt idx="215">
                  <c:v>-0.83999999999999986</c:v>
                </c:pt>
                <c:pt idx="216">
                  <c:v>-0.81599999999999984</c:v>
                </c:pt>
                <c:pt idx="217">
                  <c:v>-0.79199999999999982</c:v>
                </c:pt>
                <c:pt idx="218">
                  <c:v>-0.76799999999999979</c:v>
                </c:pt>
                <c:pt idx="219">
                  <c:v>-0.74399999999999977</c:v>
                </c:pt>
                <c:pt idx="220">
                  <c:v>-0.71999999999999975</c:v>
                </c:pt>
                <c:pt idx="221">
                  <c:v>-0.69599999999999973</c:v>
                </c:pt>
                <c:pt idx="222">
                  <c:v>-0.67199999999999971</c:v>
                </c:pt>
                <c:pt idx="223">
                  <c:v>-0.64799999999999969</c:v>
                </c:pt>
                <c:pt idx="224">
                  <c:v>-0.62399999999999967</c:v>
                </c:pt>
                <c:pt idx="225">
                  <c:v>-0.59999999999999964</c:v>
                </c:pt>
                <c:pt idx="226">
                  <c:v>-0.57599999999999962</c:v>
                </c:pt>
                <c:pt idx="227">
                  <c:v>-0.5519999999999996</c:v>
                </c:pt>
                <c:pt idx="228">
                  <c:v>-0.52799999999999958</c:v>
                </c:pt>
                <c:pt idx="229">
                  <c:v>-0.50399999999999956</c:v>
                </c:pt>
                <c:pt idx="230">
                  <c:v>-0.47999999999999954</c:v>
                </c:pt>
                <c:pt idx="231">
                  <c:v>-0.45599999999999952</c:v>
                </c:pt>
                <c:pt idx="232">
                  <c:v>-0.4319999999999995</c:v>
                </c:pt>
                <c:pt idx="233">
                  <c:v>-0.40799999999999947</c:v>
                </c:pt>
                <c:pt idx="234">
                  <c:v>-0.38399999999999945</c:v>
                </c:pt>
                <c:pt idx="235">
                  <c:v>-0.36000000000000032</c:v>
                </c:pt>
                <c:pt idx="236">
                  <c:v>-0.3360000000000003</c:v>
                </c:pt>
                <c:pt idx="237">
                  <c:v>-0.31200000000000028</c:v>
                </c:pt>
                <c:pt idx="238">
                  <c:v>-0.28800000000000026</c:v>
                </c:pt>
                <c:pt idx="239">
                  <c:v>-0.26400000000000023</c:v>
                </c:pt>
                <c:pt idx="240">
                  <c:v>-0.24000000000000021</c:v>
                </c:pt>
                <c:pt idx="241">
                  <c:v>-0.21600000000000019</c:v>
                </c:pt>
                <c:pt idx="242">
                  <c:v>-0.19200000000000017</c:v>
                </c:pt>
                <c:pt idx="243">
                  <c:v>-0.16800000000000015</c:v>
                </c:pt>
                <c:pt idx="244">
                  <c:v>-0.14400000000000013</c:v>
                </c:pt>
                <c:pt idx="245">
                  <c:v>-0.12000000000000011</c:v>
                </c:pt>
                <c:pt idx="246">
                  <c:v>-9.6000000000000085E-2</c:v>
                </c:pt>
                <c:pt idx="247">
                  <c:v>-7.2000000000000064E-2</c:v>
                </c:pt>
                <c:pt idx="248">
                  <c:v>-4.8000000000000043E-2</c:v>
                </c:pt>
                <c:pt idx="249">
                  <c:v>-2.4000000000000021E-2</c:v>
                </c:pt>
                <c:pt idx="250">
                  <c:v>0</c:v>
                </c:pt>
                <c:pt idx="251">
                  <c:v>2.4000000000000021E-2</c:v>
                </c:pt>
                <c:pt idx="252">
                  <c:v>4.8000000000000043E-2</c:v>
                </c:pt>
                <c:pt idx="253">
                  <c:v>7.2000000000000064E-2</c:v>
                </c:pt>
                <c:pt idx="254">
                  <c:v>9.6000000000000085E-2</c:v>
                </c:pt>
                <c:pt idx="255">
                  <c:v>0.12000000000000011</c:v>
                </c:pt>
                <c:pt idx="256">
                  <c:v>0.14400000000000013</c:v>
                </c:pt>
                <c:pt idx="257">
                  <c:v>0.16800000000000015</c:v>
                </c:pt>
                <c:pt idx="258">
                  <c:v>0.19200000000000017</c:v>
                </c:pt>
                <c:pt idx="259">
                  <c:v>0.21600000000000019</c:v>
                </c:pt>
                <c:pt idx="260">
                  <c:v>0.24000000000000021</c:v>
                </c:pt>
                <c:pt idx="261">
                  <c:v>0.26400000000000023</c:v>
                </c:pt>
                <c:pt idx="262">
                  <c:v>0.28800000000000026</c:v>
                </c:pt>
                <c:pt idx="263">
                  <c:v>0.31200000000000028</c:v>
                </c:pt>
                <c:pt idx="264">
                  <c:v>0.3360000000000003</c:v>
                </c:pt>
                <c:pt idx="265">
                  <c:v>0.36000000000000032</c:v>
                </c:pt>
                <c:pt idx="266">
                  <c:v>0.38400000000000034</c:v>
                </c:pt>
                <c:pt idx="267">
                  <c:v>0.40800000000000036</c:v>
                </c:pt>
                <c:pt idx="268">
                  <c:v>0.43200000000000038</c:v>
                </c:pt>
                <c:pt idx="269">
                  <c:v>0.45600000000000041</c:v>
                </c:pt>
                <c:pt idx="270">
                  <c:v>0.48000000000000043</c:v>
                </c:pt>
                <c:pt idx="271">
                  <c:v>0.50400000000000045</c:v>
                </c:pt>
                <c:pt idx="272">
                  <c:v>0.52800000000000047</c:v>
                </c:pt>
                <c:pt idx="273">
                  <c:v>0.55200000000000049</c:v>
                </c:pt>
                <c:pt idx="274">
                  <c:v>0.57600000000000051</c:v>
                </c:pt>
                <c:pt idx="275">
                  <c:v>0.60000000000000053</c:v>
                </c:pt>
                <c:pt idx="276">
                  <c:v>0.62400000000000055</c:v>
                </c:pt>
                <c:pt idx="277">
                  <c:v>0.64800000000000058</c:v>
                </c:pt>
                <c:pt idx="278">
                  <c:v>0.67199999999999971</c:v>
                </c:pt>
                <c:pt idx="279">
                  <c:v>0.69599999999999973</c:v>
                </c:pt>
                <c:pt idx="280">
                  <c:v>0.71999999999999975</c:v>
                </c:pt>
                <c:pt idx="281">
                  <c:v>0.74399999999999977</c:v>
                </c:pt>
                <c:pt idx="282">
                  <c:v>0.76799999999999979</c:v>
                </c:pt>
                <c:pt idx="283">
                  <c:v>0.79199999999999982</c:v>
                </c:pt>
                <c:pt idx="284">
                  <c:v>0.81599999999999984</c:v>
                </c:pt>
                <c:pt idx="285">
                  <c:v>0.83999999999999986</c:v>
                </c:pt>
                <c:pt idx="286">
                  <c:v>0.86399999999999988</c:v>
                </c:pt>
                <c:pt idx="287">
                  <c:v>0.8879999999999999</c:v>
                </c:pt>
                <c:pt idx="288">
                  <c:v>0.91199999999999992</c:v>
                </c:pt>
                <c:pt idx="289">
                  <c:v>0.93599999999999994</c:v>
                </c:pt>
                <c:pt idx="290">
                  <c:v>0.96</c:v>
                </c:pt>
                <c:pt idx="291">
                  <c:v>0.98399999999999999</c:v>
                </c:pt>
                <c:pt idx="292">
                  <c:v>1.008</c:v>
                </c:pt>
                <c:pt idx="293">
                  <c:v>1.032</c:v>
                </c:pt>
                <c:pt idx="294">
                  <c:v>1.056</c:v>
                </c:pt>
                <c:pt idx="295">
                  <c:v>1.08</c:v>
                </c:pt>
                <c:pt idx="296">
                  <c:v>1.1040000000000001</c:v>
                </c:pt>
                <c:pt idx="297">
                  <c:v>1.1280000000000001</c:v>
                </c:pt>
                <c:pt idx="298">
                  <c:v>1.1520000000000001</c:v>
                </c:pt>
                <c:pt idx="299">
                  <c:v>1.1760000000000002</c:v>
                </c:pt>
                <c:pt idx="300">
                  <c:v>1.2000000000000002</c:v>
                </c:pt>
                <c:pt idx="301">
                  <c:v>1.2240000000000002</c:v>
                </c:pt>
                <c:pt idx="302">
                  <c:v>1.2480000000000002</c:v>
                </c:pt>
                <c:pt idx="303">
                  <c:v>1.2720000000000002</c:v>
                </c:pt>
                <c:pt idx="304">
                  <c:v>1.2960000000000003</c:v>
                </c:pt>
                <c:pt idx="305">
                  <c:v>1.3200000000000003</c:v>
                </c:pt>
                <c:pt idx="306">
                  <c:v>1.3440000000000003</c:v>
                </c:pt>
                <c:pt idx="307">
                  <c:v>1.3680000000000003</c:v>
                </c:pt>
                <c:pt idx="308">
                  <c:v>1.3920000000000003</c:v>
                </c:pt>
                <c:pt idx="309">
                  <c:v>1.4160000000000004</c:v>
                </c:pt>
                <c:pt idx="310">
                  <c:v>1.4400000000000004</c:v>
                </c:pt>
                <c:pt idx="311">
                  <c:v>1.4640000000000004</c:v>
                </c:pt>
                <c:pt idx="312">
                  <c:v>1.4880000000000004</c:v>
                </c:pt>
                <c:pt idx="313">
                  <c:v>1.5120000000000005</c:v>
                </c:pt>
                <c:pt idx="314">
                  <c:v>1.5360000000000005</c:v>
                </c:pt>
                <c:pt idx="315">
                  <c:v>1.5600000000000005</c:v>
                </c:pt>
                <c:pt idx="316">
                  <c:v>1.5840000000000005</c:v>
                </c:pt>
                <c:pt idx="317">
                  <c:v>1.6080000000000005</c:v>
                </c:pt>
                <c:pt idx="318">
                  <c:v>1.6320000000000006</c:v>
                </c:pt>
                <c:pt idx="319">
                  <c:v>1.6560000000000006</c:v>
                </c:pt>
                <c:pt idx="320">
                  <c:v>1.6799999999999997</c:v>
                </c:pt>
                <c:pt idx="321">
                  <c:v>1.7039999999999997</c:v>
                </c:pt>
                <c:pt idx="322">
                  <c:v>1.7279999999999998</c:v>
                </c:pt>
                <c:pt idx="323">
                  <c:v>1.7519999999999998</c:v>
                </c:pt>
                <c:pt idx="324">
                  <c:v>1.7759999999999998</c:v>
                </c:pt>
                <c:pt idx="325">
                  <c:v>1.7999999999999998</c:v>
                </c:pt>
                <c:pt idx="326">
                  <c:v>1.8239999999999998</c:v>
                </c:pt>
                <c:pt idx="327">
                  <c:v>1.8479999999999999</c:v>
                </c:pt>
                <c:pt idx="328">
                  <c:v>1.8719999999999999</c:v>
                </c:pt>
                <c:pt idx="329">
                  <c:v>1.8959999999999999</c:v>
                </c:pt>
                <c:pt idx="330">
                  <c:v>1.92</c:v>
                </c:pt>
                <c:pt idx="331">
                  <c:v>1.944</c:v>
                </c:pt>
                <c:pt idx="332">
                  <c:v>1.968</c:v>
                </c:pt>
                <c:pt idx="333">
                  <c:v>1.992</c:v>
                </c:pt>
                <c:pt idx="334">
                  <c:v>2.016</c:v>
                </c:pt>
                <c:pt idx="335">
                  <c:v>2.0400000000000009</c:v>
                </c:pt>
                <c:pt idx="336">
                  <c:v>2.0640000000000001</c:v>
                </c:pt>
                <c:pt idx="337">
                  <c:v>2.088000000000001</c:v>
                </c:pt>
                <c:pt idx="338">
                  <c:v>2.1120000000000001</c:v>
                </c:pt>
                <c:pt idx="339">
                  <c:v>2.136000000000001</c:v>
                </c:pt>
                <c:pt idx="340">
                  <c:v>2.16</c:v>
                </c:pt>
                <c:pt idx="341">
                  <c:v>2.1840000000000011</c:v>
                </c:pt>
                <c:pt idx="342">
                  <c:v>2.2080000000000002</c:v>
                </c:pt>
                <c:pt idx="343">
                  <c:v>2.2319999999999993</c:v>
                </c:pt>
                <c:pt idx="344">
                  <c:v>2.2560000000000002</c:v>
                </c:pt>
                <c:pt idx="345">
                  <c:v>2.2799999999999994</c:v>
                </c:pt>
                <c:pt idx="346">
                  <c:v>2.3040000000000003</c:v>
                </c:pt>
                <c:pt idx="347">
                  <c:v>2.3279999999999994</c:v>
                </c:pt>
                <c:pt idx="348">
                  <c:v>2.3520000000000003</c:v>
                </c:pt>
                <c:pt idx="349">
                  <c:v>2.3759999999999994</c:v>
                </c:pt>
                <c:pt idx="350">
                  <c:v>2.4000000000000004</c:v>
                </c:pt>
                <c:pt idx="351">
                  <c:v>2.4239999999999995</c:v>
                </c:pt>
                <c:pt idx="352">
                  <c:v>2.4480000000000004</c:v>
                </c:pt>
                <c:pt idx="353">
                  <c:v>2.4719999999999995</c:v>
                </c:pt>
                <c:pt idx="354">
                  <c:v>2.4960000000000004</c:v>
                </c:pt>
                <c:pt idx="355">
                  <c:v>2.5199999999999996</c:v>
                </c:pt>
                <c:pt idx="356">
                  <c:v>2.5440000000000005</c:v>
                </c:pt>
                <c:pt idx="357">
                  <c:v>2.5679999999999996</c:v>
                </c:pt>
                <c:pt idx="358">
                  <c:v>2.5920000000000005</c:v>
                </c:pt>
                <c:pt idx="359">
                  <c:v>2.6159999999999997</c:v>
                </c:pt>
                <c:pt idx="360">
                  <c:v>2.6400000000000006</c:v>
                </c:pt>
                <c:pt idx="361">
                  <c:v>2.6639999999999997</c:v>
                </c:pt>
                <c:pt idx="362">
                  <c:v>2.6880000000000006</c:v>
                </c:pt>
                <c:pt idx="363">
                  <c:v>2.7119999999999997</c:v>
                </c:pt>
                <c:pt idx="364">
                  <c:v>2.7360000000000007</c:v>
                </c:pt>
                <c:pt idx="365">
                  <c:v>2.76</c:v>
                </c:pt>
                <c:pt idx="366">
                  <c:v>2.7840000000000007</c:v>
                </c:pt>
                <c:pt idx="367">
                  <c:v>2.8079999999999998</c:v>
                </c:pt>
                <c:pt idx="368">
                  <c:v>2.8320000000000007</c:v>
                </c:pt>
                <c:pt idx="369">
                  <c:v>2.8559999999999999</c:v>
                </c:pt>
                <c:pt idx="370">
                  <c:v>2.8800000000000008</c:v>
                </c:pt>
                <c:pt idx="371">
                  <c:v>2.9039999999999999</c:v>
                </c:pt>
                <c:pt idx="372">
                  <c:v>2.9280000000000008</c:v>
                </c:pt>
                <c:pt idx="373">
                  <c:v>2.952</c:v>
                </c:pt>
                <c:pt idx="374">
                  <c:v>2.9760000000000009</c:v>
                </c:pt>
                <c:pt idx="375">
                  <c:v>3</c:v>
                </c:pt>
                <c:pt idx="376">
                  <c:v>3.0240000000000009</c:v>
                </c:pt>
                <c:pt idx="377">
                  <c:v>3.048</c:v>
                </c:pt>
                <c:pt idx="378">
                  <c:v>3.072000000000001</c:v>
                </c:pt>
                <c:pt idx="379">
                  <c:v>3.0960000000000001</c:v>
                </c:pt>
                <c:pt idx="380">
                  <c:v>3.120000000000001</c:v>
                </c:pt>
                <c:pt idx="381">
                  <c:v>3.1440000000000001</c:v>
                </c:pt>
                <c:pt idx="382">
                  <c:v>3.168000000000001</c:v>
                </c:pt>
                <c:pt idx="383">
                  <c:v>3.1920000000000002</c:v>
                </c:pt>
                <c:pt idx="384">
                  <c:v>3.2160000000000011</c:v>
                </c:pt>
                <c:pt idx="385">
                  <c:v>3.24</c:v>
                </c:pt>
                <c:pt idx="386">
                  <c:v>3.2639999999999993</c:v>
                </c:pt>
                <c:pt idx="387">
                  <c:v>3.2880000000000003</c:v>
                </c:pt>
                <c:pt idx="388">
                  <c:v>3.3119999999999994</c:v>
                </c:pt>
                <c:pt idx="389">
                  <c:v>3.3360000000000003</c:v>
                </c:pt>
                <c:pt idx="390">
                  <c:v>3.3599999999999994</c:v>
                </c:pt>
                <c:pt idx="391">
                  <c:v>3.3840000000000003</c:v>
                </c:pt>
                <c:pt idx="392">
                  <c:v>3.4079999999999995</c:v>
                </c:pt>
                <c:pt idx="393">
                  <c:v>3.4320000000000004</c:v>
                </c:pt>
                <c:pt idx="394">
                  <c:v>3.4559999999999995</c:v>
                </c:pt>
                <c:pt idx="395">
                  <c:v>3.4800000000000004</c:v>
                </c:pt>
                <c:pt idx="396">
                  <c:v>3.5039999999999996</c:v>
                </c:pt>
                <c:pt idx="397">
                  <c:v>3.5280000000000005</c:v>
                </c:pt>
                <c:pt idx="398">
                  <c:v>3.5519999999999996</c:v>
                </c:pt>
                <c:pt idx="399">
                  <c:v>3.5760000000000005</c:v>
                </c:pt>
                <c:pt idx="400">
                  <c:v>3.5999999999999996</c:v>
                </c:pt>
                <c:pt idx="401">
                  <c:v>3.6240000000000006</c:v>
                </c:pt>
                <c:pt idx="402">
                  <c:v>3.6479999999999997</c:v>
                </c:pt>
                <c:pt idx="403">
                  <c:v>3.6720000000000006</c:v>
                </c:pt>
                <c:pt idx="404">
                  <c:v>3.6959999999999997</c:v>
                </c:pt>
                <c:pt idx="405">
                  <c:v>3.7200000000000006</c:v>
                </c:pt>
                <c:pt idx="406">
                  <c:v>3.7439999999999998</c:v>
                </c:pt>
                <c:pt idx="407">
                  <c:v>3.7680000000000007</c:v>
                </c:pt>
                <c:pt idx="408">
                  <c:v>3.7919999999999998</c:v>
                </c:pt>
                <c:pt idx="409">
                  <c:v>3.8160000000000007</c:v>
                </c:pt>
                <c:pt idx="410">
                  <c:v>3.84</c:v>
                </c:pt>
                <c:pt idx="411">
                  <c:v>3.8640000000000008</c:v>
                </c:pt>
                <c:pt idx="412">
                  <c:v>3.8879999999999999</c:v>
                </c:pt>
                <c:pt idx="413">
                  <c:v>3.9120000000000008</c:v>
                </c:pt>
                <c:pt idx="414">
                  <c:v>3.9359999999999999</c:v>
                </c:pt>
                <c:pt idx="415">
                  <c:v>3.9600000000000009</c:v>
                </c:pt>
                <c:pt idx="416">
                  <c:v>3.984</c:v>
                </c:pt>
                <c:pt idx="417">
                  <c:v>4.0080000000000009</c:v>
                </c:pt>
                <c:pt idx="418">
                  <c:v>4.032</c:v>
                </c:pt>
                <c:pt idx="419">
                  <c:v>4.0560000000000009</c:v>
                </c:pt>
                <c:pt idx="420">
                  <c:v>4.08</c:v>
                </c:pt>
                <c:pt idx="421">
                  <c:v>4.104000000000001</c:v>
                </c:pt>
                <c:pt idx="422">
                  <c:v>4.1280000000000001</c:v>
                </c:pt>
                <c:pt idx="423">
                  <c:v>4.152000000000001</c:v>
                </c:pt>
                <c:pt idx="424">
                  <c:v>4.1760000000000002</c:v>
                </c:pt>
                <c:pt idx="425">
                  <c:v>4.2000000000000011</c:v>
                </c:pt>
                <c:pt idx="426">
                  <c:v>4.2240000000000002</c:v>
                </c:pt>
                <c:pt idx="427">
                  <c:v>4.2479999999999993</c:v>
                </c:pt>
                <c:pt idx="428">
                  <c:v>4.2720000000000002</c:v>
                </c:pt>
                <c:pt idx="429">
                  <c:v>4.2959999999999994</c:v>
                </c:pt>
                <c:pt idx="430">
                  <c:v>4.32</c:v>
                </c:pt>
                <c:pt idx="431">
                  <c:v>4.3439999999999994</c:v>
                </c:pt>
                <c:pt idx="432">
                  <c:v>4.3680000000000003</c:v>
                </c:pt>
                <c:pt idx="433">
                  <c:v>4.3919999999999995</c:v>
                </c:pt>
                <c:pt idx="434">
                  <c:v>4.4160000000000004</c:v>
                </c:pt>
                <c:pt idx="435">
                  <c:v>4.4399999999999995</c:v>
                </c:pt>
                <c:pt idx="436">
                  <c:v>4.4640000000000004</c:v>
                </c:pt>
                <c:pt idx="437">
                  <c:v>4.4879999999999995</c:v>
                </c:pt>
                <c:pt idx="438">
                  <c:v>4.5120000000000005</c:v>
                </c:pt>
                <c:pt idx="439">
                  <c:v>4.5359999999999996</c:v>
                </c:pt>
                <c:pt idx="440">
                  <c:v>4.5600000000000005</c:v>
                </c:pt>
                <c:pt idx="441">
                  <c:v>4.5839999999999996</c:v>
                </c:pt>
                <c:pt idx="442">
                  <c:v>4.6080000000000005</c:v>
                </c:pt>
                <c:pt idx="443">
                  <c:v>4.6319999999999997</c:v>
                </c:pt>
                <c:pt idx="444">
                  <c:v>4.6560000000000006</c:v>
                </c:pt>
                <c:pt idx="445">
                  <c:v>4.68</c:v>
                </c:pt>
                <c:pt idx="446">
                  <c:v>4.7040000000000006</c:v>
                </c:pt>
                <c:pt idx="447">
                  <c:v>4.7279999999999998</c:v>
                </c:pt>
                <c:pt idx="448">
                  <c:v>4.7520000000000007</c:v>
                </c:pt>
                <c:pt idx="449">
                  <c:v>4.7759999999999998</c:v>
                </c:pt>
                <c:pt idx="450">
                  <c:v>4.8000000000000007</c:v>
                </c:pt>
                <c:pt idx="451">
                  <c:v>4.8239999999999998</c:v>
                </c:pt>
                <c:pt idx="452">
                  <c:v>4.8480000000000008</c:v>
                </c:pt>
                <c:pt idx="453">
                  <c:v>4.8719999999999999</c:v>
                </c:pt>
                <c:pt idx="454">
                  <c:v>4.8960000000000008</c:v>
                </c:pt>
                <c:pt idx="455">
                  <c:v>4.92</c:v>
                </c:pt>
                <c:pt idx="456">
                  <c:v>4.9440000000000008</c:v>
                </c:pt>
                <c:pt idx="457">
                  <c:v>4.968</c:v>
                </c:pt>
                <c:pt idx="458">
                  <c:v>4.9920000000000009</c:v>
                </c:pt>
                <c:pt idx="459">
                  <c:v>5.016</c:v>
                </c:pt>
                <c:pt idx="460">
                  <c:v>5.0400000000000009</c:v>
                </c:pt>
                <c:pt idx="461">
                  <c:v>5.0640000000000001</c:v>
                </c:pt>
                <c:pt idx="462">
                  <c:v>5.088000000000001</c:v>
                </c:pt>
                <c:pt idx="463">
                  <c:v>5.1120000000000001</c:v>
                </c:pt>
                <c:pt idx="464">
                  <c:v>5.136000000000001</c:v>
                </c:pt>
                <c:pt idx="465">
                  <c:v>5.16</c:v>
                </c:pt>
                <c:pt idx="466">
                  <c:v>5.1840000000000011</c:v>
                </c:pt>
                <c:pt idx="467">
                  <c:v>5.2080000000000002</c:v>
                </c:pt>
                <c:pt idx="468">
                  <c:v>5.2320000000000011</c:v>
                </c:pt>
                <c:pt idx="469">
                  <c:v>5.2560000000000002</c:v>
                </c:pt>
                <c:pt idx="470">
                  <c:v>5.2799999999999994</c:v>
                </c:pt>
                <c:pt idx="471">
                  <c:v>5.3040000000000003</c:v>
                </c:pt>
                <c:pt idx="472">
                  <c:v>5.3279999999999994</c:v>
                </c:pt>
                <c:pt idx="473">
                  <c:v>5.3520000000000003</c:v>
                </c:pt>
                <c:pt idx="474">
                  <c:v>5.3759999999999994</c:v>
                </c:pt>
                <c:pt idx="475">
                  <c:v>5.4</c:v>
                </c:pt>
                <c:pt idx="476">
                  <c:v>5.4239999999999995</c:v>
                </c:pt>
                <c:pt idx="477">
                  <c:v>5.4480000000000004</c:v>
                </c:pt>
                <c:pt idx="478">
                  <c:v>5.4719999999999995</c:v>
                </c:pt>
                <c:pt idx="479">
                  <c:v>5.4960000000000004</c:v>
                </c:pt>
                <c:pt idx="480">
                  <c:v>5.52</c:v>
                </c:pt>
                <c:pt idx="481">
                  <c:v>5.5440000000000005</c:v>
                </c:pt>
                <c:pt idx="482">
                  <c:v>5.5679999999999996</c:v>
                </c:pt>
                <c:pt idx="483">
                  <c:v>5.5920000000000005</c:v>
                </c:pt>
                <c:pt idx="484">
                  <c:v>5.6159999999999997</c:v>
                </c:pt>
                <c:pt idx="485">
                  <c:v>5.6400000000000006</c:v>
                </c:pt>
                <c:pt idx="486">
                  <c:v>5.6639999999999997</c:v>
                </c:pt>
                <c:pt idx="487">
                  <c:v>5.6880000000000006</c:v>
                </c:pt>
                <c:pt idx="488">
                  <c:v>5.7119999999999997</c:v>
                </c:pt>
                <c:pt idx="489">
                  <c:v>5.7360000000000007</c:v>
                </c:pt>
                <c:pt idx="490">
                  <c:v>5.76</c:v>
                </c:pt>
                <c:pt idx="491">
                  <c:v>5.7840000000000007</c:v>
                </c:pt>
                <c:pt idx="492">
                  <c:v>5.8079999999999998</c:v>
                </c:pt>
                <c:pt idx="493">
                  <c:v>5.8320000000000007</c:v>
                </c:pt>
                <c:pt idx="494">
                  <c:v>5.8559999999999999</c:v>
                </c:pt>
                <c:pt idx="495">
                  <c:v>5.8800000000000008</c:v>
                </c:pt>
                <c:pt idx="496">
                  <c:v>5.9039999999999999</c:v>
                </c:pt>
                <c:pt idx="497">
                  <c:v>5.9280000000000008</c:v>
                </c:pt>
                <c:pt idx="498">
                  <c:v>5.952</c:v>
                </c:pt>
                <c:pt idx="499">
                  <c:v>5.9760000000000009</c:v>
                </c:pt>
                <c:pt idx="500">
                  <c:v>6</c:v>
                </c:pt>
              </c:numCache>
            </c:numRef>
          </c:xVal>
          <c:yVal>
            <c:numRef>
              <c:f>'Fig 2 - 1-sample t test'!$H$100:$H$600</c:f>
              <c:numCache>
                <c:formatCode>General</c:formatCode>
                <c:ptCount val="501"/>
                <c:pt idx="0">
                  <c:v>6.0758828498232861E-9</c:v>
                </c:pt>
                <c:pt idx="1">
                  <c:v>7.014919960620633E-9</c:v>
                </c:pt>
                <c:pt idx="2">
                  <c:v>8.094422981541427E-9</c:v>
                </c:pt>
                <c:pt idx="3">
                  <c:v>9.3346688630663452E-9</c:v>
                </c:pt>
                <c:pt idx="4">
                  <c:v>1.0758749212031231E-8</c:v>
                </c:pt>
                <c:pt idx="5">
                  <c:v>1.239294431415013E-8</c:v>
                </c:pt>
                <c:pt idx="6">
                  <c:v>1.4267144462795874E-8</c:v>
                </c:pt>
                <c:pt idx="7">
                  <c:v>1.6415324245220411E-8</c:v>
                </c:pt>
                <c:pt idx="8">
                  <c:v>1.8876076068122808E-8</c:v>
                </c:pt>
                <c:pt idx="9">
                  <c:v>2.1693209899897982E-8</c:v>
                </c:pt>
                <c:pt idx="10">
                  <c:v>2.4916426972950989E-8</c:v>
                </c:pt>
                <c:pt idx="11">
                  <c:v>2.8602076032540175E-8</c:v>
                </c:pt>
                <c:pt idx="12">
                  <c:v>3.2814001645590985E-8</c:v>
                </c:pt>
                <c:pt idx="13">
                  <c:v>3.7624495101197993E-8</c:v>
                </c:pt>
                <c:pt idx="14">
                  <c:v>4.3115359552033492E-8</c:v>
                </c:pt>
                <c:pt idx="15">
                  <c:v>4.937910227110449E-8</c:v>
                </c:pt>
                <c:pt idx="16">
                  <c:v>5.6520268240340859E-8</c:v>
                </c:pt>
                <c:pt idx="17">
                  <c:v>6.465693075604519E-8</c:v>
                </c:pt>
                <c:pt idx="18">
                  <c:v>7.3922356341658018E-8</c:v>
                </c:pt>
                <c:pt idx="19">
                  <c:v>8.4466863011588381E-8</c:v>
                </c:pt>
                <c:pt idx="20">
                  <c:v>9.6459892842733842E-8</c:v>
                </c:pt>
                <c:pt idx="21">
                  <c:v>1.1009232189518106E-7</c:v>
                </c:pt>
                <c:pt idx="22">
                  <c:v>1.2557903279356918E-7</c:v>
                </c:pt>
                <c:pt idx="23">
                  <c:v>1.4316177774957213E-7</c:v>
                </c:pt>
                <c:pt idx="24">
                  <c:v>1.6311236248861543E-7</c:v>
                </c:pt>
                <c:pt idx="25">
                  <c:v>1.8573618445552897E-7</c:v>
                </c:pt>
                <c:pt idx="26">
                  <c:v>2.1137616183074064E-7</c:v>
                </c:pt>
                <c:pt idx="27">
                  <c:v>2.4041709330746573E-7</c:v>
                </c:pt>
                <c:pt idx="28">
                  <c:v>2.7329049227913221E-7</c:v>
                </c:pt>
                <c:pt idx="29">
                  <c:v>3.104799430831489E-7</c:v>
                </c:pt>
                <c:pt idx="30">
                  <c:v>3.5252703126140381E-7</c:v>
                </c:pt>
                <c:pt idx="31">
                  <c:v>4.0003790444932249E-7</c:v>
                </c:pt>
                <c:pt idx="32">
                  <c:v>4.5369052551441214E-7</c:v>
                </c:pt>
                <c:pt idx="33">
                  <c:v>5.1424268495308647E-7</c:v>
                </c:pt>
                <c:pt idx="34">
                  <c:v>5.8254084534283306E-7</c:v>
                </c:pt>
                <c:pt idx="35">
                  <c:v>6.5952989685752167E-7</c:v>
                </c:pt>
                <c:pt idx="36">
                  <c:v>7.4626390950944278E-7</c:v>
                </c:pt>
                <c:pt idx="37">
                  <c:v>8.4391797490514879E-7</c:v>
                </c:pt>
                <c:pt idx="38">
                  <c:v>9.5380123791647124E-7</c:v>
                </c:pt>
                <c:pt idx="39">
                  <c:v>1.0773712267960586E-6</c:v>
                </c:pt>
                <c:pt idx="40">
                  <c:v>1.216249598931318E-6</c:v>
                </c:pt>
                <c:pt idx="41">
                  <c:v>1.3722394286545041E-6</c:v>
                </c:pt>
                <c:pt idx="42">
                  <c:v>1.5473441733317411E-6</c:v>
                </c:pt>
                <c:pt idx="43">
                  <c:v>1.7437884643617589E-6</c:v>
                </c:pt>
                <c:pt idx="44">
                  <c:v>1.9640408807463332E-6</c:v>
                </c:pt>
                <c:pt idx="45">
                  <c:v>2.2108388745684212E-6</c:v>
                </c:pt>
                <c:pt idx="46">
                  <c:v>2.4872160300486798E-6</c:v>
                </c:pt>
                <c:pt idx="47">
                  <c:v>2.7965318508624735E-6</c:v>
                </c:pt>
                <c:pt idx="48">
                  <c:v>3.1425042841019479E-6</c:v>
                </c:pt>
                <c:pt idx="49">
                  <c:v>3.5292452036728565E-6</c:v>
                </c:pt>
                <c:pt idx="50">
                  <c:v>3.9612990910320753E-6</c:v>
                </c:pt>
                <c:pt idx="51">
                  <c:v>4.443685167005601E-6</c:v>
                </c:pt>
                <c:pt idx="52">
                  <c:v>4.9819432449787926E-6</c:v>
                </c:pt>
                <c:pt idx="53">
                  <c:v>5.5821835930201659E-6</c:v>
                </c:pt>
                <c:pt idx="54">
                  <c:v>6.2511411104785546E-6</c:v>
                </c:pt>
                <c:pt idx="55">
                  <c:v>6.996234143270405E-6</c:v>
                </c:pt>
                <c:pt idx="56">
                  <c:v>7.825628281430239E-6</c:v>
                </c:pt>
                <c:pt idx="57">
                  <c:v>8.7483055025099134E-6</c:v>
                </c:pt>
                <c:pt idx="58">
                  <c:v>9.7741390450493848E-6</c:v>
                </c:pt>
                <c:pt idx="59">
                  <c:v>1.0913974417565564E-5</c:v>
                </c:pt>
                <c:pt idx="60">
                  <c:v>1.2179716970268655E-5</c:v>
                </c:pt>
                <c:pt idx="61">
                  <c:v>1.3584426478963919E-5</c:v>
                </c:pt>
                <c:pt idx="62">
                  <c:v>1.5142419213261371E-5</c:v>
                </c:pt>
                <c:pt idx="63">
                  <c:v>1.6869377984230626E-5</c:v>
                </c:pt>
                <c:pt idx="64">
                  <c:v>1.8782470689901945E-5</c:v>
                </c:pt>
                <c:pt idx="65">
                  <c:v>2.0900477900450482E-5</c:v>
                </c:pt>
                <c:pt idx="66">
                  <c:v>2.3243930048373714E-5</c:v>
                </c:pt>
                <c:pt idx="67">
                  <c:v>2.5835254812390093E-5</c:v>
                </c:pt>
                <c:pt idx="68">
                  <c:v>2.8698935306977618E-5</c:v>
                </c:pt>
                <c:pt idx="69">
                  <c:v>3.1861679712324632E-5</c:v>
                </c:pt>
                <c:pt idx="70">
                  <c:v>3.5352603001773097E-5</c:v>
                </c:pt>
                <c:pt idx="71">
                  <c:v>3.9203421445463005E-5</c:v>
                </c:pt>
                <c:pt idx="72">
                  <c:v>4.3448660589589352E-5</c:v>
                </c:pt>
                <c:pt idx="73">
                  <c:v>4.8125877430296982E-5</c:v>
                </c:pt>
                <c:pt idx="74">
                  <c:v>5.3275897519493968E-5</c:v>
                </c:pt>
                <c:pt idx="75">
                  <c:v>5.8943067756539855E-5</c:v>
                </c:pt>
                <c:pt idx="76">
                  <c:v>6.5175525634586447E-5</c:v>
                </c:pt>
                <c:pt idx="77">
                  <c:v>7.2025485723041163E-5</c:v>
                </c:pt>
                <c:pt idx="78">
                  <c:v>7.9549544177881284E-5</c:v>
                </c:pt>
                <c:pt idx="79">
                  <c:v>8.7809002079064242E-5</c:v>
                </c:pt>
                <c:pt idx="80">
                  <c:v>9.687020839871926E-5</c:v>
                </c:pt>
                <c:pt idx="81">
                  <c:v>1.0680492340481771E-4</c:v>
                </c:pt>
                <c:pt idx="82">
                  <c:v>1.1769070330224524E-4</c:v>
                </c:pt>
                <c:pt idx="83">
                  <c:v>1.296113069062539E-4</c:v>
                </c:pt>
                <c:pt idx="84">
                  <c:v>1.4265712513176652E-4</c:v>
                </c:pt>
                <c:pt idx="85">
                  <c:v>1.5692563406553226E-4</c:v>
                </c:pt>
                <c:pt idx="86">
                  <c:v>1.7252187236626288E-4</c:v>
                </c:pt>
                <c:pt idx="87">
                  <c:v>1.8955894371021315E-4</c:v>
                </c:pt>
                <c:pt idx="88">
                  <c:v>2.0815854496572918E-4</c:v>
                </c:pt>
                <c:pt idx="89">
                  <c:v>2.2845152073967242E-4</c:v>
                </c:pt>
                <c:pt idx="90">
                  <c:v>2.5057844489086075E-4</c:v>
                </c:pt>
                <c:pt idx="91">
                  <c:v>2.7469022955031567E-4</c:v>
                </c:pt>
                <c:pt idx="92">
                  <c:v>3.0094876212471999E-4</c:v>
                </c:pt>
                <c:pt idx="93">
                  <c:v>3.2952757068762962E-4</c:v>
                </c:pt>
                <c:pt idx="94">
                  <c:v>3.6061251808220806E-4</c:v>
                </c:pt>
                <c:pt idx="95">
                  <c:v>3.9440252496915693E-4</c:v>
                </c:pt>
                <c:pt idx="96">
                  <c:v>4.3111032195367678E-4</c:v>
                </c:pt>
                <c:pt idx="97">
                  <c:v>4.7096323081532949E-4</c:v>
                </c:pt>
                <c:pt idx="98">
                  <c:v>5.1420397474424319E-4</c:v>
                </c:pt>
                <c:pt idx="99">
                  <c:v>5.6109151735582138E-4</c:v>
                </c:pt>
                <c:pt idx="100">
                  <c:v>6.119019301137719E-4</c:v>
                </c:pt>
                <c:pt idx="101">
                  <c:v>6.6692928763750227E-4</c:v>
                </c:pt>
                <c:pt idx="102">
                  <c:v>7.2648659020460105E-4</c:v>
                </c:pt>
                <c:pt idx="103">
                  <c:v>7.9090671258203761E-4</c:v>
                </c:pt>
                <c:pt idx="104">
                  <c:v>8.605433781307579E-4</c:v>
                </c:pt>
                <c:pt idx="105">
                  <c:v>9.3577215692747977E-4</c:v>
                </c:pt>
                <c:pt idx="106">
                  <c:v>1.0169914864347645E-3</c:v>
                </c:pt>
                <c:pt idx="107">
                  <c:v>1.1046237130258381E-3</c:v>
                </c:pt>
                <c:pt idx="108">
                  <c:v>1.1991161524345093E-3</c:v>
                </c:pt>
                <c:pt idx="109">
                  <c:v>1.3009421669529307E-3</c:v>
                </c:pt>
                <c:pt idx="110">
                  <c:v>1.4106022569413848E-3</c:v>
                </c:pt>
                <c:pt idx="111">
                  <c:v>1.528625163945144E-3</c:v>
                </c:pt>
                <c:pt idx="112">
                  <c:v>1.6555689824342061E-3</c:v>
                </c:pt>
                <c:pt idx="113">
                  <c:v>1.7920222768931734E-3</c:v>
                </c:pt>
                <c:pt idx="114">
                  <c:v>1.9386052006913181E-3</c:v>
                </c:pt>
                <c:pt idx="115">
                  <c:v>2.0959706128579453E-3</c:v>
                </c:pt>
                <c:pt idx="116">
                  <c:v>2.2648051885764829E-3</c:v>
                </c:pt>
                <c:pt idx="117">
                  <c:v>2.4458305188934035E-3</c:v>
                </c:pt>
                <c:pt idx="118">
                  <c:v>2.6398041948164515E-3</c:v>
                </c:pt>
                <c:pt idx="119">
                  <c:v>2.8475208706519421E-3</c:v>
                </c:pt>
                <c:pt idx="120">
                  <c:v>3.0698133011047403E-3</c:v>
                </c:pt>
                <c:pt idx="121">
                  <c:v>3.3075533463386006E-3</c:v>
                </c:pt>
                <c:pt idx="122">
                  <c:v>3.5616529388703346E-3</c:v>
                </c:pt>
                <c:pt idx="123">
                  <c:v>3.8330650058511109E-3</c:v>
                </c:pt>
                <c:pt idx="124">
                  <c:v>4.122784339973702E-3</c:v>
                </c:pt>
                <c:pt idx="125">
                  <c:v>4.4318484119380075E-3</c:v>
                </c:pt>
                <c:pt idx="126">
                  <c:v>4.7613381171110044E-3</c:v>
                </c:pt>
                <c:pt idx="127">
                  <c:v>5.1123784487336638E-3</c:v>
                </c:pt>
                <c:pt idx="128">
                  <c:v>5.4861390897588055E-3</c:v>
                </c:pt>
                <c:pt idx="129">
                  <c:v>5.883834915153101E-3</c:v>
                </c:pt>
                <c:pt idx="130">
                  <c:v>6.3067263962659275E-3</c:v>
                </c:pt>
                <c:pt idx="131">
                  <c:v>6.7561198986603012E-3</c:v>
                </c:pt>
                <c:pt idx="132">
                  <c:v>7.2333678646196876E-3</c:v>
                </c:pt>
                <c:pt idx="133">
                  <c:v>7.739868871391698E-3</c:v>
                </c:pt>
                <c:pt idx="134">
                  <c:v>8.2770675561084951E-3</c:v>
                </c:pt>
                <c:pt idx="135">
                  <c:v>8.8464543982372315E-3</c:v>
                </c:pt>
                <c:pt idx="136">
                  <c:v>9.4495653503647269E-3</c:v>
                </c:pt>
                <c:pt idx="137">
                  <c:v>1.008798130811189E-2</c:v>
                </c:pt>
                <c:pt idx="138">
                  <c:v>1.0763327410007753E-2</c:v>
                </c:pt>
                <c:pt idx="139">
                  <c:v>1.1477272158233751E-2</c:v>
                </c:pt>
                <c:pt idx="140">
                  <c:v>1.2231526351277971E-2</c:v>
                </c:pt>
                <c:pt idx="141">
                  <c:v>1.3027841819719665E-2</c:v>
                </c:pt>
                <c:pt idx="142">
                  <c:v>1.3868009956599181E-2</c:v>
                </c:pt>
                <c:pt idx="143">
                  <c:v>1.4753860034118634E-2</c:v>
                </c:pt>
                <c:pt idx="144">
                  <c:v>1.5687257298768114E-2</c:v>
                </c:pt>
                <c:pt idx="145">
                  <c:v>1.6670100837381057E-2</c:v>
                </c:pt>
                <c:pt idx="146">
                  <c:v>1.7704321207094212E-2</c:v>
                </c:pt>
                <c:pt idx="147">
                  <c:v>1.8791877822721837E-2</c:v>
                </c:pt>
                <c:pt idx="148">
                  <c:v>1.993475609565365E-2</c:v>
                </c:pt>
                <c:pt idx="149">
                  <c:v>2.1134964319050476E-2</c:v>
                </c:pt>
                <c:pt idx="150">
                  <c:v>2.2394530294842899E-2</c:v>
                </c:pt>
                <c:pt idx="151">
                  <c:v>2.3715497698834857E-2</c:v>
                </c:pt>
                <c:pt idx="152">
                  <c:v>2.5099922181077771E-2</c:v>
                </c:pt>
                <c:pt idx="153">
                  <c:v>2.65498671996088E-2</c:v>
                </c:pt>
                <c:pt idx="154">
                  <c:v>2.8067399586640101E-2</c:v>
                </c:pt>
                <c:pt idx="155">
                  <c:v>2.9654584847341278E-2</c:v>
                </c:pt>
                <c:pt idx="156">
                  <c:v>3.131348219247429E-2</c:v>
                </c:pt>
                <c:pt idx="157">
                  <c:v>3.3046139307314849E-2</c:v>
                </c:pt>
                <c:pt idx="158">
                  <c:v>3.4854586860525442E-2</c:v>
                </c:pt>
                <c:pt idx="159">
                  <c:v>3.6740832757928034E-2</c:v>
                </c:pt>
                <c:pt idx="160">
                  <c:v>3.8706856147455608E-2</c:v>
                </c:pt>
                <c:pt idx="161">
                  <c:v>4.0754601182937548E-2</c:v>
                </c:pt>
                <c:pt idx="162">
                  <c:v>4.2885970555787321E-2</c:v>
                </c:pt>
                <c:pt idx="163">
                  <c:v>4.5102818805110016E-2</c:v>
                </c:pt>
                <c:pt idx="164">
                  <c:v>4.7406945418221713E-2</c:v>
                </c:pt>
                <c:pt idx="165">
                  <c:v>4.9800087735070775E-2</c:v>
                </c:pt>
                <c:pt idx="166">
                  <c:v>5.2283913671562113E-2</c:v>
                </c:pt>
                <c:pt idx="167">
                  <c:v>5.4860014278304732E-2</c:v>
                </c:pt>
                <c:pt idx="168">
                  <c:v>5.7529896152820871E-2</c:v>
                </c:pt>
                <c:pt idx="169">
                  <c:v>6.0294973724765701E-2</c:v>
                </c:pt>
                <c:pt idx="170">
                  <c:v>6.3156561435198655E-2</c:v>
                </c:pt>
                <c:pt idx="171">
                  <c:v>6.6115865832415521E-2</c:v>
                </c:pt>
                <c:pt idx="172">
                  <c:v>6.9173977608282505E-2</c:v>
                </c:pt>
                <c:pt idx="173">
                  <c:v>7.2331863600401836E-2</c:v>
                </c:pt>
                <c:pt idx="174">
                  <c:v>7.5590358786774225E-2</c:v>
                </c:pt>
                <c:pt idx="175">
                  <c:v>7.8950158300894177E-2</c:v>
                </c:pt>
                <c:pt idx="176">
                  <c:v>8.2411809496414523E-2</c:v>
                </c:pt>
                <c:pt idx="177">
                  <c:v>8.5975704091632174E-2</c:v>
                </c:pt>
                <c:pt idx="178">
                  <c:v>8.9642070425072398E-2</c:v>
                </c:pt>
                <c:pt idx="179">
                  <c:v>9.3410965854371211E-2</c:v>
                </c:pt>
                <c:pt idx="180">
                  <c:v>9.7282269331467539E-2</c:v>
                </c:pt>
                <c:pt idx="181">
                  <c:v>0.10125567418780883</c:v>
                </c:pt>
                <c:pt idx="182">
                  <c:v>0.10533068116383558</c:v>
                </c:pt>
                <c:pt idx="183">
                  <c:v>0.1095065917174368</c:v>
                </c:pt>
                <c:pt idx="184">
                  <c:v>0.11378250164634682</c:v>
                </c:pt>
                <c:pt idx="185">
                  <c:v>0.11815729505958236</c:v>
                </c:pt>
                <c:pt idx="186">
                  <c:v>0.12262963873298507</c:v>
                </c:pt>
                <c:pt idx="187">
                  <c:v>0.12719797688373657</c:v>
                </c:pt>
                <c:pt idx="188">
                  <c:v>0.13186052639834289</c:v>
                </c:pt>
                <c:pt idx="189">
                  <c:v>0.13661527254803907</c:v>
                </c:pt>
                <c:pt idx="190">
                  <c:v>0.14145996522483889</c:v>
                </c:pt>
                <c:pt idx="191">
                  <c:v>0.1463921157305457</c:v>
                </c:pt>
                <c:pt idx="192">
                  <c:v>0.15140899414994635</c:v>
                </c:pt>
                <c:pt idx="193">
                  <c:v>0.15650762733813126</c:v>
                </c:pt>
                <c:pt idx="194">
                  <c:v>0.1616847975504194</c:v>
                </c:pt>
                <c:pt idx="195">
                  <c:v>0.16693704174171375</c:v>
                </c:pt>
                <c:pt idx="196">
                  <c:v>0.17226065156028758</c:v>
                </c:pt>
                <c:pt idx="197">
                  <c:v>0.1776516740589851</c:v>
                </c:pt>
                <c:pt idx="198">
                  <c:v>0.18310591314463986</c:v>
                </c:pt>
                <c:pt idx="199">
                  <c:v>0.18861893178415948</c:v>
                </c:pt>
                <c:pt idx="200">
                  <c:v>0.19418605498321292</c:v>
                </c:pt>
                <c:pt idx="201">
                  <c:v>0.19980237355078795</c:v>
                </c:pt>
                <c:pt idx="202">
                  <c:v>0.20546274866007688</c:v>
                </c:pt>
                <c:pt idx="203">
                  <c:v>0.21116181721320312</c:v>
                </c:pt>
                <c:pt idx="204">
                  <c:v>0.21689399801423551</c:v>
                </c:pt>
                <c:pt idx="205">
                  <c:v>0.22265349875176113</c:v>
                </c:pt>
                <c:pt idx="206">
                  <c:v>0.22843432378901604</c:v>
                </c:pt>
                <c:pt idx="207">
                  <c:v>0.23423028275621952</c:v>
                </c:pt>
                <c:pt idx="208">
                  <c:v>0.2400349999363395</c:v>
                </c:pt>
                <c:pt idx="209">
                  <c:v>0.24584192443204717</c:v>
                </c:pt>
                <c:pt idx="210">
                  <c:v>0.25164434109811712</c:v>
                </c:pt>
                <c:pt idx="211">
                  <c:v>0.25743538222001205</c:v>
                </c:pt>
                <c:pt idx="212">
                  <c:v>0.2632080399158771</c:v>
                </c:pt>
                <c:pt idx="213">
                  <c:v>0.26895517923567464</c:v>
                </c:pt>
                <c:pt idx="214">
                  <c:v>0.27466955192773695</c:v>
                </c:pt>
                <c:pt idx="215">
                  <c:v>0.28034381083962062</c:v>
                </c:pt>
                <c:pt idx="216">
                  <c:v>0.28597052491682845</c:v>
                </c:pt>
                <c:pt idx="217">
                  <c:v>0.29154219475974724</c:v>
                </c:pt>
                <c:pt idx="218">
                  <c:v>0.2970512686960452</c:v>
                </c:pt>
                <c:pt idx="219">
                  <c:v>0.30249015932280471</c:v>
                </c:pt>
                <c:pt idx="220">
                  <c:v>0.30785126046985301</c:v>
                </c:pt>
                <c:pt idx="221">
                  <c:v>0.3131269645331039</c:v>
                </c:pt>
                <c:pt idx="222">
                  <c:v>0.3183096801242743</c:v>
                </c:pt>
                <c:pt idx="223">
                  <c:v>0.32339184998107995</c:v>
                </c:pt>
                <c:pt idx="224">
                  <c:v>0.32836596907998766</c:v>
                </c:pt>
                <c:pt idx="225">
                  <c:v>0.33322460289179973</c:v>
                </c:pt>
                <c:pt idx="226">
                  <c:v>0.33796040571879715</c:v>
                </c:pt>
                <c:pt idx="227">
                  <c:v>0.34256613905087624</c:v>
                </c:pt>
                <c:pt idx="228">
                  <c:v>0.34703468987709241</c:v>
                </c:pt>
                <c:pt idx="229">
                  <c:v>0.3513590888882841</c:v>
                </c:pt>
                <c:pt idx="230">
                  <c:v>0.35553252850599715</c:v>
                </c:pt>
                <c:pt idx="231">
                  <c:v>0.35954838067276967</c:v>
                </c:pt>
                <c:pt idx="232">
                  <c:v>0.36340021433897729</c:v>
                </c:pt>
                <c:pt idx="233">
                  <c:v>0.3670818125818826</c:v>
                </c:pt>
                <c:pt idx="234">
                  <c:v>0.37058718929327361</c:v>
                </c:pt>
                <c:pt idx="235">
                  <c:v>0.37391060537312837</c:v>
                </c:pt>
                <c:pt idx="236">
                  <c:v>0.37704658436808808</c:v>
                </c:pt>
                <c:pt idx="237">
                  <c:v>0.37998992749516874</c:v>
                </c:pt>
                <c:pt idx="238">
                  <c:v>0.38273572799307848</c:v>
                </c:pt>
                <c:pt idx="239">
                  <c:v>0.38527938474572759</c:v>
                </c:pt>
                <c:pt idx="240">
                  <c:v>0.38761661512501411</c:v>
                </c:pt>
                <c:pt idx="241">
                  <c:v>0.38974346700272944</c:v>
                </c:pt>
                <c:pt idx="242">
                  <c:v>0.39165632988443705</c:v>
                </c:pt>
                <c:pt idx="243">
                  <c:v>0.39335194512142974</c:v>
                </c:pt>
                <c:pt idx="244">
                  <c:v>0.39482741516033976</c:v>
                </c:pt>
                <c:pt idx="245">
                  <c:v>0.3960802117936561</c:v>
                </c:pt>
                <c:pt idx="246">
                  <c:v>0.39710818337826648</c:v>
                </c:pt>
                <c:pt idx="247">
                  <c:v>0.39790956099317593</c:v>
                </c:pt>
                <c:pt idx="248">
                  <c:v>0.39848296351173551</c:v>
                </c:pt>
                <c:pt idx="249">
                  <c:v>0.39882740156802315</c:v>
                </c:pt>
                <c:pt idx="250">
                  <c:v>0.3989422804014327</c:v>
                </c:pt>
                <c:pt idx="251">
                  <c:v>0.39882740156802315</c:v>
                </c:pt>
                <c:pt idx="252">
                  <c:v>0.39848296351173551</c:v>
                </c:pt>
                <c:pt idx="253">
                  <c:v>0.39790956099317593</c:v>
                </c:pt>
                <c:pt idx="254">
                  <c:v>0.39710818337826648</c:v>
                </c:pt>
                <c:pt idx="255">
                  <c:v>0.3960802117936561</c:v>
                </c:pt>
                <c:pt idx="256">
                  <c:v>0.39482741516033976</c:v>
                </c:pt>
                <c:pt idx="257">
                  <c:v>0.39335194512142974</c:v>
                </c:pt>
                <c:pt idx="258">
                  <c:v>0.39165632988443705</c:v>
                </c:pt>
                <c:pt idx="259">
                  <c:v>0.38974346700272944</c:v>
                </c:pt>
                <c:pt idx="260">
                  <c:v>0.38761661512501411</c:v>
                </c:pt>
                <c:pt idx="261">
                  <c:v>0.38527938474572759</c:v>
                </c:pt>
                <c:pt idx="262">
                  <c:v>0.38273572799307848</c:v>
                </c:pt>
                <c:pt idx="263">
                  <c:v>0.37998992749516874</c:v>
                </c:pt>
                <c:pt idx="264">
                  <c:v>0.37704658436808808</c:v>
                </c:pt>
                <c:pt idx="265">
                  <c:v>0.37391060537312837</c:v>
                </c:pt>
                <c:pt idx="266">
                  <c:v>0.3705871892932735</c:v>
                </c:pt>
                <c:pt idx="267">
                  <c:v>0.36708181258188249</c:v>
                </c:pt>
                <c:pt idx="268">
                  <c:v>0.36340021433897718</c:v>
                </c:pt>
                <c:pt idx="269">
                  <c:v>0.35954838067276951</c:v>
                </c:pt>
                <c:pt idx="270">
                  <c:v>0.35553252850599704</c:v>
                </c:pt>
                <c:pt idx="271">
                  <c:v>0.35135908888828388</c:v>
                </c:pt>
                <c:pt idx="272">
                  <c:v>0.34703468987709224</c:v>
                </c:pt>
                <c:pt idx="273">
                  <c:v>0.34256613905087613</c:v>
                </c:pt>
                <c:pt idx="274">
                  <c:v>0.33796040571879699</c:v>
                </c:pt>
                <c:pt idx="275">
                  <c:v>0.33322460289179956</c:v>
                </c:pt>
                <c:pt idx="276">
                  <c:v>0.3283659690799875</c:v>
                </c:pt>
                <c:pt idx="277">
                  <c:v>0.32339184998107978</c:v>
                </c:pt>
                <c:pt idx="278">
                  <c:v>0.3183096801242743</c:v>
                </c:pt>
                <c:pt idx="279">
                  <c:v>0.3131269645331039</c:v>
                </c:pt>
                <c:pt idx="280">
                  <c:v>0.30785126046985301</c:v>
                </c:pt>
                <c:pt idx="281">
                  <c:v>0.30249015932280471</c:v>
                </c:pt>
                <c:pt idx="282">
                  <c:v>0.2970512686960452</c:v>
                </c:pt>
                <c:pt idx="283">
                  <c:v>0.29154219475974724</c:v>
                </c:pt>
                <c:pt idx="284">
                  <c:v>0.28597052491682845</c:v>
                </c:pt>
                <c:pt idx="285">
                  <c:v>0.28034381083962062</c:v>
                </c:pt>
                <c:pt idx="286">
                  <c:v>0.27466955192773695</c:v>
                </c:pt>
                <c:pt idx="287">
                  <c:v>0.26895517923567464</c:v>
                </c:pt>
                <c:pt idx="288">
                  <c:v>0.2632080399158771</c:v>
                </c:pt>
                <c:pt idx="289">
                  <c:v>0.25743538222001205</c:v>
                </c:pt>
                <c:pt idx="290">
                  <c:v>0.25164434109811712</c:v>
                </c:pt>
                <c:pt idx="291">
                  <c:v>0.24584192443204717</c:v>
                </c:pt>
                <c:pt idx="292">
                  <c:v>0.2400349999363395</c:v>
                </c:pt>
                <c:pt idx="293">
                  <c:v>0.23423028275621952</c:v>
                </c:pt>
                <c:pt idx="294">
                  <c:v>0.22843432378901604</c:v>
                </c:pt>
                <c:pt idx="295">
                  <c:v>0.22265349875176113</c:v>
                </c:pt>
                <c:pt idx="296">
                  <c:v>0.21689399801423551</c:v>
                </c:pt>
                <c:pt idx="297">
                  <c:v>0.21116181721320312</c:v>
                </c:pt>
                <c:pt idx="298">
                  <c:v>0.20546274866007688</c:v>
                </c:pt>
                <c:pt idx="299">
                  <c:v>0.19980237355078795</c:v>
                </c:pt>
                <c:pt idx="300">
                  <c:v>0.19418605498321292</c:v>
                </c:pt>
                <c:pt idx="301">
                  <c:v>0.18861893178415948</c:v>
                </c:pt>
                <c:pt idx="302">
                  <c:v>0.18310591314463986</c:v>
                </c:pt>
                <c:pt idx="303">
                  <c:v>0.1776516740589851</c:v>
                </c:pt>
                <c:pt idx="304">
                  <c:v>0.17226065156028758</c:v>
                </c:pt>
                <c:pt idx="305">
                  <c:v>0.16693704174171375</c:v>
                </c:pt>
                <c:pt idx="306">
                  <c:v>0.1616847975504194</c:v>
                </c:pt>
                <c:pt idx="307">
                  <c:v>0.15650762733813126</c:v>
                </c:pt>
                <c:pt idx="308">
                  <c:v>0.15140899414994616</c:v>
                </c:pt>
                <c:pt idx="309">
                  <c:v>0.1463921157305455</c:v>
                </c:pt>
                <c:pt idx="310">
                  <c:v>0.1414599652248387</c:v>
                </c:pt>
                <c:pt idx="311">
                  <c:v>0.1366152725480389</c:v>
                </c:pt>
                <c:pt idx="312">
                  <c:v>0.13186052639834273</c:v>
                </c:pt>
                <c:pt idx="313">
                  <c:v>0.12719797688373641</c:v>
                </c:pt>
                <c:pt idx="314">
                  <c:v>0.12262963873298491</c:v>
                </c:pt>
                <c:pt idx="315">
                  <c:v>0.11815729505958221</c:v>
                </c:pt>
                <c:pt idx="316">
                  <c:v>0.11378250164634666</c:v>
                </c:pt>
                <c:pt idx="317">
                  <c:v>0.10950659171743668</c:v>
                </c:pt>
                <c:pt idx="318">
                  <c:v>0.10533068116383545</c:v>
                </c:pt>
                <c:pt idx="319">
                  <c:v>0.10125567418780868</c:v>
                </c:pt>
                <c:pt idx="320">
                  <c:v>9.7282269331467539E-2</c:v>
                </c:pt>
                <c:pt idx="321">
                  <c:v>9.3410965854371211E-2</c:v>
                </c:pt>
                <c:pt idx="322">
                  <c:v>8.9642070425072398E-2</c:v>
                </c:pt>
                <c:pt idx="323">
                  <c:v>8.5975704091632174E-2</c:v>
                </c:pt>
                <c:pt idx="324">
                  <c:v>8.2411809496414523E-2</c:v>
                </c:pt>
                <c:pt idx="325">
                  <c:v>7.8950158300894177E-2</c:v>
                </c:pt>
                <c:pt idx="326">
                  <c:v>7.5590358786774225E-2</c:v>
                </c:pt>
                <c:pt idx="327">
                  <c:v>7.2331863600401836E-2</c:v>
                </c:pt>
                <c:pt idx="328">
                  <c:v>6.9173977608282505E-2</c:v>
                </c:pt>
                <c:pt idx="329">
                  <c:v>6.6115865832415521E-2</c:v>
                </c:pt>
                <c:pt idx="330">
                  <c:v>6.3156561435198655E-2</c:v>
                </c:pt>
                <c:pt idx="331">
                  <c:v>6.0294973724765701E-2</c:v>
                </c:pt>
                <c:pt idx="332">
                  <c:v>5.7529896152820871E-2</c:v>
                </c:pt>
                <c:pt idx="333">
                  <c:v>5.4860014278304732E-2</c:v>
                </c:pt>
                <c:pt idx="334">
                  <c:v>5.2283913671562113E-2</c:v>
                </c:pt>
                <c:pt idx="335">
                  <c:v>4.9800087735070685E-2</c:v>
                </c:pt>
                <c:pt idx="336">
                  <c:v>4.7406945418221713E-2</c:v>
                </c:pt>
                <c:pt idx="337">
                  <c:v>4.510281880510994E-2</c:v>
                </c:pt>
                <c:pt idx="338">
                  <c:v>4.2885970555787321E-2</c:v>
                </c:pt>
                <c:pt idx="339">
                  <c:v>4.0754601182937472E-2</c:v>
                </c:pt>
                <c:pt idx="340">
                  <c:v>3.8706856147455608E-2</c:v>
                </c:pt>
                <c:pt idx="341">
                  <c:v>3.6740832757927937E-2</c:v>
                </c:pt>
                <c:pt idx="342">
                  <c:v>3.4854586860525415E-2</c:v>
                </c:pt>
                <c:pt idx="343">
                  <c:v>3.3046139307314877E-2</c:v>
                </c:pt>
                <c:pt idx="344">
                  <c:v>3.1313482192474262E-2</c:v>
                </c:pt>
                <c:pt idx="345">
                  <c:v>2.9654584847341316E-2</c:v>
                </c:pt>
                <c:pt idx="346">
                  <c:v>2.8067399586640077E-2</c:v>
                </c:pt>
                <c:pt idx="347">
                  <c:v>2.6549867199608838E-2</c:v>
                </c:pt>
                <c:pt idx="348">
                  <c:v>2.5099922181077736E-2</c:v>
                </c:pt>
                <c:pt idx="349">
                  <c:v>2.3715497698834888E-2</c:v>
                </c:pt>
                <c:pt idx="350">
                  <c:v>2.2394530294842882E-2</c:v>
                </c:pt>
                <c:pt idx="351">
                  <c:v>2.1134964319050504E-2</c:v>
                </c:pt>
                <c:pt idx="352">
                  <c:v>1.9934756095653629E-2</c:v>
                </c:pt>
                <c:pt idx="353">
                  <c:v>1.8791877822721854E-2</c:v>
                </c:pt>
                <c:pt idx="354">
                  <c:v>1.7704321207094198E-2</c:v>
                </c:pt>
                <c:pt idx="355">
                  <c:v>1.6670100837381078E-2</c:v>
                </c:pt>
                <c:pt idx="356">
                  <c:v>1.56872572987681E-2</c:v>
                </c:pt>
                <c:pt idx="357">
                  <c:v>1.4753860034118655E-2</c:v>
                </c:pt>
                <c:pt idx="358">
                  <c:v>1.386800995659916E-2</c:v>
                </c:pt>
                <c:pt idx="359">
                  <c:v>1.3027841819719681E-2</c:v>
                </c:pt>
                <c:pt idx="360">
                  <c:v>1.2231526351277954E-2</c:v>
                </c:pt>
                <c:pt idx="361">
                  <c:v>1.1477272158233767E-2</c:v>
                </c:pt>
                <c:pt idx="362">
                  <c:v>1.0763327410007729E-2</c:v>
                </c:pt>
                <c:pt idx="363">
                  <c:v>1.008798130811189E-2</c:v>
                </c:pt>
                <c:pt idx="364">
                  <c:v>9.449565350364706E-3</c:v>
                </c:pt>
                <c:pt idx="365">
                  <c:v>8.8464543982372315E-3</c:v>
                </c:pt>
                <c:pt idx="366">
                  <c:v>8.277067556108476E-3</c:v>
                </c:pt>
                <c:pt idx="367">
                  <c:v>7.739868871391698E-3</c:v>
                </c:pt>
                <c:pt idx="368">
                  <c:v>7.2333678646196676E-3</c:v>
                </c:pt>
                <c:pt idx="369">
                  <c:v>6.7561198986603012E-3</c:v>
                </c:pt>
                <c:pt idx="370">
                  <c:v>6.3067263962659102E-3</c:v>
                </c:pt>
                <c:pt idx="371">
                  <c:v>5.883834915153101E-3</c:v>
                </c:pt>
                <c:pt idx="372">
                  <c:v>5.4861390897587908E-3</c:v>
                </c:pt>
                <c:pt idx="373">
                  <c:v>5.1123784487336638E-3</c:v>
                </c:pt>
                <c:pt idx="374">
                  <c:v>4.7613381171109914E-3</c:v>
                </c:pt>
                <c:pt idx="375">
                  <c:v>4.4318484119380075E-3</c:v>
                </c:pt>
                <c:pt idx="376">
                  <c:v>4.1227843399736916E-3</c:v>
                </c:pt>
                <c:pt idx="377">
                  <c:v>3.8330650058511109E-3</c:v>
                </c:pt>
                <c:pt idx="378">
                  <c:v>3.5616529388703255E-3</c:v>
                </c:pt>
                <c:pt idx="379">
                  <c:v>3.3075533463386006E-3</c:v>
                </c:pt>
                <c:pt idx="380">
                  <c:v>3.0698133011047325E-3</c:v>
                </c:pt>
                <c:pt idx="381">
                  <c:v>2.8475208706519421E-3</c:v>
                </c:pt>
                <c:pt idx="382">
                  <c:v>2.6398041948164446E-3</c:v>
                </c:pt>
                <c:pt idx="383">
                  <c:v>2.4458305188934013E-3</c:v>
                </c:pt>
                <c:pt idx="384">
                  <c:v>2.264805188576473E-3</c:v>
                </c:pt>
                <c:pt idx="385">
                  <c:v>2.0959706128579419E-3</c:v>
                </c:pt>
                <c:pt idx="386">
                  <c:v>1.9386052006913198E-3</c:v>
                </c:pt>
                <c:pt idx="387">
                  <c:v>1.7920222768931717E-3</c:v>
                </c:pt>
                <c:pt idx="388">
                  <c:v>1.6555689824342091E-3</c:v>
                </c:pt>
                <c:pt idx="389">
                  <c:v>1.5286251639451411E-3</c:v>
                </c:pt>
                <c:pt idx="390">
                  <c:v>1.4106022569413861E-3</c:v>
                </c:pt>
                <c:pt idx="391">
                  <c:v>1.3009421669529281E-3</c:v>
                </c:pt>
                <c:pt idx="392">
                  <c:v>1.1991161524345115E-3</c:v>
                </c:pt>
                <c:pt idx="393">
                  <c:v>1.1046237130258364E-3</c:v>
                </c:pt>
                <c:pt idx="394">
                  <c:v>1.0169914864347654E-3</c:v>
                </c:pt>
                <c:pt idx="395">
                  <c:v>9.3577215692747804E-4</c:v>
                </c:pt>
                <c:pt idx="396">
                  <c:v>8.6054337813075866E-4</c:v>
                </c:pt>
                <c:pt idx="397">
                  <c:v>7.9090671258203685E-4</c:v>
                </c:pt>
                <c:pt idx="398">
                  <c:v>7.2648659020460235E-4</c:v>
                </c:pt>
                <c:pt idx="399">
                  <c:v>6.6692928763750108E-4</c:v>
                </c:pt>
                <c:pt idx="400">
                  <c:v>6.1190193011377298E-4</c:v>
                </c:pt>
                <c:pt idx="401">
                  <c:v>5.610915173558204E-4</c:v>
                </c:pt>
                <c:pt idx="402">
                  <c:v>5.1420397474424406E-4</c:v>
                </c:pt>
                <c:pt idx="403">
                  <c:v>4.7096323081532873E-4</c:v>
                </c:pt>
                <c:pt idx="404">
                  <c:v>4.3111032195367678E-4</c:v>
                </c:pt>
                <c:pt idx="405">
                  <c:v>3.9440252496915552E-4</c:v>
                </c:pt>
                <c:pt idx="406">
                  <c:v>3.6061251808220806E-4</c:v>
                </c:pt>
                <c:pt idx="407">
                  <c:v>3.2952757068762842E-4</c:v>
                </c:pt>
                <c:pt idx="408">
                  <c:v>3.0094876212471999E-4</c:v>
                </c:pt>
                <c:pt idx="409">
                  <c:v>2.746902295503147E-4</c:v>
                </c:pt>
                <c:pt idx="410">
                  <c:v>2.5057844489086075E-4</c:v>
                </c:pt>
                <c:pt idx="411">
                  <c:v>2.2845152073967183E-4</c:v>
                </c:pt>
                <c:pt idx="412">
                  <c:v>2.0815854496572918E-4</c:v>
                </c:pt>
                <c:pt idx="413">
                  <c:v>1.8955894371021248E-4</c:v>
                </c:pt>
                <c:pt idx="414">
                  <c:v>1.7252187236626288E-4</c:v>
                </c:pt>
                <c:pt idx="415">
                  <c:v>1.5692563406553169E-4</c:v>
                </c:pt>
                <c:pt idx="416">
                  <c:v>1.4265712513176652E-4</c:v>
                </c:pt>
                <c:pt idx="417">
                  <c:v>1.2961130690625344E-4</c:v>
                </c:pt>
                <c:pt idx="418">
                  <c:v>1.1769070330224524E-4</c:v>
                </c:pt>
                <c:pt idx="419">
                  <c:v>1.0680492340481733E-4</c:v>
                </c:pt>
                <c:pt idx="420">
                  <c:v>9.687020839871926E-5</c:v>
                </c:pt>
                <c:pt idx="421">
                  <c:v>8.7809002079063768E-5</c:v>
                </c:pt>
                <c:pt idx="422">
                  <c:v>7.9549544177881284E-5</c:v>
                </c:pt>
                <c:pt idx="423">
                  <c:v>7.2025485723040892E-5</c:v>
                </c:pt>
                <c:pt idx="424">
                  <c:v>6.5175525634586447E-5</c:v>
                </c:pt>
                <c:pt idx="425">
                  <c:v>5.8943067756539645E-5</c:v>
                </c:pt>
                <c:pt idx="426">
                  <c:v>5.3275897519493968E-5</c:v>
                </c:pt>
                <c:pt idx="427">
                  <c:v>4.8125877430297145E-5</c:v>
                </c:pt>
                <c:pt idx="428">
                  <c:v>4.3448660589589352E-5</c:v>
                </c:pt>
                <c:pt idx="429">
                  <c:v>3.9203421445463147E-5</c:v>
                </c:pt>
                <c:pt idx="430">
                  <c:v>3.5352603001773097E-5</c:v>
                </c:pt>
                <c:pt idx="431">
                  <c:v>3.1861679712324632E-5</c:v>
                </c:pt>
                <c:pt idx="432">
                  <c:v>2.8698935306977618E-5</c:v>
                </c:pt>
                <c:pt idx="433">
                  <c:v>2.5835254812390093E-5</c:v>
                </c:pt>
                <c:pt idx="434">
                  <c:v>2.3243930048373714E-5</c:v>
                </c:pt>
                <c:pt idx="435">
                  <c:v>2.0900477900450482E-5</c:v>
                </c:pt>
                <c:pt idx="436">
                  <c:v>1.8782470689901945E-5</c:v>
                </c:pt>
                <c:pt idx="437">
                  <c:v>1.6869377984230626E-5</c:v>
                </c:pt>
                <c:pt idx="438">
                  <c:v>1.5142419213261371E-5</c:v>
                </c:pt>
                <c:pt idx="439">
                  <c:v>1.3584426478963919E-5</c:v>
                </c:pt>
                <c:pt idx="440">
                  <c:v>1.2179716970268655E-5</c:v>
                </c:pt>
                <c:pt idx="441">
                  <c:v>1.0913974417565564E-5</c:v>
                </c:pt>
                <c:pt idx="442">
                  <c:v>9.7741390450493509E-6</c:v>
                </c:pt>
                <c:pt idx="443">
                  <c:v>8.7483055025099134E-6</c:v>
                </c:pt>
                <c:pt idx="444">
                  <c:v>7.8256282814302102E-6</c:v>
                </c:pt>
                <c:pt idx="445">
                  <c:v>6.996234143270405E-6</c:v>
                </c:pt>
                <c:pt idx="446">
                  <c:v>6.2511411104785215E-6</c:v>
                </c:pt>
                <c:pt idx="447">
                  <c:v>5.5821835930201659E-6</c:v>
                </c:pt>
                <c:pt idx="448">
                  <c:v>4.9819432449787756E-6</c:v>
                </c:pt>
                <c:pt idx="449">
                  <c:v>4.443685167005601E-6</c:v>
                </c:pt>
                <c:pt idx="450">
                  <c:v>3.9612990910320609E-6</c:v>
                </c:pt>
                <c:pt idx="451">
                  <c:v>3.5292452036728565E-6</c:v>
                </c:pt>
                <c:pt idx="452">
                  <c:v>3.1425042841019365E-6</c:v>
                </c:pt>
                <c:pt idx="453">
                  <c:v>2.7965318508624735E-6</c:v>
                </c:pt>
                <c:pt idx="454">
                  <c:v>2.4872160300486709E-6</c:v>
                </c:pt>
                <c:pt idx="455">
                  <c:v>2.2108388745684212E-6</c:v>
                </c:pt>
                <c:pt idx="456">
                  <c:v>1.9640408807463227E-6</c:v>
                </c:pt>
                <c:pt idx="457">
                  <c:v>1.7437884643617589E-6</c:v>
                </c:pt>
                <c:pt idx="458">
                  <c:v>1.5473441733317354E-6</c:v>
                </c:pt>
                <c:pt idx="459">
                  <c:v>1.3722394286545041E-6</c:v>
                </c:pt>
                <c:pt idx="460">
                  <c:v>1.2162495989313138E-6</c:v>
                </c:pt>
                <c:pt idx="461">
                  <c:v>1.0773712267960586E-6</c:v>
                </c:pt>
                <c:pt idx="462">
                  <c:v>9.5380123791646786E-7</c:v>
                </c:pt>
                <c:pt idx="463">
                  <c:v>8.4391797490514879E-7</c:v>
                </c:pt>
                <c:pt idx="464">
                  <c:v>7.4626390950944014E-7</c:v>
                </c:pt>
                <c:pt idx="465">
                  <c:v>6.5952989685752167E-7</c:v>
                </c:pt>
                <c:pt idx="466">
                  <c:v>5.8254084534282999E-7</c:v>
                </c:pt>
                <c:pt idx="467">
                  <c:v>5.1424268495308647E-7</c:v>
                </c:pt>
                <c:pt idx="468">
                  <c:v>4.536905255144105E-7</c:v>
                </c:pt>
                <c:pt idx="469">
                  <c:v>4.0003790444932249E-7</c:v>
                </c:pt>
                <c:pt idx="470">
                  <c:v>3.5252703126140567E-7</c:v>
                </c:pt>
                <c:pt idx="471">
                  <c:v>3.104799430831489E-7</c:v>
                </c:pt>
                <c:pt idx="472">
                  <c:v>2.7329049227913364E-7</c:v>
                </c:pt>
                <c:pt idx="473">
                  <c:v>2.4041709330746573E-7</c:v>
                </c:pt>
                <c:pt idx="474">
                  <c:v>2.1137616183074136E-7</c:v>
                </c:pt>
                <c:pt idx="475">
                  <c:v>1.8573618445552897E-7</c:v>
                </c:pt>
                <c:pt idx="476">
                  <c:v>1.6311236248861543E-7</c:v>
                </c:pt>
                <c:pt idx="477">
                  <c:v>1.4316177774957213E-7</c:v>
                </c:pt>
                <c:pt idx="478">
                  <c:v>1.2557903279356918E-7</c:v>
                </c:pt>
                <c:pt idx="479">
                  <c:v>1.1009232189518106E-7</c:v>
                </c:pt>
                <c:pt idx="480">
                  <c:v>9.6459892842733842E-8</c:v>
                </c:pt>
                <c:pt idx="481">
                  <c:v>8.4466863011587931E-8</c:v>
                </c:pt>
                <c:pt idx="482">
                  <c:v>7.3922356341658018E-8</c:v>
                </c:pt>
                <c:pt idx="483">
                  <c:v>6.4656930756044859E-8</c:v>
                </c:pt>
                <c:pt idx="484">
                  <c:v>5.6520268240340859E-8</c:v>
                </c:pt>
                <c:pt idx="485">
                  <c:v>4.9379102271104225E-8</c:v>
                </c:pt>
                <c:pt idx="486">
                  <c:v>4.3115359552033492E-8</c:v>
                </c:pt>
                <c:pt idx="487">
                  <c:v>3.7624495101197867E-8</c:v>
                </c:pt>
                <c:pt idx="488">
                  <c:v>3.2814001645590985E-8</c:v>
                </c:pt>
                <c:pt idx="489">
                  <c:v>2.8602076032539976E-8</c:v>
                </c:pt>
                <c:pt idx="490">
                  <c:v>2.4916426972950989E-8</c:v>
                </c:pt>
                <c:pt idx="491">
                  <c:v>2.1693209899897903E-8</c:v>
                </c:pt>
                <c:pt idx="492">
                  <c:v>1.8876076068122808E-8</c:v>
                </c:pt>
                <c:pt idx="493">
                  <c:v>1.6415324245220292E-8</c:v>
                </c:pt>
                <c:pt idx="494">
                  <c:v>1.4267144462795874E-8</c:v>
                </c:pt>
                <c:pt idx="495">
                  <c:v>1.239294431415004E-8</c:v>
                </c:pt>
                <c:pt idx="496">
                  <c:v>1.0758749212031231E-8</c:v>
                </c:pt>
                <c:pt idx="497">
                  <c:v>9.3346688630663104E-9</c:v>
                </c:pt>
                <c:pt idx="498">
                  <c:v>8.094422981541427E-9</c:v>
                </c:pt>
                <c:pt idx="499">
                  <c:v>7.0149199606205826E-9</c:v>
                </c:pt>
                <c:pt idx="500">
                  <c:v>6.0758828498232861E-9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60096"/>
        <c:axId val="43778816"/>
      </c:scatterChart>
      <c:valAx>
        <c:axId val="41860096"/>
        <c:scaling>
          <c:orientation val="minMax"/>
          <c:max val="6"/>
          <c:min val="-6"/>
        </c:scaling>
        <c:delete val="0"/>
        <c:axPos val="b"/>
        <c:numFmt formatCode="0.00" sourceLinked="1"/>
        <c:majorTickMark val="out"/>
        <c:minorTickMark val="out"/>
        <c:tickLblPos val="nextTo"/>
        <c:crossAx val="43778816"/>
        <c:crosses val="autoZero"/>
        <c:crossBetween val="midCat"/>
        <c:majorUnit val="1"/>
        <c:minorUnit val="0.2"/>
      </c:valAx>
      <c:valAx>
        <c:axId val="43778816"/>
        <c:scaling>
          <c:orientation val="minMax"/>
          <c:max val="0.5"/>
          <c:min val="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41860096"/>
        <c:crossesAt val="4"/>
        <c:crossBetween val="midCat"/>
      </c:valAx>
      <c:valAx>
        <c:axId val="43780352"/>
        <c:scaling>
          <c:orientation val="minMax"/>
          <c:max val="0.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49614848"/>
        <c:crossesAt val="1"/>
        <c:crossBetween val="midCat"/>
      </c:valAx>
      <c:catAx>
        <c:axId val="4961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780352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'Fig 2 - 1-sample t test'!$F$100:$F$600</c:f>
              <c:numCache>
                <c:formatCode>General</c:formatCode>
                <c:ptCount val="501"/>
                <c:pt idx="0">
                  <c:v>-6</c:v>
                </c:pt>
                <c:pt idx="1">
                  <c:v>-5.976</c:v>
                </c:pt>
                <c:pt idx="2">
                  <c:v>-5.952</c:v>
                </c:pt>
                <c:pt idx="3">
                  <c:v>-5.9279999999999999</c:v>
                </c:pt>
                <c:pt idx="4">
                  <c:v>-5.9039999999999999</c:v>
                </c:pt>
                <c:pt idx="5">
                  <c:v>-5.88</c:v>
                </c:pt>
                <c:pt idx="6">
                  <c:v>-5.8559999999999999</c:v>
                </c:pt>
                <c:pt idx="7">
                  <c:v>-5.8319999999999999</c:v>
                </c:pt>
                <c:pt idx="8">
                  <c:v>-5.8079999999999998</c:v>
                </c:pt>
                <c:pt idx="9">
                  <c:v>-5.7839999999999998</c:v>
                </c:pt>
                <c:pt idx="10">
                  <c:v>-5.76</c:v>
                </c:pt>
                <c:pt idx="11">
                  <c:v>-5.7359999999999998</c:v>
                </c:pt>
                <c:pt idx="12">
                  <c:v>-5.7119999999999997</c:v>
                </c:pt>
                <c:pt idx="13">
                  <c:v>-5.6879999999999997</c:v>
                </c:pt>
                <c:pt idx="14">
                  <c:v>-5.6639999999999997</c:v>
                </c:pt>
                <c:pt idx="15">
                  <c:v>-5.64</c:v>
                </c:pt>
                <c:pt idx="16">
                  <c:v>-5.6159999999999997</c:v>
                </c:pt>
                <c:pt idx="17">
                  <c:v>-5.5919999999999996</c:v>
                </c:pt>
                <c:pt idx="18">
                  <c:v>-5.5679999999999996</c:v>
                </c:pt>
                <c:pt idx="19">
                  <c:v>-5.5439999999999996</c:v>
                </c:pt>
                <c:pt idx="20">
                  <c:v>-5.52</c:v>
                </c:pt>
                <c:pt idx="21">
                  <c:v>-5.4960000000000004</c:v>
                </c:pt>
                <c:pt idx="22">
                  <c:v>-5.4719999999999995</c:v>
                </c:pt>
                <c:pt idx="23">
                  <c:v>-5.4480000000000004</c:v>
                </c:pt>
                <c:pt idx="24">
                  <c:v>-5.4239999999999995</c:v>
                </c:pt>
                <c:pt idx="25">
                  <c:v>-5.4</c:v>
                </c:pt>
                <c:pt idx="26">
                  <c:v>-5.3760000000000003</c:v>
                </c:pt>
                <c:pt idx="27">
                  <c:v>-5.3520000000000003</c:v>
                </c:pt>
                <c:pt idx="28">
                  <c:v>-5.3280000000000003</c:v>
                </c:pt>
                <c:pt idx="29">
                  <c:v>-5.3040000000000003</c:v>
                </c:pt>
                <c:pt idx="30">
                  <c:v>-5.28</c:v>
                </c:pt>
                <c:pt idx="31">
                  <c:v>-5.2560000000000002</c:v>
                </c:pt>
                <c:pt idx="32">
                  <c:v>-5.2320000000000002</c:v>
                </c:pt>
                <c:pt idx="33">
                  <c:v>-5.2080000000000002</c:v>
                </c:pt>
                <c:pt idx="34">
                  <c:v>-5.1840000000000002</c:v>
                </c:pt>
                <c:pt idx="35">
                  <c:v>-5.16</c:v>
                </c:pt>
                <c:pt idx="36">
                  <c:v>-5.1360000000000001</c:v>
                </c:pt>
                <c:pt idx="37">
                  <c:v>-5.1120000000000001</c:v>
                </c:pt>
                <c:pt idx="38">
                  <c:v>-5.0880000000000001</c:v>
                </c:pt>
                <c:pt idx="39">
                  <c:v>-5.0640000000000001</c:v>
                </c:pt>
                <c:pt idx="40">
                  <c:v>-5.04</c:v>
                </c:pt>
                <c:pt idx="41">
                  <c:v>-5.016</c:v>
                </c:pt>
                <c:pt idx="42">
                  <c:v>-4.992</c:v>
                </c:pt>
                <c:pt idx="43">
                  <c:v>-4.968</c:v>
                </c:pt>
                <c:pt idx="44">
                  <c:v>-4.944</c:v>
                </c:pt>
                <c:pt idx="45">
                  <c:v>-4.92</c:v>
                </c:pt>
                <c:pt idx="46">
                  <c:v>-4.8959999999999999</c:v>
                </c:pt>
                <c:pt idx="47">
                  <c:v>-4.8719999999999999</c:v>
                </c:pt>
                <c:pt idx="48">
                  <c:v>-4.8479999999999999</c:v>
                </c:pt>
                <c:pt idx="49">
                  <c:v>-4.8239999999999998</c:v>
                </c:pt>
                <c:pt idx="50">
                  <c:v>-4.8</c:v>
                </c:pt>
                <c:pt idx="51">
                  <c:v>-4.7759999999999998</c:v>
                </c:pt>
                <c:pt idx="52">
                  <c:v>-4.7519999999999998</c:v>
                </c:pt>
                <c:pt idx="53">
                  <c:v>-4.7279999999999998</c:v>
                </c:pt>
                <c:pt idx="54">
                  <c:v>-4.7039999999999997</c:v>
                </c:pt>
                <c:pt idx="55">
                  <c:v>-4.68</c:v>
                </c:pt>
                <c:pt idx="56">
                  <c:v>-4.6559999999999997</c:v>
                </c:pt>
                <c:pt idx="57">
                  <c:v>-4.6319999999999997</c:v>
                </c:pt>
                <c:pt idx="58">
                  <c:v>-4.6079999999999997</c:v>
                </c:pt>
                <c:pt idx="59">
                  <c:v>-4.5839999999999996</c:v>
                </c:pt>
                <c:pt idx="60">
                  <c:v>-4.5600000000000005</c:v>
                </c:pt>
                <c:pt idx="61">
                  <c:v>-4.5359999999999996</c:v>
                </c:pt>
                <c:pt idx="62">
                  <c:v>-4.5120000000000005</c:v>
                </c:pt>
                <c:pt idx="63">
                  <c:v>-4.4879999999999995</c:v>
                </c:pt>
                <c:pt idx="64">
                  <c:v>-4.4640000000000004</c:v>
                </c:pt>
                <c:pt idx="65">
                  <c:v>-4.4399999999999995</c:v>
                </c:pt>
                <c:pt idx="66">
                  <c:v>-4.4160000000000004</c:v>
                </c:pt>
                <c:pt idx="67">
                  <c:v>-4.3919999999999995</c:v>
                </c:pt>
                <c:pt idx="68">
                  <c:v>-4.3680000000000003</c:v>
                </c:pt>
                <c:pt idx="69">
                  <c:v>-4.3439999999999994</c:v>
                </c:pt>
                <c:pt idx="70">
                  <c:v>-4.32</c:v>
                </c:pt>
                <c:pt idx="71">
                  <c:v>-4.2960000000000003</c:v>
                </c:pt>
                <c:pt idx="72">
                  <c:v>-4.2720000000000002</c:v>
                </c:pt>
                <c:pt idx="73">
                  <c:v>-4.2480000000000002</c:v>
                </c:pt>
                <c:pt idx="74">
                  <c:v>-4.2240000000000002</c:v>
                </c:pt>
                <c:pt idx="75">
                  <c:v>-4.2</c:v>
                </c:pt>
                <c:pt idx="76">
                  <c:v>-4.1760000000000002</c:v>
                </c:pt>
                <c:pt idx="77">
                  <c:v>-4.1520000000000001</c:v>
                </c:pt>
                <c:pt idx="78">
                  <c:v>-4.1280000000000001</c:v>
                </c:pt>
                <c:pt idx="79">
                  <c:v>-4.1040000000000001</c:v>
                </c:pt>
                <c:pt idx="80">
                  <c:v>-4.08</c:v>
                </c:pt>
                <c:pt idx="81">
                  <c:v>-4.056</c:v>
                </c:pt>
                <c:pt idx="82">
                  <c:v>-4.032</c:v>
                </c:pt>
                <c:pt idx="83">
                  <c:v>-4.008</c:v>
                </c:pt>
                <c:pt idx="84">
                  <c:v>-3.984</c:v>
                </c:pt>
                <c:pt idx="85">
                  <c:v>-3.96</c:v>
                </c:pt>
                <c:pt idx="86">
                  <c:v>-3.9359999999999999</c:v>
                </c:pt>
                <c:pt idx="87">
                  <c:v>-3.9119999999999999</c:v>
                </c:pt>
                <c:pt idx="88">
                  <c:v>-3.8879999999999999</c:v>
                </c:pt>
                <c:pt idx="89">
                  <c:v>-3.8639999999999999</c:v>
                </c:pt>
                <c:pt idx="90">
                  <c:v>-3.84</c:v>
                </c:pt>
                <c:pt idx="91">
                  <c:v>-3.8159999999999998</c:v>
                </c:pt>
                <c:pt idx="92">
                  <c:v>-3.7919999999999998</c:v>
                </c:pt>
                <c:pt idx="93">
                  <c:v>-3.7679999999999998</c:v>
                </c:pt>
                <c:pt idx="94">
                  <c:v>-3.7439999999999998</c:v>
                </c:pt>
                <c:pt idx="95">
                  <c:v>-3.7199999999999998</c:v>
                </c:pt>
                <c:pt idx="96">
                  <c:v>-3.6959999999999997</c:v>
                </c:pt>
                <c:pt idx="97">
                  <c:v>-3.6720000000000002</c:v>
                </c:pt>
                <c:pt idx="98">
                  <c:v>-3.6480000000000001</c:v>
                </c:pt>
                <c:pt idx="99">
                  <c:v>-3.6240000000000001</c:v>
                </c:pt>
                <c:pt idx="100">
                  <c:v>-3.6</c:v>
                </c:pt>
                <c:pt idx="101">
                  <c:v>-3.5760000000000001</c:v>
                </c:pt>
                <c:pt idx="102">
                  <c:v>-3.552</c:v>
                </c:pt>
                <c:pt idx="103">
                  <c:v>-3.528</c:v>
                </c:pt>
                <c:pt idx="104">
                  <c:v>-3.504</c:v>
                </c:pt>
                <c:pt idx="105">
                  <c:v>-3.48</c:v>
                </c:pt>
                <c:pt idx="106">
                  <c:v>-3.456</c:v>
                </c:pt>
                <c:pt idx="107">
                  <c:v>-3.4319999999999999</c:v>
                </c:pt>
                <c:pt idx="108">
                  <c:v>-3.4079999999999999</c:v>
                </c:pt>
                <c:pt idx="109">
                  <c:v>-3.3839999999999999</c:v>
                </c:pt>
                <c:pt idx="110">
                  <c:v>-3.36</c:v>
                </c:pt>
                <c:pt idx="111">
                  <c:v>-3.3359999999999999</c:v>
                </c:pt>
                <c:pt idx="112">
                  <c:v>-3.3119999999999998</c:v>
                </c:pt>
                <c:pt idx="113">
                  <c:v>-3.2879999999999998</c:v>
                </c:pt>
                <c:pt idx="114">
                  <c:v>-3.2639999999999998</c:v>
                </c:pt>
                <c:pt idx="115">
                  <c:v>-3.2399999999999998</c:v>
                </c:pt>
                <c:pt idx="116">
                  <c:v>-3.2159999999999997</c:v>
                </c:pt>
                <c:pt idx="117">
                  <c:v>-3.1919999999999997</c:v>
                </c:pt>
                <c:pt idx="118">
                  <c:v>-3.1680000000000001</c:v>
                </c:pt>
                <c:pt idx="119">
                  <c:v>-3.1440000000000001</c:v>
                </c:pt>
                <c:pt idx="120">
                  <c:v>-3.12</c:v>
                </c:pt>
                <c:pt idx="121">
                  <c:v>-3.0960000000000001</c:v>
                </c:pt>
                <c:pt idx="122">
                  <c:v>-3.0720000000000001</c:v>
                </c:pt>
                <c:pt idx="123">
                  <c:v>-3.048</c:v>
                </c:pt>
                <c:pt idx="124">
                  <c:v>-3.024</c:v>
                </c:pt>
                <c:pt idx="125">
                  <c:v>-3</c:v>
                </c:pt>
                <c:pt idx="126">
                  <c:v>-2.976</c:v>
                </c:pt>
                <c:pt idx="127">
                  <c:v>-2.952</c:v>
                </c:pt>
                <c:pt idx="128">
                  <c:v>-2.9279999999999999</c:v>
                </c:pt>
                <c:pt idx="129">
                  <c:v>-2.9039999999999999</c:v>
                </c:pt>
                <c:pt idx="130">
                  <c:v>-2.88</c:v>
                </c:pt>
                <c:pt idx="131">
                  <c:v>-2.8559999999999999</c:v>
                </c:pt>
                <c:pt idx="132">
                  <c:v>-2.8319999999999999</c:v>
                </c:pt>
                <c:pt idx="133">
                  <c:v>-2.8079999999999998</c:v>
                </c:pt>
                <c:pt idx="134">
                  <c:v>-2.7839999999999998</c:v>
                </c:pt>
                <c:pt idx="135">
                  <c:v>-2.76</c:v>
                </c:pt>
                <c:pt idx="136">
                  <c:v>-2.7359999999999998</c:v>
                </c:pt>
                <c:pt idx="137">
                  <c:v>-2.7119999999999997</c:v>
                </c:pt>
                <c:pt idx="138">
                  <c:v>-2.6879999999999997</c:v>
                </c:pt>
                <c:pt idx="139">
                  <c:v>-2.6640000000000001</c:v>
                </c:pt>
                <c:pt idx="140">
                  <c:v>-2.64</c:v>
                </c:pt>
                <c:pt idx="141">
                  <c:v>-2.6160000000000001</c:v>
                </c:pt>
                <c:pt idx="142">
                  <c:v>-2.5920000000000001</c:v>
                </c:pt>
                <c:pt idx="143">
                  <c:v>-2.5680000000000001</c:v>
                </c:pt>
                <c:pt idx="144">
                  <c:v>-2.544</c:v>
                </c:pt>
                <c:pt idx="145">
                  <c:v>-2.52</c:v>
                </c:pt>
                <c:pt idx="146">
                  <c:v>-2.496</c:v>
                </c:pt>
                <c:pt idx="147">
                  <c:v>-2.472</c:v>
                </c:pt>
                <c:pt idx="148">
                  <c:v>-2.448</c:v>
                </c:pt>
                <c:pt idx="149">
                  <c:v>-2.4239999999999999</c:v>
                </c:pt>
                <c:pt idx="150">
                  <c:v>-2.4</c:v>
                </c:pt>
                <c:pt idx="151">
                  <c:v>-2.3759999999999999</c:v>
                </c:pt>
                <c:pt idx="152">
                  <c:v>-2.3519999999999999</c:v>
                </c:pt>
                <c:pt idx="153">
                  <c:v>-2.3279999999999998</c:v>
                </c:pt>
                <c:pt idx="154">
                  <c:v>-2.3039999999999998</c:v>
                </c:pt>
                <c:pt idx="155">
                  <c:v>-2.2799999999999998</c:v>
                </c:pt>
                <c:pt idx="156">
                  <c:v>-2.2559999999999998</c:v>
                </c:pt>
                <c:pt idx="157">
                  <c:v>-2.2319999999999998</c:v>
                </c:pt>
                <c:pt idx="158">
                  <c:v>-2.2079999999999997</c:v>
                </c:pt>
                <c:pt idx="159">
                  <c:v>-2.1839999999999997</c:v>
                </c:pt>
                <c:pt idx="160">
                  <c:v>-2.16</c:v>
                </c:pt>
                <c:pt idx="161">
                  <c:v>-2.1360000000000001</c:v>
                </c:pt>
                <c:pt idx="162">
                  <c:v>-2.1120000000000001</c:v>
                </c:pt>
                <c:pt idx="163">
                  <c:v>-2.0880000000000001</c:v>
                </c:pt>
                <c:pt idx="164">
                  <c:v>-2.0640000000000001</c:v>
                </c:pt>
                <c:pt idx="165">
                  <c:v>-2.04</c:v>
                </c:pt>
                <c:pt idx="166">
                  <c:v>-2.016</c:v>
                </c:pt>
                <c:pt idx="167">
                  <c:v>-1.992</c:v>
                </c:pt>
                <c:pt idx="168">
                  <c:v>-1.968</c:v>
                </c:pt>
                <c:pt idx="169">
                  <c:v>-1.944</c:v>
                </c:pt>
                <c:pt idx="170">
                  <c:v>-1.92</c:v>
                </c:pt>
                <c:pt idx="171">
                  <c:v>-1.8959999999999999</c:v>
                </c:pt>
                <c:pt idx="172">
                  <c:v>-1.8719999999999999</c:v>
                </c:pt>
                <c:pt idx="173">
                  <c:v>-1.8479999999999999</c:v>
                </c:pt>
                <c:pt idx="174">
                  <c:v>-1.8239999999999998</c:v>
                </c:pt>
                <c:pt idx="175">
                  <c:v>-1.7999999999999998</c:v>
                </c:pt>
                <c:pt idx="176">
                  <c:v>-1.7759999999999998</c:v>
                </c:pt>
                <c:pt idx="177">
                  <c:v>-1.7519999999999998</c:v>
                </c:pt>
                <c:pt idx="178">
                  <c:v>-1.7279999999999998</c:v>
                </c:pt>
                <c:pt idx="179">
                  <c:v>-1.7039999999999997</c:v>
                </c:pt>
                <c:pt idx="180">
                  <c:v>-1.6799999999999997</c:v>
                </c:pt>
                <c:pt idx="181">
                  <c:v>-1.6559999999999997</c:v>
                </c:pt>
                <c:pt idx="182">
                  <c:v>-1.6319999999999997</c:v>
                </c:pt>
                <c:pt idx="183">
                  <c:v>-1.6079999999999997</c:v>
                </c:pt>
                <c:pt idx="184">
                  <c:v>-1.5839999999999996</c:v>
                </c:pt>
                <c:pt idx="185">
                  <c:v>-1.5599999999999996</c:v>
                </c:pt>
                <c:pt idx="186">
                  <c:v>-1.5359999999999996</c:v>
                </c:pt>
                <c:pt idx="187">
                  <c:v>-1.5119999999999996</c:v>
                </c:pt>
                <c:pt idx="188">
                  <c:v>-1.4879999999999995</c:v>
                </c:pt>
                <c:pt idx="189">
                  <c:v>-1.4639999999999995</c:v>
                </c:pt>
                <c:pt idx="190">
                  <c:v>-1.4399999999999995</c:v>
                </c:pt>
                <c:pt idx="191">
                  <c:v>-1.4159999999999995</c:v>
                </c:pt>
                <c:pt idx="192">
                  <c:v>-1.3919999999999995</c:v>
                </c:pt>
                <c:pt idx="193">
                  <c:v>-1.3680000000000003</c:v>
                </c:pt>
                <c:pt idx="194">
                  <c:v>-1.3440000000000003</c:v>
                </c:pt>
                <c:pt idx="195">
                  <c:v>-1.3200000000000003</c:v>
                </c:pt>
                <c:pt idx="196">
                  <c:v>-1.2960000000000003</c:v>
                </c:pt>
                <c:pt idx="197">
                  <c:v>-1.2720000000000002</c:v>
                </c:pt>
                <c:pt idx="198">
                  <c:v>-1.2480000000000002</c:v>
                </c:pt>
                <c:pt idx="199">
                  <c:v>-1.2240000000000002</c:v>
                </c:pt>
                <c:pt idx="200">
                  <c:v>-1.2000000000000002</c:v>
                </c:pt>
                <c:pt idx="201">
                  <c:v>-1.1760000000000002</c:v>
                </c:pt>
                <c:pt idx="202">
                  <c:v>-1.1520000000000001</c:v>
                </c:pt>
                <c:pt idx="203">
                  <c:v>-1.1280000000000001</c:v>
                </c:pt>
                <c:pt idx="204">
                  <c:v>-1.1040000000000001</c:v>
                </c:pt>
                <c:pt idx="205">
                  <c:v>-1.08</c:v>
                </c:pt>
                <c:pt idx="206">
                  <c:v>-1.056</c:v>
                </c:pt>
                <c:pt idx="207">
                  <c:v>-1.032</c:v>
                </c:pt>
                <c:pt idx="208">
                  <c:v>-1.008</c:v>
                </c:pt>
                <c:pt idx="209">
                  <c:v>-0.98399999999999999</c:v>
                </c:pt>
                <c:pt idx="210">
                  <c:v>-0.96</c:v>
                </c:pt>
                <c:pt idx="211">
                  <c:v>-0.93599999999999994</c:v>
                </c:pt>
                <c:pt idx="212">
                  <c:v>-0.91199999999999992</c:v>
                </c:pt>
                <c:pt idx="213">
                  <c:v>-0.8879999999999999</c:v>
                </c:pt>
                <c:pt idx="214">
                  <c:v>-0.86399999999999988</c:v>
                </c:pt>
                <c:pt idx="215">
                  <c:v>-0.83999999999999986</c:v>
                </c:pt>
                <c:pt idx="216">
                  <c:v>-0.81599999999999984</c:v>
                </c:pt>
                <c:pt idx="217">
                  <c:v>-0.79199999999999982</c:v>
                </c:pt>
                <c:pt idx="218">
                  <c:v>-0.76799999999999979</c:v>
                </c:pt>
                <c:pt idx="219">
                  <c:v>-0.74399999999999977</c:v>
                </c:pt>
                <c:pt idx="220">
                  <c:v>-0.71999999999999975</c:v>
                </c:pt>
                <c:pt idx="221">
                  <c:v>-0.69599999999999973</c:v>
                </c:pt>
                <c:pt idx="222">
                  <c:v>-0.67199999999999971</c:v>
                </c:pt>
                <c:pt idx="223">
                  <c:v>-0.64799999999999969</c:v>
                </c:pt>
                <c:pt idx="224">
                  <c:v>-0.62399999999999967</c:v>
                </c:pt>
                <c:pt idx="225">
                  <c:v>-0.59999999999999964</c:v>
                </c:pt>
                <c:pt idx="226">
                  <c:v>-0.57599999999999962</c:v>
                </c:pt>
                <c:pt idx="227">
                  <c:v>-0.5519999999999996</c:v>
                </c:pt>
                <c:pt idx="228">
                  <c:v>-0.52799999999999958</c:v>
                </c:pt>
                <c:pt idx="229">
                  <c:v>-0.50399999999999956</c:v>
                </c:pt>
                <c:pt idx="230">
                  <c:v>-0.47999999999999954</c:v>
                </c:pt>
                <c:pt idx="231">
                  <c:v>-0.45599999999999952</c:v>
                </c:pt>
                <c:pt idx="232">
                  <c:v>-0.4319999999999995</c:v>
                </c:pt>
                <c:pt idx="233">
                  <c:v>-0.40799999999999947</c:v>
                </c:pt>
                <c:pt idx="234">
                  <c:v>-0.38399999999999945</c:v>
                </c:pt>
                <c:pt idx="235">
                  <c:v>-0.36000000000000032</c:v>
                </c:pt>
                <c:pt idx="236">
                  <c:v>-0.3360000000000003</c:v>
                </c:pt>
                <c:pt idx="237">
                  <c:v>-0.31200000000000028</c:v>
                </c:pt>
                <c:pt idx="238">
                  <c:v>-0.28800000000000026</c:v>
                </c:pt>
                <c:pt idx="239">
                  <c:v>-0.26400000000000023</c:v>
                </c:pt>
                <c:pt idx="240">
                  <c:v>-0.24000000000000021</c:v>
                </c:pt>
                <c:pt idx="241">
                  <c:v>-0.21600000000000019</c:v>
                </c:pt>
                <c:pt idx="242">
                  <c:v>-0.19200000000000017</c:v>
                </c:pt>
                <c:pt idx="243">
                  <c:v>-0.16800000000000015</c:v>
                </c:pt>
                <c:pt idx="244">
                  <c:v>-0.14400000000000013</c:v>
                </c:pt>
                <c:pt idx="245">
                  <c:v>-0.12000000000000011</c:v>
                </c:pt>
                <c:pt idx="246">
                  <c:v>-9.6000000000000085E-2</c:v>
                </c:pt>
                <c:pt idx="247">
                  <c:v>-7.2000000000000064E-2</c:v>
                </c:pt>
                <c:pt idx="248">
                  <c:v>-4.8000000000000043E-2</c:v>
                </c:pt>
                <c:pt idx="249">
                  <c:v>-2.4000000000000021E-2</c:v>
                </c:pt>
                <c:pt idx="250">
                  <c:v>0</c:v>
                </c:pt>
                <c:pt idx="251">
                  <c:v>2.4000000000000021E-2</c:v>
                </c:pt>
                <c:pt idx="252">
                  <c:v>4.8000000000000043E-2</c:v>
                </c:pt>
                <c:pt idx="253">
                  <c:v>7.2000000000000064E-2</c:v>
                </c:pt>
                <c:pt idx="254">
                  <c:v>9.6000000000000085E-2</c:v>
                </c:pt>
                <c:pt idx="255">
                  <c:v>0.12000000000000011</c:v>
                </c:pt>
                <c:pt idx="256">
                  <c:v>0.14400000000000013</c:v>
                </c:pt>
                <c:pt idx="257">
                  <c:v>0.16800000000000015</c:v>
                </c:pt>
                <c:pt idx="258">
                  <c:v>0.19200000000000017</c:v>
                </c:pt>
                <c:pt idx="259">
                  <c:v>0.21600000000000019</c:v>
                </c:pt>
                <c:pt idx="260">
                  <c:v>0.24000000000000021</c:v>
                </c:pt>
                <c:pt idx="261">
                  <c:v>0.26400000000000023</c:v>
                </c:pt>
                <c:pt idx="262">
                  <c:v>0.28800000000000026</c:v>
                </c:pt>
                <c:pt idx="263">
                  <c:v>0.31200000000000028</c:v>
                </c:pt>
                <c:pt idx="264">
                  <c:v>0.3360000000000003</c:v>
                </c:pt>
                <c:pt idx="265">
                  <c:v>0.36000000000000032</c:v>
                </c:pt>
                <c:pt idx="266">
                  <c:v>0.38400000000000034</c:v>
                </c:pt>
                <c:pt idx="267">
                  <c:v>0.40800000000000036</c:v>
                </c:pt>
                <c:pt idx="268">
                  <c:v>0.43200000000000038</c:v>
                </c:pt>
                <c:pt idx="269">
                  <c:v>0.45600000000000041</c:v>
                </c:pt>
                <c:pt idx="270">
                  <c:v>0.48000000000000043</c:v>
                </c:pt>
                <c:pt idx="271">
                  <c:v>0.50400000000000045</c:v>
                </c:pt>
                <c:pt idx="272">
                  <c:v>0.52800000000000047</c:v>
                </c:pt>
                <c:pt idx="273">
                  <c:v>0.55200000000000049</c:v>
                </c:pt>
                <c:pt idx="274">
                  <c:v>0.57600000000000051</c:v>
                </c:pt>
                <c:pt idx="275">
                  <c:v>0.60000000000000053</c:v>
                </c:pt>
                <c:pt idx="276">
                  <c:v>0.62400000000000055</c:v>
                </c:pt>
                <c:pt idx="277">
                  <c:v>0.64800000000000058</c:v>
                </c:pt>
                <c:pt idx="278">
                  <c:v>0.67199999999999971</c:v>
                </c:pt>
                <c:pt idx="279">
                  <c:v>0.69599999999999973</c:v>
                </c:pt>
                <c:pt idx="280">
                  <c:v>0.71999999999999975</c:v>
                </c:pt>
                <c:pt idx="281">
                  <c:v>0.74399999999999977</c:v>
                </c:pt>
                <c:pt idx="282">
                  <c:v>0.76799999999999979</c:v>
                </c:pt>
                <c:pt idx="283">
                  <c:v>0.79199999999999982</c:v>
                </c:pt>
                <c:pt idx="284">
                  <c:v>0.81599999999999984</c:v>
                </c:pt>
                <c:pt idx="285">
                  <c:v>0.83999999999999986</c:v>
                </c:pt>
                <c:pt idx="286">
                  <c:v>0.86399999999999988</c:v>
                </c:pt>
                <c:pt idx="287">
                  <c:v>0.8879999999999999</c:v>
                </c:pt>
                <c:pt idx="288">
                  <c:v>0.91199999999999992</c:v>
                </c:pt>
                <c:pt idx="289">
                  <c:v>0.93599999999999994</c:v>
                </c:pt>
                <c:pt idx="290">
                  <c:v>0.96</c:v>
                </c:pt>
                <c:pt idx="291">
                  <c:v>0.98399999999999999</c:v>
                </c:pt>
                <c:pt idx="292">
                  <c:v>1.008</c:v>
                </c:pt>
                <c:pt idx="293">
                  <c:v>1.032</c:v>
                </c:pt>
                <c:pt idx="294">
                  <c:v>1.056</c:v>
                </c:pt>
                <c:pt idx="295">
                  <c:v>1.08</c:v>
                </c:pt>
                <c:pt idx="296">
                  <c:v>1.1040000000000001</c:v>
                </c:pt>
                <c:pt idx="297">
                  <c:v>1.1280000000000001</c:v>
                </c:pt>
                <c:pt idx="298">
                  <c:v>1.1520000000000001</c:v>
                </c:pt>
                <c:pt idx="299">
                  <c:v>1.1760000000000002</c:v>
                </c:pt>
                <c:pt idx="300">
                  <c:v>1.2000000000000002</c:v>
                </c:pt>
                <c:pt idx="301">
                  <c:v>1.2240000000000002</c:v>
                </c:pt>
                <c:pt idx="302">
                  <c:v>1.2480000000000002</c:v>
                </c:pt>
                <c:pt idx="303">
                  <c:v>1.2720000000000002</c:v>
                </c:pt>
                <c:pt idx="304">
                  <c:v>1.2960000000000003</c:v>
                </c:pt>
                <c:pt idx="305">
                  <c:v>1.3200000000000003</c:v>
                </c:pt>
                <c:pt idx="306">
                  <c:v>1.3440000000000003</c:v>
                </c:pt>
                <c:pt idx="307">
                  <c:v>1.3680000000000003</c:v>
                </c:pt>
                <c:pt idx="308">
                  <c:v>1.3920000000000003</c:v>
                </c:pt>
                <c:pt idx="309">
                  <c:v>1.4160000000000004</c:v>
                </c:pt>
                <c:pt idx="310">
                  <c:v>1.4400000000000004</c:v>
                </c:pt>
                <c:pt idx="311">
                  <c:v>1.4640000000000004</c:v>
                </c:pt>
                <c:pt idx="312">
                  <c:v>1.4880000000000004</c:v>
                </c:pt>
                <c:pt idx="313">
                  <c:v>1.5120000000000005</c:v>
                </c:pt>
                <c:pt idx="314">
                  <c:v>1.5360000000000005</c:v>
                </c:pt>
                <c:pt idx="315">
                  <c:v>1.5600000000000005</c:v>
                </c:pt>
                <c:pt idx="316">
                  <c:v>1.5840000000000005</c:v>
                </c:pt>
                <c:pt idx="317">
                  <c:v>1.6080000000000005</c:v>
                </c:pt>
                <c:pt idx="318">
                  <c:v>1.6320000000000006</c:v>
                </c:pt>
                <c:pt idx="319">
                  <c:v>1.6560000000000006</c:v>
                </c:pt>
                <c:pt idx="320">
                  <c:v>1.6799999999999997</c:v>
                </c:pt>
                <c:pt idx="321">
                  <c:v>1.7039999999999997</c:v>
                </c:pt>
                <c:pt idx="322">
                  <c:v>1.7279999999999998</c:v>
                </c:pt>
                <c:pt idx="323">
                  <c:v>1.7519999999999998</c:v>
                </c:pt>
                <c:pt idx="324">
                  <c:v>1.7759999999999998</c:v>
                </c:pt>
                <c:pt idx="325">
                  <c:v>1.7999999999999998</c:v>
                </c:pt>
                <c:pt idx="326">
                  <c:v>1.8239999999999998</c:v>
                </c:pt>
                <c:pt idx="327">
                  <c:v>1.8479999999999999</c:v>
                </c:pt>
                <c:pt idx="328">
                  <c:v>1.8719999999999999</c:v>
                </c:pt>
                <c:pt idx="329">
                  <c:v>1.8959999999999999</c:v>
                </c:pt>
                <c:pt idx="330">
                  <c:v>1.92</c:v>
                </c:pt>
                <c:pt idx="331">
                  <c:v>1.944</c:v>
                </c:pt>
                <c:pt idx="332">
                  <c:v>1.968</c:v>
                </c:pt>
                <c:pt idx="333">
                  <c:v>1.992</c:v>
                </c:pt>
                <c:pt idx="334">
                  <c:v>2.016</c:v>
                </c:pt>
                <c:pt idx="335">
                  <c:v>2.0400000000000009</c:v>
                </c:pt>
                <c:pt idx="336">
                  <c:v>2.0640000000000001</c:v>
                </c:pt>
                <c:pt idx="337">
                  <c:v>2.088000000000001</c:v>
                </c:pt>
                <c:pt idx="338">
                  <c:v>2.1120000000000001</c:v>
                </c:pt>
                <c:pt idx="339">
                  <c:v>2.136000000000001</c:v>
                </c:pt>
                <c:pt idx="340">
                  <c:v>2.16</c:v>
                </c:pt>
                <c:pt idx="341">
                  <c:v>2.1840000000000011</c:v>
                </c:pt>
                <c:pt idx="342">
                  <c:v>2.2080000000000002</c:v>
                </c:pt>
                <c:pt idx="343">
                  <c:v>2.2319999999999993</c:v>
                </c:pt>
                <c:pt idx="344">
                  <c:v>2.2560000000000002</c:v>
                </c:pt>
                <c:pt idx="345">
                  <c:v>2.2799999999999994</c:v>
                </c:pt>
                <c:pt idx="346">
                  <c:v>2.3040000000000003</c:v>
                </c:pt>
                <c:pt idx="347">
                  <c:v>2.3279999999999994</c:v>
                </c:pt>
                <c:pt idx="348">
                  <c:v>2.3520000000000003</c:v>
                </c:pt>
                <c:pt idx="349">
                  <c:v>2.3759999999999994</c:v>
                </c:pt>
                <c:pt idx="350">
                  <c:v>2.4000000000000004</c:v>
                </c:pt>
                <c:pt idx="351">
                  <c:v>2.4239999999999995</c:v>
                </c:pt>
                <c:pt idx="352">
                  <c:v>2.4480000000000004</c:v>
                </c:pt>
                <c:pt idx="353">
                  <c:v>2.4719999999999995</c:v>
                </c:pt>
                <c:pt idx="354">
                  <c:v>2.4960000000000004</c:v>
                </c:pt>
                <c:pt idx="355">
                  <c:v>2.5199999999999996</c:v>
                </c:pt>
                <c:pt idx="356">
                  <c:v>2.5440000000000005</c:v>
                </c:pt>
                <c:pt idx="357">
                  <c:v>2.5679999999999996</c:v>
                </c:pt>
                <c:pt idx="358">
                  <c:v>2.5920000000000005</c:v>
                </c:pt>
                <c:pt idx="359">
                  <c:v>2.6159999999999997</c:v>
                </c:pt>
                <c:pt idx="360">
                  <c:v>2.6400000000000006</c:v>
                </c:pt>
                <c:pt idx="361">
                  <c:v>2.6639999999999997</c:v>
                </c:pt>
                <c:pt idx="362">
                  <c:v>2.6880000000000006</c:v>
                </c:pt>
                <c:pt idx="363">
                  <c:v>2.7119999999999997</c:v>
                </c:pt>
                <c:pt idx="364">
                  <c:v>2.7360000000000007</c:v>
                </c:pt>
                <c:pt idx="365">
                  <c:v>2.76</c:v>
                </c:pt>
                <c:pt idx="366">
                  <c:v>2.7840000000000007</c:v>
                </c:pt>
                <c:pt idx="367">
                  <c:v>2.8079999999999998</c:v>
                </c:pt>
                <c:pt idx="368">
                  <c:v>2.8320000000000007</c:v>
                </c:pt>
                <c:pt idx="369">
                  <c:v>2.8559999999999999</c:v>
                </c:pt>
                <c:pt idx="370">
                  <c:v>2.8800000000000008</c:v>
                </c:pt>
                <c:pt idx="371">
                  <c:v>2.9039999999999999</c:v>
                </c:pt>
                <c:pt idx="372">
                  <c:v>2.9280000000000008</c:v>
                </c:pt>
                <c:pt idx="373">
                  <c:v>2.952</c:v>
                </c:pt>
                <c:pt idx="374">
                  <c:v>2.9760000000000009</c:v>
                </c:pt>
                <c:pt idx="375">
                  <c:v>3</c:v>
                </c:pt>
                <c:pt idx="376">
                  <c:v>3.0240000000000009</c:v>
                </c:pt>
                <c:pt idx="377">
                  <c:v>3.048</c:v>
                </c:pt>
                <c:pt idx="378">
                  <c:v>3.072000000000001</c:v>
                </c:pt>
                <c:pt idx="379">
                  <c:v>3.0960000000000001</c:v>
                </c:pt>
                <c:pt idx="380">
                  <c:v>3.120000000000001</c:v>
                </c:pt>
                <c:pt idx="381">
                  <c:v>3.1440000000000001</c:v>
                </c:pt>
                <c:pt idx="382">
                  <c:v>3.168000000000001</c:v>
                </c:pt>
                <c:pt idx="383">
                  <c:v>3.1920000000000002</c:v>
                </c:pt>
                <c:pt idx="384">
                  <c:v>3.2160000000000011</c:v>
                </c:pt>
                <c:pt idx="385">
                  <c:v>3.24</c:v>
                </c:pt>
                <c:pt idx="386">
                  <c:v>3.2639999999999993</c:v>
                </c:pt>
                <c:pt idx="387">
                  <c:v>3.2880000000000003</c:v>
                </c:pt>
                <c:pt idx="388">
                  <c:v>3.3119999999999994</c:v>
                </c:pt>
                <c:pt idx="389">
                  <c:v>3.3360000000000003</c:v>
                </c:pt>
                <c:pt idx="390">
                  <c:v>3.3599999999999994</c:v>
                </c:pt>
                <c:pt idx="391">
                  <c:v>3.3840000000000003</c:v>
                </c:pt>
                <c:pt idx="392">
                  <c:v>3.4079999999999995</c:v>
                </c:pt>
                <c:pt idx="393">
                  <c:v>3.4320000000000004</c:v>
                </c:pt>
                <c:pt idx="394">
                  <c:v>3.4559999999999995</c:v>
                </c:pt>
                <c:pt idx="395">
                  <c:v>3.4800000000000004</c:v>
                </c:pt>
                <c:pt idx="396">
                  <c:v>3.5039999999999996</c:v>
                </c:pt>
                <c:pt idx="397">
                  <c:v>3.5280000000000005</c:v>
                </c:pt>
                <c:pt idx="398">
                  <c:v>3.5519999999999996</c:v>
                </c:pt>
                <c:pt idx="399">
                  <c:v>3.5760000000000005</c:v>
                </c:pt>
                <c:pt idx="400">
                  <c:v>3.5999999999999996</c:v>
                </c:pt>
                <c:pt idx="401">
                  <c:v>3.6240000000000006</c:v>
                </c:pt>
                <c:pt idx="402">
                  <c:v>3.6479999999999997</c:v>
                </c:pt>
                <c:pt idx="403">
                  <c:v>3.6720000000000006</c:v>
                </c:pt>
                <c:pt idx="404">
                  <c:v>3.6959999999999997</c:v>
                </c:pt>
                <c:pt idx="405">
                  <c:v>3.7200000000000006</c:v>
                </c:pt>
                <c:pt idx="406">
                  <c:v>3.7439999999999998</c:v>
                </c:pt>
                <c:pt idx="407">
                  <c:v>3.7680000000000007</c:v>
                </c:pt>
                <c:pt idx="408">
                  <c:v>3.7919999999999998</c:v>
                </c:pt>
                <c:pt idx="409">
                  <c:v>3.8160000000000007</c:v>
                </c:pt>
                <c:pt idx="410">
                  <c:v>3.84</c:v>
                </c:pt>
                <c:pt idx="411">
                  <c:v>3.8640000000000008</c:v>
                </c:pt>
                <c:pt idx="412">
                  <c:v>3.8879999999999999</c:v>
                </c:pt>
                <c:pt idx="413">
                  <c:v>3.9120000000000008</c:v>
                </c:pt>
                <c:pt idx="414">
                  <c:v>3.9359999999999999</c:v>
                </c:pt>
                <c:pt idx="415">
                  <c:v>3.9600000000000009</c:v>
                </c:pt>
                <c:pt idx="416">
                  <c:v>3.984</c:v>
                </c:pt>
                <c:pt idx="417">
                  <c:v>4.0080000000000009</c:v>
                </c:pt>
                <c:pt idx="418">
                  <c:v>4.032</c:v>
                </c:pt>
                <c:pt idx="419">
                  <c:v>4.0560000000000009</c:v>
                </c:pt>
                <c:pt idx="420">
                  <c:v>4.08</c:v>
                </c:pt>
                <c:pt idx="421">
                  <c:v>4.104000000000001</c:v>
                </c:pt>
                <c:pt idx="422">
                  <c:v>4.1280000000000001</c:v>
                </c:pt>
                <c:pt idx="423">
                  <c:v>4.152000000000001</c:v>
                </c:pt>
                <c:pt idx="424">
                  <c:v>4.1760000000000002</c:v>
                </c:pt>
                <c:pt idx="425">
                  <c:v>4.2000000000000011</c:v>
                </c:pt>
                <c:pt idx="426">
                  <c:v>4.2240000000000002</c:v>
                </c:pt>
                <c:pt idx="427">
                  <c:v>4.2479999999999993</c:v>
                </c:pt>
                <c:pt idx="428">
                  <c:v>4.2720000000000002</c:v>
                </c:pt>
                <c:pt idx="429">
                  <c:v>4.2959999999999994</c:v>
                </c:pt>
                <c:pt idx="430">
                  <c:v>4.32</c:v>
                </c:pt>
                <c:pt idx="431">
                  <c:v>4.3439999999999994</c:v>
                </c:pt>
                <c:pt idx="432">
                  <c:v>4.3680000000000003</c:v>
                </c:pt>
                <c:pt idx="433">
                  <c:v>4.3919999999999995</c:v>
                </c:pt>
                <c:pt idx="434">
                  <c:v>4.4160000000000004</c:v>
                </c:pt>
                <c:pt idx="435">
                  <c:v>4.4399999999999995</c:v>
                </c:pt>
                <c:pt idx="436">
                  <c:v>4.4640000000000004</c:v>
                </c:pt>
                <c:pt idx="437">
                  <c:v>4.4879999999999995</c:v>
                </c:pt>
                <c:pt idx="438">
                  <c:v>4.5120000000000005</c:v>
                </c:pt>
                <c:pt idx="439">
                  <c:v>4.5359999999999996</c:v>
                </c:pt>
                <c:pt idx="440">
                  <c:v>4.5600000000000005</c:v>
                </c:pt>
                <c:pt idx="441">
                  <c:v>4.5839999999999996</c:v>
                </c:pt>
                <c:pt idx="442">
                  <c:v>4.6080000000000005</c:v>
                </c:pt>
                <c:pt idx="443">
                  <c:v>4.6319999999999997</c:v>
                </c:pt>
                <c:pt idx="444">
                  <c:v>4.6560000000000006</c:v>
                </c:pt>
                <c:pt idx="445">
                  <c:v>4.68</c:v>
                </c:pt>
                <c:pt idx="446">
                  <c:v>4.7040000000000006</c:v>
                </c:pt>
                <c:pt idx="447">
                  <c:v>4.7279999999999998</c:v>
                </c:pt>
                <c:pt idx="448">
                  <c:v>4.7520000000000007</c:v>
                </c:pt>
                <c:pt idx="449">
                  <c:v>4.7759999999999998</c:v>
                </c:pt>
                <c:pt idx="450">
                  <c:v>4.8000000000000007</c:v>
                </c:pt>
                <c:pt idx="451">
                  <c:v>4.8239999999999998</c:v>
                </c:pt>
                <c:pt idx="452">
                  <c:v>4.8480000000000008</c:v>
                </c:pt>
                <c:pt idx="453">
                  <c:v>4.8719999999999999</c:v>
                </c:pt>
                <c:pt idx="454">
                  <c:v>4.8960000000000008</c:v>
                </c:pt>
                <c:pt idx="455">
                  <c:v>4.92</c:v>
                </c:pt>
                <c:pt idx="456">
                  <c:v>4.9440000000000008</c:v>
                </c:pt>
                <c:pt idx="457">
                  <c:v>4.968</c:v>
                </c:pt>
                <c:pt idx="458">
                  <c:v>4.9920000000000009</c:v>
                </c:pt>
                <c:pt idx="459">
                  <c:v>5.016</c:v>
                </c:pt>
                <c:pt idx="460">
                  <c:v>5.0400000000000009</c:v>
                </c:pt>
                <c:pt idx="461">
                  <c:v>5.0640000000000001</c:v>
                </c:pt>
                <c:pt idx="462">
                  <c:v>5.088000000000001</c:v>
                </c:pt>
                <c:pt idx="463">
                  <c:v>5.1120000000000001</c:v>
                </c:pt>
                <c:pt idx="464">
                  <c:v>5.136000000000001</c:v>
                </c:pt>
                <c:pt idx="465">
                  <c:v>5.16</c:v>
                </c:pt>
                <c:pt idx="466">
                  <c:v>5.1840000000000011</c:v>
                </c:pt>
                <c:pt idx="467">
                  <c:v>5.2080000000000002</c:v>
                </c:pt>
                <c:pt idx="468">
                  <c:v>5.2320000000000011</c:v>
                </c:pt>
                <c:pt idx="469">
                  <c:v>5.2560000000000002</c:v>
                </c:pt>
                <c:pt idx="470">
                  <c:v>5.2799999999999994</c:v>
                </c:pt>
                <c:pt idx="471">
                  <c:v>5.3040000000000003</c:v>
                </c:pt>
                <c:pt idx="472">
                  <c:v>5.3279999999999994</c:v>
                </c:pt>
                <c:pt idx="473">
                  <c:v>5.3520000000000003</c:v>
                </c:pt>
                <c:pt idx="474">
                  <c:v>5.3759999999999994</c:v>
                </c:pt>
                <c:pt idx="475">
                  <c:v>5.4</c:v>
                </c:pt>
                <c:pt idx="476">
                  <c:v>5.4239999999999995</c:v>
                </c:pt>
                <c:pt idx="477">
                  <c:v>5.4480000000000004</c:v>
                </c:pt>
                <c:pt idx="478">
                  <c:v>5.4719999999999995</c:v>
                </c:pt>
                <c:pt idx="479">
                  <c:v>5.4960000000000004</c:v>
                </c:pt>
                <c:pt idx="480">
                  <c:v>5.52</c:v>
                </c:pt>
                <c:pt idx="481">
                  <c:v>5.5440000000000005</c:v>
                </c:pt>
                <c:pt idx="482">
                  <c:v>5.5679999999999996</c:v>
                </c:pt>
                <c:pt idx="483">
                  <c:v>5.5920000000000005</c:v>
                </c:pt>
                <c:pt idx="484">
                  <c:v>5.6159999999999997</c:v>
                </c:pt>
                <c:pt idx="485">
                  <c:v>5.6400000000000006</c:v>
                </c:pt>
                <c:pt idx="486">
                  <c:v>5.6639999999999997</c:v>
                </c:pt>
                <c:pt idx="487">
                  <c:v>5.6880000000000006</c:v>
                </c:pt>
                <c:pt idx="488">
                  <c:v>5.7119999999999997</c:v>
                </c:pt>
                <c:pt idx="489">
                  <c:v>5.7360000000000007</c:v>
                </c:pt>
                <c:pt idx="490">
                  <c:v>5.76</c:v>
                </c:pt>
                <c:pt idx="491">
                  <c:v>5.7840000000000007</c:v>
                </c:pt>
                <c:pt idx="492">
                  <c:v>5.8079999999999998</c:v>
                </c:pt>
                <c:pt idx="493">
                  <c:v>5.8320000000000007</c:v>
                </c:pt>
                <c:pt idx="494">
                  <c:v>5.8559999999999999</c:v>
                </c:pt>
                <c:pt idx="495">
                  <c:v>5.8800000000000008</c:v>
                </c:pt>
                <c:pt idx="496">
                  <c:v>5.9039999999999999</c:v>
                </c:pt>
                <c:pt idx="497">
                  <c:v>5.9280000000000008</c:v>
                </c:pt>
                <c:pt idx="498">
                  <c:v>5.952</c:v>
                </c:pt>
                <c:pt idx="499">
                  <c:v>5.9760000000000009</c:v>
                </c:pt>
                <c:pt idx="500">
                  <c:v>6</c:v>
                </c:pt>
              </c:numCache>
            </c:numRef>
          </c:xVal>
          <c:yVal>
            <c:numRef>
              <c:f>'Fig 2 - 1-sample t test'!$L$100:$L$600</c:f>
              <c:numCache>
                <c:formatCode>General</c:formatCode>
                <c:ptCount val="501"/>
                <c:pt idx="0">
                  <c:v>6.0758828498232861E-9</c:v>
                </c:pt>
                <c:pt idx="1">
                  <c:v>7.014919960620633E-9</c:v>
                </c:pt>
                <c:pt idx="2">
                  <c:v>8.094422981541427E-9</c:v>
                </c:pt>
                <c:pt idx="3">
                  <c:v>9.3346688630663452E-9</c:v>
                </c:pt>
                <c:pt idx="4">
                  <c:v>1.0758749212031231E-8</c:v>
                </c:pt>
                <c:pt idx="5">
                  <c:v>1.239294431415013E-8</c:v>
                </c:pt>
                <c:pt idx="6">
                  <c:v>1.4267144462795874E-8</c:v>
                </c:pt>
                <c:pt idx="7">
                  <c:v>1.6415324245220411E-8</c:v>
                </c:pt>
                <c:pt idx="8">
                  <c:v>1.8876076068122808E-8</c:v>
                </c:pt>
                <c:pt idx="9">
                  <c:v>2.1693209899897982E-8</c:v>
                </c:pt>
                <c:pt idx="10">
                  <c:v>2.4916426972950989E-8</c:v>
                </c:pt>
                <c:pt idx="11">
                  <c:v>2.8602076032540175E-8</c:v>
                </c:pt>
                <c:pt idx="12">
                  <c:v>3.2814001645590985E-8</c:v>
                </c:pt>
                <c:pt idx="13">
                  <c:v>3.7624495101197993E-8</c:v>
                </c:pt>
                <c:pt idx="14">
                  <c:v>4.3115359552033492E-8</c:v>
                </c:pt>
                <c:pt idx="15">
                  <c:v>4.937910227110449E-8</c:v>
                </c:pt>
                <c:pt idx="16">
                  <c:v>5.6520268240340859E-8</c:v>
                </c:pt>
                <c:pt idx="17">
                  <c:v>6.465693075604519E-8</c:v>
                </c:pt>
                <c:pt idx="18">
                  <c:v>7.3922356341658018E-8</c:v>
                </c:pt>
                <c:pt idx="19">
                  <c:v>8.4466863011588381E-8</c:v>
                </c:pt>
                <c:pt idx="20">
                  <c:v>9.6459892842733842E-8</c:v>
                </c:pt>
                <c:pt idx="21">
                  <c:v>1.1009232189518106E-7</c:v>
                </c:pt>
                <c:pt idx="22">
                  <c:v>1.2557903279356918E-7</c:v>
                </c:pt>
                <c:pt idx="23">
                  <c:v>1.4316177774957213E-7</c:v>
                </c:pt>
                <c:pt idx="24">
                  <c:v>1.6311236248861543E-7</c:v>
                </c:pt>
                <c:pt idx="25">
                  <c:v>1.8573618445552897E-7</c:v>
                </c:pt>
                <c:pt idx="26">
                  <c:v>2.1137616183074064E-7</c:v>
                </c:pt>
                <c:pt idx="27">
                  <c:v>2.4041709330746573E-7</c:v>
                </c:pt>
                <c:pt idx="28">
                  <c:v>2.7329049227913221E-7</c:v>
                </c:pt>
                <c:pt idx="29">
                  <c:v>3.104799430831489E-7</c:v>
                </c:pt>
                <c:pt idx="30">
                  <c:v>3.5252703126140381E-7</c:v>
                </c:pt>
                <c:pt idx="31">
                  <c:v>4.0003790444932249E-7</c:v>
                </c:pt>
                <c:pt idx="32">
                  <c:v>4.5369052551441214E-7</c:v>
                </c:pt>
                <c:pt idx="33">
                  <c:v>5.1424268495308647E-7</c:v>
                </c:pt>
                <c:pt idx="34">
                  <c:v>5.8254084534283306E-7</c:v>
                </c:pt>
                <c:pt idx="35">
                  <c:v>6.5952989685752167E-7</c:v>
                </c:pt>
                <c:pt idx="36">
                  <c:v>7.4626390950944278E-7</c:v>
                </c:pt>
                <c:pt idx="37">
                  <c:v>8.4391797490514879E-7</c:v>
                </c:pt>
                <c:pt idx="38">
                  <c:v>9.5380123791647124E-7</c:v>
                </c:pt>
                <c:pt idx="39">
                  <c:v>1.0773712267960586E-6</c:v>
                </c:pt>
                <c:pt idx="40">
                  <c:v>1.216249598931318E-6</c:v>
                </c:pt>
                <c:pt idx="41">
                  <c:v>1.3722394286545041E-6</c:v>
                </c:pt>
                <c:pt idx="42">
                  <c:v>1.5473441733317411E-6</c:v>
                </c:pt>
                <c:pt idx="43">
                  <c:v>1.7437884643617589E-6</c:v>
                </c:pt>
                <c:pt idx="44">
                  <c:v>1.9640408807463332E-6</c:v>
                </c:pt>
                <c:pt idx="45">
                  <c:v>2.2108388745684212E-6</c:v>
                </c:pt>
                <c:pt idx="46">
                  <c:v>2.4872160300486798E-6</c:v>
                </c:pt>
                <c:pt idx="47">
                  <c:v>2.7965318508624735E-6</c:v>
                </c:pt>
                <c:pt idx="48">
                  <c:v>3.1425042841019479E-6</c:v>
                </c:pt>
                <c:pt idx="49">
                  <c:v>3.5292452036728565E-6</c:v>
                </c:pt>
                <c:pt idx="50">
                  <c:v>3.9612990910320753E-6</c:v>
                </c:pt>
                <c:pt idx="51">
                  <c:v>4.443685167005601E-6</c:v>
                </c:pt>
                <c:pt idx="52">
                  <c:v>4.9819432449787926E-6</c:v>
                </c:pt>
                <c:pt idx="53">
                  <c:v>5.5821835930201659E-6</c:v>
                </c:pt>
                <c:pt idx="54">
                  <c:v>6.2511411104785546E-6</c:v>
                </c:pt>
                <c:pt idx="55">
                  <c:v>6.996234143270405E-6</c:v>
                </c:pt>
                <c:pt idx="56">
                  <c:v>7.825628281430239E-6</c:v>
                </c:pt>
                <c:pt idx="57">
                  <c:v>8.7483055025099134E-6</c:v>
                </c:pt>
                <c:pt idx="58">
                  <c:v>9.7741390450493848E-6</c:v>
                </c:pt>
                <c:pt idx="59">
                  <c:v>1.0913974417565564E-5</c:v>
                </c:pt>
                <c:pt idx="60">
                  <c:v>1.2179716970268655E-5</c:v>
                </c:pt>
                <c:pt idx="61">
                  <c:v>1.3584426478963919E-5</c:v>
                </c:pt>
                <c:pt idx="62">
                  <c:v>1.5142419213261371E-5</c:v>
                </c:pt>
                <c:pt idx="63">
                  <c:v>1.6869377984230626E-5</c:v>
                </c:pt>
                <c:pt idx="64">
                  <c:v>1.8782470689901945E-5</c:v>
                </c:pt>
                <c:pt idx="65">
                  <c:v>2.0900477900450482E-5</c:v>
                </c:pt>
                <c:pt idx="66">
                  <c:v>2.3243930048373714E-5</c:v>
                </c:pt>
                <c:pt idx="67">
                  <c:v>2.5835254812390093E-5</c:v>
                </c:pt>
                <c:pt idx="68">
                  <c:v>2.8698935306977618E-5</c:v>
                </c:pt>
                <c:pt idx="69">
                  <c:v>3.1861679712324632E-5</c:v>
                </c:pt>
                <c:pt idx="70">
                  <c:v>3.5352603001773097E-5</c:v>
                </c:pt>
                <c:pt idx="71">
                  <c:v>3.9203421445463005E-5</c:v>
                </c:pt>
                <c:pt idx="72">
                  <c:v>4.3448660589589352E-5</c:v>
                </c:pt>
                <c:pt idx="73">
                  <c:v>4.8125877430296982E-5</c:v>
                </c:pt>
                <c:pt idx="74">
                  <c:v>5.3275897519493968E-5</c:v>
                </c:pt>
                <c:pt idx="75">
                  <c:v>5.8943067756539855E-5</c:v>
                </c:pt>
                <c:pt idx="76">
                  <c:v>6.5175525634586447E-5</c:v>
                </c:pt>
                <c:pt idx="77">
                  <c:v>7.2025485723041163E-5</c:v>
                </c:pt>
                <c:pt idx="78">
                  <c:v>7.9549544177881284E-5</c:v>
                </c:pt>
                <c:pt idx="79">
                  <c:v>8.7809002079064242E-5</c:v>
                </c:pt>
                <c:pt idx="80">
                  <c:v>9.687020839871926E-5</c:v>
                </c:pt>
                <c:pt idx="81">
                  <c:v>1.0680492340481771E-4</c:v>
                </c:pt>
                <c:pt idx="82">
                  <c:v>1.1769070330224524E-4</c:v>
                </c:pt>
                <c:pt idx="83">
                  <c:v>1.296113069062539E-4</c:v>
                </c:pt>
                <c:pt idx="84">
                  <c:v>1.4265712513176652E-4</c:v>
                </c:pt>
                <c:pt idx="85">
                  <c:v>1.5692563406553226E-4</c:v>
                </c:pt>
                <c:pt idx="86">
                  <c:v>1.7252187236626288E-4</c:v>
                </c:pt>
                <c:pt idx="87">
                  <c:v>1.8955894371021315E-4</c:v>
                </c:pt>
                <c:pt idx="88">
                  <c:v>2.0815854496572918E-4</c:v>
                </c:pt>
                <c:pt idx="89">
                  <c:v>2.2845152073967242E-4</c:v>
                </c:pt>
                <c:pt idx="90">
                  <c:v>2.5057844489086075E-4</c:v>
                </c:pt>
                <c:pt idx="91">
                  <c:v>2.7469022955031567E-4</c:v>
                </c:pt>
                <c:pt idx="92">
                  <c:v>3.0094876212471999E-4</c:v>
                </c:pt>
                <c:pt idx="93">
                  <c:v>3.2952757068762962E-4</c:v>
                </c:pt>
                <c:pt idx="94">
                  <c:v>3.6061251808220806E-4</c:v>
                </c:pt>
                <c:pt idx="95">
                  <c:v>3.9440252496915693E-4</c:v>
                </c:pt>
                <c:pt idx="96">
                  <c:v>4.3111032195367678E-4</c:v>
                </c:pt>
                <c:pt idx="97">
                  <c:v>4.7096323081532949E-4</c:v>
                </c:pt>
                <c:pt idx="98">
                  <c:v>5.1420397474424319E-4</c:v>
                </c:pt>
                <c:pt idx="99">
                  <c:v>5.6109151735582138E-4</c:v>
                </c:pt>
                <c:pt idx="100">
                  <c:v>6.119019301137719E-4</c:v>
                </c:pt>
                <c:pt idx="101">
                  <c:v>6.6692928763750227E-4</c:v>
                </c:pt>
                <c:pt idx="102">
                  <c:v>7.2648659020460105E-4</c:v>
                </c:pt>
                <c:pt idx="103">
                  <c:v>7.9090671258203761E-4</c:v>
                </c:pt>
                <c:pt idx="104">
                  <c:v>8.605433781307579E-4</c:v>
                </c:pt>
                <c:pt idx="105">
                  <c:v>9.3577215692747977E-4</c:v>
                </c:pt>
                <c:pt idx="106">
                  <c:v>1.0169914864347645E-3</c:v>
                </c:pt>
                <c:pt idx="107">
                  <c:v>1.1046237130258381E-3</c:v>
                </c:pt>
                <c:pt idx="108">
                  <c:v>1.1991161524345093E-3</c:v>
                </c:pt>
                <c:pt idx="109">
                  <c:v>1.3009421669529307E-3</c:v>
                </c:pt>
                <c:pt idx="110">
                  <c:v>1.4106022569413848E-3</c:v>
                </c:pt>
                <c:pt idx="111">
                  <c:v>1.528625163945144E-3</c:v>
                </c:pt>
                <c:pt idx="112">
                  <c:v>1.6555689824342061E-3</c:v>
                </c:pt>
                <c:pt idx="113">
                  <c:v>1.7920222768931734E-3</c:v>
                </c:pt>
                <c:pt idx="114">
                  <c:v>1.9386052006913181E-3</c:v>
                </c:pt>
                <c:pt idx="115">
                  <c:v>2.0959706128579453E-3</c:v>
                </c:pt>
                <c:pt idx="116">
                  <c:v>2.2648051885764829E-3</c:v>
                </c:pt>
                <c:pt idx="117">
                  <c:v>2.4458305188934035E-3</c:v>
                </c:pt>
                <c:pt idx="118">
                  <c:v>2.6398041948164515E-3</c:v>
                </c:pt>
                <c:pt idx="119">
                  <c:v>2.8475208706519421E-3</c:v>
                </c:pt>
                <c:pt idx="120">
                  <c:v>3.0698133011047403E-3</c:v>
                </c:pt>
                <c:pt idx="121">
                  <c:v>3.3075533463386006E-3</c:v>
                </c:pt>
                <c:pt idx="122">
                  <c:v>3.5616529388703346E-3</c:v>
                </c:pt>
                <c:pt idx="123">
                  <c:v>3.8330650058511109E-3</c:v>
                </c:pt>
                <c:pt idx="124">
                  <c:v>4.122784339973702E-3</c:v>
                </c:pt>
                <c:pt idx="125">
                  <c:v>4.4318484119380075E-3</c:v>
                </c:pt>
                <c:pt idx="126">
                  <c:v>4.7613381171110044E-3</c:v>
                </c:pt>
                <c:pt idx="127">
                  <c:v>5.1123784487336638E-3</c:v>
                </c:pt>
                <c:pt idx="128">
                  <c:v>5.4861390897588055E-3</c:v>
                </c:pt>
                <c:pt idx="129">
                  <c:v>5.883834915153101E-3</c:v>
                </c:pt>
                <c:pt idx="130">
                  <c:v>6.3067263962659275E-3</c:v>
                </c:pt>
                <c:pt idx="131">
                  <c:v>6.7561198986603012E-3</c:v>
                </c:pt>
                <c:pt idx="132">
                  <c:v>7.2333678646196876E-3</c:v>
                </c:pt>
                <c:pt idx="133">
                  <c:v>7.739868871391698E-3</c:v>
                </c:pt>
                <c:pt idx="134">
                  <c:v>8.2770675561084951E-3</c:v>
                </c:pt>
                <c:pt idx="135">
                  <c:v>8.8464543982372315E-3</c:v>
                </c:pt>
                <c:pt idx="136">
                  <c:v>9.4495653503647269E-3</c:v>
                </c:pt>
                <c:pt idx="137">
                  <c:v>1.008798130811189E-2</c:v>
                </c:pt>
                <c:pt idx="138">
                  <c:v>1.0763327410007753E-2</c:v>
                </c:pt>
                <c:pt idx="139">
                  <c:v>1.1477272158233751E-2</c:v>
                </c:pt>
                <c:pt idx="140">
                  <c:v>1.2231526351277971E-2</c:v>
                </c:pt>
                <c:pt idx="141">
                  <c:v>1.3027841819719665E-2</c:v>
                </c:pt>
                <c:pt idx="142">
                  <c:v>1.3868009956599181E-2</c:v>
                </c:pt>
                <c:pt idx="143">
                  <c:v>1.4753860034118634E-2</c:v>
                </c:pt>
                <c:pt idx="144">
                  <c:v>1.5687257298768114E-2</c:v>
                </c:pt>
                <c:pt idx="145">
                  <c:v>1.6670100837381057E-2</c:v>
                </c:pt>
                <c:pt idx="146">
                  <c:v>1.7704321207094212E-2</c:v>
                </c:pt>
                <c:pt idx="147">
                  <c:v>1.8791877822721837E-2</c:v>
                </c:pt>
                <c:pt idx="148">
                  <c:v>1.993475609565365E-2</c:v>
                </c:pt>
                <c:pt idx="149">
                  <c:v>2.1134964319050476E-2</c:v>
                </c:pt>
                <c:pt idx="150">
                  <c:v>2.2394530294842899E-2</c:v>
                </c:pt>
                <c:pt idx="151">
                  <c:v>2.3715497698834857E-2</c:v>
                </c:pt>
                <c:pt idx="152">
                  <c:v>2.5099922181077771E-2</c:v>
                </c:pt>
                <c:pt idx="153">
                  <c:v>2.65498671996088E-2</c:v>
                </c:pt>
                <c:pt idx="154">
                  <c:v>2.8067399586640101E-2</c:v>
                </c:pt>
                <c:pt idx="155">
                  <c:v>2.9654584847341278E-2</c:v>
                </c:pt>
                <c:pt idx="156">
                  <c:v>3.131348219247429E-2</c:v>
                </c:pt>
                <c:pt idx="157">
                  <c:v>3.3046139307314849E-2</c:v>
                </c:pt>
                <c:pt idx="158">
                  <c:v>3.4854586860525442E-2</c:v>
                </c:pt>
                <c:pt idx="159">
                  <c:v>3.6740832757928034E-2</c:v>
                </c:pt>
                <c:pt idx="160">
                  <c:v>3.8706856147455608E-2</c:v>
                </c:pt>
                <c:pt idx="161">
                  <c:v>4.0754601182937548E-2</c:v>
                </c:pt>
                <c:pt idx="162">
                  <c:v>4.2885970555787321E-2</c:v>
                </c:pt>
                <c:pt idx="163">
                  <c:v>4.5102818805110016E-2</c:v>
                </c:pt>
                <c:pt idx="164">
                  <c:v>4.7406945418221713E-2</c:v>
                </c:pt>
                <c:pt idx="165">
                  <c:v>4.9800087735070775E-2</c:v>
                </c:pt>
                <c:pt idx="166">
                  <c:v>5.2283913671562113E-2</c:v>
                </c:pt>
                <c:pt idx="167">
                  <c:v>5.4860014278304732E-2</c:v>
                </c:pt>
                <c:pt idx="168">
                  <c:v>5.7529896152820871E-2</c:v>
                </c:pt>
                <c:pt idx="169">
                  <c:v>6.0294973724765701E-2</c:v>
                </c:pt>
                <c:pt idx="170">
                  <c:v>6.3156561435198655E-2</c:v>
                </c:pt>
                <c:pt idx="171">
                  <c:v>6.6115865832415521E-2</c:v>
                </c:pt>
                <c:pt idx="172">
                  <c:v>6.9173977608282505E-2</c:v>
                </c:pt>
                <c:pt idx="173">
                  <c:v>7.2331863600401836E-2</c:v>
                </c:pt>
                <c:pt idx="174">
                  <c:v>7.5590358786774225E-2</c:v>
                </c:pt>
                <c:pt idx="175">
                  <c:v>7.8950158300894177E-2</c:v>
                </c:pt>
                <c:pt idx="176">
                  <c:v>8.2411809496414523E-2</c:v>
                </c:pt>
                <c:pt idx="177">
                  <c:v>8.5975704091632174E-2</c:v>
                </c:pt>
                <c:pt idx="178">
                  <c:v>8.9642070425072398E-2</c:v>
                </c:pt>
                <c:pt idx="179">
                  <c:v>9.3410965854371211E-2</c:v>
                </c:pt>
                <c:pt idx="180">
                  <c:v>9.7282269331467539E-2</c:v>
                </c:pt>
                <c:pt idx="181">
                  <c:v>0.10125567418780883</c:v>
                </c:pt>
                <c:pt idx="182">
                  <c:v>0.10533068116383558</c:v>
                </c:pt>
                <c:pt idx="183">
                  <c:v>0.1095065917174368</c:v>
                </c:pt>
                <c:pt idx="184">
                  <c:v>0.11378250164634682</c:v>
                </c:pt>
                <c:pt idx="185">
                  <c:v>0.11815729505958236</c:v>
                </c:pt>
                <c:pt idx="186">
                  <c:v>0.12262963873298507</c:v>
                </c:pt>
                <c:pt idx="187">
                  <c:v>0.12719797688373657</c:v>
                </c:pt>
                <c:pt idx="188">
                  <c:v>0.13186052639834289</c:v>
                </c:pt>
                <c:pt idx="189">
                  <c:v>0.13661527254803907</c:v>
                </c:pt>
                <c:pt idx="190">
                  <c:v>0.14145996522483889</c:v>
                </c:pt>
                <c:pt idx="191">
                  <c:v>0.1463921157305457</c:v>
                </c:pt>
                <c:pt idx="192">
                  <c:v>0.15140899414994635</c:v>
                </c:pt>
                <c:pt idx="193">
                  <c:v>0.15650762733813126</c:v>
                </c:pt>
                <c:pt idx="194">
                  <c:v>0.1616847975504194</c:v>
                </c:pt>
                <c:pt idx="195">
                  <c:v>0.16693704174171375</c:v>
                </c:pt>
                <c:pt idx="196">
                  <c:v>0.17226065156028758</c:v>
                </c:pt>
                <c:pt idx="197">
                  <c:v>0.1776516740589851</c:v>
                </c:pt>
                <c:pt idx="198">
                  <c:v>0.18310591314463986</c:v>
                </c:pt>
                <c:pt idx="199">
                  <c:v>0.18861893178415948</c:v>
                </c:pt>
                <c:pt idx="200">
                  <c:v>0.19418605498321292</c:v>
                </c:pt>
                <c:pt idx="201">
                  <c:v>0.19980237355078795</c:v>
                </c:pt>
                <c:pt idx="202">
                  <c:v>0.20546274866007688</c:v>
                </c:pt>
                <c:pt idx="203">
                  <c:v>0.21116181721320312</c:v>
                </c:pt>
                <c:pt idx="204">
                  <c:v>0.21689399801423551</c:v>
                </c:pt>
                <c:pt idx="205">
                  <c:v>0.22265349875176113</c:v>
                </c:pt>
                <c:pt idx="206">
                  <c:v>0.22843432378901604</c:v>
                </c:pt>
                <c:pt idx="207">
                  <c:v>0.23423028275621952</c:v>
                </c:pt>
                <c:pt idx="208">
                  <c:v>0.2400349999363395</c:v>
                </c:pt>
                <c:pt idx="209">
                  <c:v>0.24584192443204717</c:v>
                </c:pt>
                <c:pt idx="210">
                  <c:v>0.25164434109811712</c:v>
                </c:pt>
                <c:pt idx="211">
                  <c:v>0.25743538222001205</c:v>
                </c:pt>
                <c:pt idx="212">
                  <c:v>0.2632080399158771</c:v>
                </c:pt>
                <c:pt idx="213">
                  <c:v>0.26895517923567464</c:v>
                </c:pt>
                <c:pt idx="214">
                  <c:v>0.27466955192773695</c:v>
                </c:pt>
                <c:pt idx="215">
                  <c:v>0.28034381083962062</c:v>
                </c:pt>
                <c:pt idx="216">
                  <c:v>0.28597052491682845</c:v>
                </c:pt>
                <c:pt idx="217">
                  <c:v>0.29154219475974724</c:v>
                </c:pt>
                <c:pt idx="218">
                  <c:v>0.2970512686960452</c:v>
                </c:pt>
                <c:pt idx="219">
                  <c:v>0.30249015932280471</c:v>
                </c:pt>
                <c:pt idx="220">
                  <c:v>0.30785126046985301</c:v>
                </c:pt>
                <c:pt idx="221">
                  <c:v>0.3131269645331039</c:v>
                </c:pt>
                <c:pt idx="222">
                  <c:v>0.3183096801242743</c:v>
                </c:pt>
                <c:pt idx="223">
                  <c:v>0.32339184998107995</c:v>
                </c:pt>
                <c:pt idx="224">
                  <c:v>0.32836596907998766</c:v>
                </c:pt>
                <c:pt idx="225">
                  <c:v>0.33322460289179973</c:v>
                </c:pt>
                <c:pt idx="226">
                  <c:v>0.33796040571879715</c:v>
                </c:pt>
                <c:pt idx="227">
                  <c:v>0.34256613905087624</c:v>
                </c:pt>
                <c:pt idx="228">
                  <c:v>0.34703468987709241</c:v>
                </c:pt>
                <c:pt idx="229">
                  <c:v>0.3513590888882841</c:v>
                </c:pt>
                <c:pt idx="230">
                  <c:v>0.35553252850599715</c:v>
                </c:pt>
                <c:pt idx="231">
                  <c:v>0.35954838067276967</c:v>
                </c:pt>
                <c:pt idx="232">
                  <c:v>0.36340021433897729</c:v>
                </c:pt>
                <c:pt idx="233">
                  <c:v>0.3670818125818826</c:v>
                </c:pt>
                <c:pt idx="234">
                  <c:v>0.37058718929327361</c:v>
                </c:pt>
                <c:pt idx="235">
                  <c:v>0.37391060537312837</c:v>
                </c:pt>
                <c:pt idx="236">
                  <c:v>0.37704658436808808</c:v>
                </c:pt>
                <c:pt idx="237">
                  <c:v>0.37998992749516874</c:v>
                </c:pt>
                <c:pt idx="238">
                  <c:v>0.38273572799307848</c:v>
                </c:pt>
                <c:pt idx="239">
                  <c:v>0.38527938474572759</c:v>
                </c:pt>
                <c:pt idx="240">
                  <c:v>0.38761661512501411</c:v>
                </c:pt>
                <c:pt idx="241">
                  <c:v>0.38974346700272944</c:v>
                </c:pt>
                <c:pt idx="242">
                  <c:v>0.39165632988443705</c:v>
                </c:pt>
                <c:pt idx="243">
                  <c:v>0.39335194512142974</c:v>
                </c:pt>
                <c:pt idx="244">
                  <c:v>0.39482741516033976</c:v>
                </c:pt>
                <c:pt idx="245">
                  <c:v>0.3960802117936561</c:v>
                </c:pt>
                <c:pt idx="246">
                  <c:v>0.39710818337826648</c:v>
                </c:pt>
                <c:pt idx="247">
                  <c:v>0.39790956099317593</c:v>
                </c:pt>
                <c:pt idx="248">
                  <c:v>0.39848296351173551</c:v>
                </c:pt>
                <c:pt idx="249">
                  <c:v>0.39882740156802315</c:v>
                </c:pt>
                <c:pt idx="250">
                  <c:v>0.3989422804014327</c:v>
                </c:pt>
                <c:pt idx="251">
                  <c:v>0.39882740156802315</c:v>
                </c:pt>
                <c:pt idx="252">
                  <c:v>0.39848296351173551</c:v>
                </c:pt>
                <c:pt idx="253">
                  <c:v>0.39790956099317593</c:v>
                </c:pt>
                <c:pt idx="254">
                  <c:v>0.39710818337826648</c:v>
                </c:pt>
                <c:pt idx="255">
                  <c:v>0.3960802117936561</c:v>
                </c:pt>
                <c:pt idx="256">
                  <c:v>0.39482741516033976</c:v>
                </c:pt>
                <c:pt idx="257">
                  <c:v>0.39335194512142974</c:v>
                </c:pt>
                <c:pt idx="258">
                  <c:v>0.39165632988443705</c:v>
                </c:pt>
                <c:pt idx="259">
                  <c:v>0.38974346700272944</c:v>
                </c:pt>
                <c:pt idx="260">
                  <c:v>0.38761661512501411</c:v>
                </c:pt>
                <c:pt idx="261">
                  <c:v>0.38527938474572759</c:v>
                </c:pt>
                <c:pt idx="262">
                  <c:v>0.38273572799307848</c:v>
                </c:pt>
                <c:pt idx="263">
                  <c:v>0.37998992749516874</c:v>
                </c:pt>
                <c:pt idx="264">
                  <c:v>0.37704658436808808</c:v>
                </c:pt>
                <c:pt idx="265">
                  <c:v>0.37391060537312837</c:v>
                </c:pt>
                <c:pt idx="266">
                  <c:v>0.3705871892932735</c:v>
                </c:pt>
                <c:pt idx="267">
                  <c:v>0.36708181258188249</c:v>
                </c:pt>
                <c:pt idx="268">
                  <c:v>0.36340021433897718</c:v>
                </c:pt>
                <c:pt idx="269">
                  <c:v>0.35954838067276951</c:v>
                </c:pt>
                <c:pt idx="270">
                  <c:v>0.35553252850599704</c:v>
                </c:pt>
                <c:pt idx="271">
                  <c:v>0.35135908888828388</c:v>
                </c:pt>
                <c:pt idx="272">
                  <c:v>0.34703468987709224</c:v>
                </c:pt>
                <c:pt idx="273">
                  <c:v>0.34256613905087613</c:v>
                </c:pt>
                <c:pt idx="274">
                  <c:v>0.33796040571879699</c:v>
                </c:pt>
                <c:pt idx="275">
                  <c:v>0.33322460289179956</c:v>
                </c:pt>
                <c:pt idx="276">
                  <c:v>0.3283659690799875</c:v>
                </c:pt>
                <c:pt idx="277">
                  <c:v>0.32339184998107978</c:v>
                </c:pt>
                <c:pt idx="278">
                  <c:v>0.3183096801242743</c:v>
                </c:pt>
                <c:pt idx="279">
                  <c:v>0.3131269645331039</c:v>
                </c:pt>
                <c:pt idx="280">
                  <c:v>0.30785126046985301</c:v>
                </c:pt>
                <c:pt idx="281">
                  <c:v>0.30249015932280471</c:v>
                </c:pt>
                <c:pt idx="282">
                  <c:v>0.2970512686960452</c:v>
                </c:pt>
                <c:pt idx="283">
                  <c:v>0.29154219475974724</c:v>
                </c:pt>
                <c:pt idx="284">
                  <c:v>0.28597052491682845</c:v>
                </c:pt>
                <c:pt idx="285">
                  <c:v>0.28034381083962062</c:v>
                </c:pt>
                <c:pt idx="286">
                  <c:v>0.27466955192773695</c:v>
                </c:pt>
                <c:pt idx="287">
                  <c:v>0.26895517923567464</c:v>
                </c:pt>
                <c:pt idx="288">
                  <c:v>0.2632080399158771</c:v>
                </c:pt>
                <c:pt idx="289">
                  <c:v>0.25743538222001205</c:v>
                </c:pt>
                <c:pt idx="290">
                  <c:v>0.25164434109811712</c:v>
                </c:pt>
                <c:pt idx="291">
                  <c:v>0.24584192443204717</c:v>
                </c:pt>
                <c:pt idx="292">
                  <c:v>0.2400349999363395</c:v>
                </c:pt>
                <c:pt idx="293">
                  <c:v>0.23423028275621952</c:v>
                </c:pt>
                <c:pt idx="294">
                  <c:v>0.22843432378901604</c:v>
                </c:pt>
                <c:pt idx="295">
                  <c:v>0.22265349875176113</c:v>
                </c:pt>
                <c:pt idx="296">
                  <c:v>0.21689399801423551</c:v>
                </c:pt>
                <c:pt idx="297">
                  <c:v>0.21116181721320312</c:v>
                </c:pt>
                <c:pt idx="298">
                  <c:v>0.20546274866007688</c:v>
                </c:pt>
                <c:pt idx="299">
                  <c:v>0.19980237355078795</c:v>
                </c:pt>
                <c:pt idx="300">
                  <c:v>0.19418605498321292</c:v>
                </c:pt>
                <c:pt idx="301">
                  <c:v>0.18861893178415948</c:v>
                </c:pt>
                <c:pt idx="302">
                  <c:v>0.18310591314463986</c:v>
                </c:pt>
                <c:pt idx="303">
                  <c:v>0.1776516740589851</c:v>
                </c:pt>
                <c:pt idx="304">
                  <c:v>0.17226065156028758</c:v>
                </c:pt>
                <c:pt idx="305">
                  <c:v>0.16693704174171375</c:v>
                </c:pt>
                <c:pt idx="306">
                  <c:v>0.1616847975504194</c:v>
                </c:pt>
                <c:pt idx="307">
                  <c:v>0.15650762733813126</c:v>
                </c:pt>
                <c:pt idx="308">
                  <c:v>0.15140899414994616</c:v>
                </c:pt>
                <c:pt idx="309">
                  <c:v>0.1463921157305455</c:v>
                </c:pt>
                <c:pt idx="310">
                  <c:v>0.1414599652248387</c:v>
                </c:pt>
                <c:pt idx="311">
                  <c:v>0.1366152725480389</c:v>
                </c:pt>
                <c:pt idx="312">
                  <c:v>0.13186052639834273</c:v>
                </c:pt>
                <c:pt idx="313">
                  <c:v>0.12719797688373641</c:v>
                </c:pt>
                <c:pt idx="314">
                  <c:v>0.12262963873298491</c:v>
                </c:pt>
                <c:pt idx="315">
                  <c:v>0.11815729505958221</c:v>
                </c:pt>
                <c:pt idx="316">
                  <c:v>0.11378250164634666</c:v>
                </c:pt>
                <c:pt idx="317">
                  <c:v>0.10950659171743668</c:v>
                </c:pt>
                <c:pt idx="318">
                  <c:v>0.10533068116383545</c:v>
                </c:pt>
                <c:pt idx="319">
                  <c:v>0.10125567418780868</c:v>
                </c:pt>
                <c:pt idx="320">
                  <c:v>9.7282269331467539E-2</c:v>
                </c:pt>
                <c:pt idx="321">
                  <c:v>9.3410965854371211E-2</c:v>
                </c:pt>
                <c:pt idx="322">
                  <c:v>8.9642070425072398E-2</c:v>
                </c:pt>
                <c:pt idx="323">
                  <c:v>8.5975704091632174E-2</c:v>
                </c:pt>
                <c:pt idx="324">
                  <c:v>8.2411809496414523E-2</c:v>
                </c:pt>
                <c:pt idx="325">
                  <c:v>7.8950158300894177E-2</c:v>
                </c:pt>
                <c:pt idx="326">
                  <c:v>7.5590358786774225E-2</c:v>
                </c:pt>
                <c:pt idx="327">
                  <c:v>7.2331863600401836E-2</c:v>
                </c:pt>
                <c:pt idx="328">
                  <c:v>6.9173977608282505E-2</c:v>
                </c:pt>
                <c:pt idx="329">
                  <c:v>6.6115865832415521E-2</c:v>
                </c:pt>
                <c:pt idx="330">
                  <c:v>6.3156561435198655E-2</c:v>
                </c:pt>
                <c:pt idx="331">
                  <c:v>6.0294973724765701E-2</c:v>
                </c:pt>
                <c:pt idx="332">
                  <c:v>5.7529896152820871E-2</c:v>
                </c:pt>
                <c:pt idx="333">
                  <c:v>5.4860014278304732E-2</c:v>
                </c:pt>
                <c:pt idx="334">
                  <c:v>5.2283913671562113E-2</c:v>
                </c:pt>
                <c:pt idx="335">
                  <c:v>4.9800087735070685E-2</c:v>
                </c:pt>
                <c:pt idx="336">
                  <c:v>4.7406945418221713E-2</c:v>
                </c:pt>
                <c:pt idx="337">
                  <c:v>4.510281880510994E-2</c:v>
                </c:pt>
                <c:pt idx="338">
                  <c:v>4.2885970555787321E-2</c:v>
                </c:pt>
                <c:pt idx="339">
                  <c:v>4.0754601182937472E-2</c:v>
                </c:pt>
                <c:pt idx="340">
                  <c:v>3.8706856147455608E-2</c:v>
                </c:pt>
                <c:pt idx="341">
                  <c:v>3.6740832757927937E-2</c:v>
                </c:pt>
                <c:pt idx="342">
                  <c:v>3.4854586860525415E-2</c:v>
                </c:pt>
                <c:pt idx="343">
                  <c:v>3.3046139307314877E-2</c:v>
                </c:pt>
                <c:pt idx="344">
                  <c:v>3.1313482192474262E-2</c:v>
                </c:pt>
                <c:pt idx="345">
                  <c:v>2.9654584847341316E-2</c:v>
                </c:pt>
                <c:pt idx="346">
                  <c:v>2.8067399586640077E-2</c:v>
                </c:pt>
                <c:pt idx="347">
                  <c:v>2.6549867199608838E-2</c:v>
                </c:pt>
                <c:pt idx="348">
                  <c:v>2.5099922181077736E-2</c:v>
                </c:pt>
                <c:pt idx="349">
                  <c:v>2.3715497698834888E-2</c:v>
                </c:pt>
                <c:pt idx="350">
                  <c:v>2.2394530294842882E-2</c:v>
                </c:pt>
                <c:pt idx="351">
                  <c:v>2.1134964319050504E-2</c:v>
                </c:pt>
                <c:pt idx="352">
                  <c:v>1.9934756095653629E-2</c:v>
                </c:pt>
                <c:pt idx="353">
                  <c:v>1.8791877822721854E-2</c:v>
                </c:pt>
                <c:pt idx="354">
                  <c:v>1.7704321207094198E-2</c:v>
                </c:pt>
                <c:pt idx="355">
                  <c:v>1.6670100837381078E-2</c:v>
                </c:pt>
                <c:pt idx="356">
                  <c:v>1.56872572987681E-2</c:v>
                </c:pt>
                <c:pt idx="357">
                  <c:v>1.4753860034118655E-2</c:v>
                </c:pt>
                <c:pt idx="358">
                  <c:v>1.386800995659916E-2</c:v>
                </c:pt>
                <c:pt idx="359">
                  <c:v>1.3027841819719681E-2</c:v>
                </c:pt>
                <c:pt idx="360">
                  <c:v>1.2231526351277954E-2</c:v>
                </c:pt>
                <c:pt idx="361">
                  <c:v>1.1477272158233767E-2</c:v>
                </c:pt>
                <c:pt idx="362">
                  <c:v>1.0763327410007729E-2</c:v>
                </c:pt>
                <c:pt idx="363">
                  <c:v>1.008798130811189E-2</c:v>
                </c:pt>
                <c:pt idx="364">
                  <c:v>9.449565350364706E-3</c:v>
                </c:pt>
                <c:pt idx="365">
                  <c:v>8.8464543982372315E-3</c:v>
                </c:pt>
                <c:pt idx="366">
                  <c:v>8.277067556108476E-3</c:v>
                </c:pt>
                <c:pt idx="367">
                  <c:v>7.739868871391698E-3</c:v>
                </c:pt>
                <c:pt idx="368">
                  <c:v>7.2333678646196676E-3</c:v>
                </c:pt>
                <c:pt idx="369">
                  <c:v>6.7561198986603012E-3</c:v>
                </c:pt>
                <c:pt idx="370">
                  <c:v>6.3067263962659102E-3</c:v>
                </c:pt>
                <c:pt idx="371">
                  <c:v>5.883834915153101E-3</c:v>
                </c:pt>
                <c:pt idx="372">
                  <c:v>5.4861390897587908E-3</c:v>
                </c:pt>
                <c:pt idx="373">
                  <c:v>5.1123784487336638E-3</c:v>
                </c:pt>
                <c:pt idx="374">
                  <c:v>4.7613381171109914E-3</c:v>
                </c:pt>
                <c:pt idx="375">
                  <c:v>4.4318484119380075E-3</c:v>
                </c:pt>
                <c:pt idx="376">
                  <c:v>4.1227843399736916E-3</c:v>
                </c:pt>
                <c:pt idx="377">
                  <c:v>3.8330650058511109E-3</c:v>
                </c:pt>
                <c:pt idx="378">
                  <c:v>3.5616529388703255E-3</c:v>
                </c:pt>
                <c:pt idx="379">
                  <c:v>3.3075533463386006E-3</c:v>
                </c:pt>
                <c:pt idx="380">
                  <c:v>3.0698133011047325E-3</c:v>
                </c:pt>
                <c:pt idx="381">
                  <c:v>2.8475208706519421E-3</c:v>
                </c:pt>
                <c:pt idx="382">
                  <c:v>2.6398041948164446E-3</c:v>
                </c:pt>
                <c:pt idx="383">
                  <c:v>2.4458305188934013E-3</c:v>
                </c:pt>
                <c:pt idx="384">
                  <c:v>2.264805188576473E-3</c:v>
                </c:pt>
                <c:pt idx="385">
                  <c:v>2.0959706128579419E-3</c:v>
                </c:pt>
                <c:pt idx="386">
                  <c:v>1.9386052006913198E-3</c:v>
                </c:pt>
                <c:pt idx="387">
                  <c:v>1.7920222768931717E-3</c:v>
                </c:pt>
                <c:pt idx="388">
                  <c:v>1.6555689824342091E-3</c:v>
                </c:pt>
                <c:pt idx="389">
                  <c:v>1.5286251639451411E-3</c:v>
                </c:pt>
                <c:pt idx="390">
                  <c:v>1.4106022569413861E-3</c:v>
                </c:pt>
                <c:pt idx="391">
                  <c:v>1.3009421669529281E-3</c:v>
                </c:pt>
                <c:pt idx="392">
                  <c:v>1.1991161524345115E-3</c:v>
                </c:pt>
                <c:pt idx="393">
                  <c:v>1.1046237130258364E-3</c:v>
                </c:pt>
                <c:pt idx="394">
                  <c:v>1.0169914864347654E-3</c:v>
                </c:pt>
                <c:pt idx="395">
                  <c:v>9.3577215692747804E-4</c:v>
                </c:pt>
                <c:pt idx="396">
                  <c:v>8.6054337813075866E-4</c:v>
                </c:pt>
                <c:pt idx="397">
                  <c:v>7.9090671258203685E-4</c:v>
                </c:pt>
                <c:pt idx="398">
                  <c:v>7.2648659020460235E-4</c:v>
                </c:pt>
                <c:pt idx="399">
                  <c:v>6.6692928763750108E-4</c:v>
                </c:pt>
                <c:pt idx="400">
                  <c:v>6.1190193011377298E-4</c:v>
                </c:pt>
                <c:pt idx="401">
                  <c:v>5.610915173558204E-4</c:v>
                </c:pt>
                <c:pt idx="402">
                  <c:v>5.1420397474424406E-4</c:v>
                </c:pt>
                <c:pt idx="403">
                  <c:v>4.7096323081532873E-4</c:v>
                </c:pt>
                <c:pt idx="404">
                  <c:v>4.3111032195367678E-4</c:v>
                </c:pt>
                <c:pt idx="405">
                  <c:v>3.9440252496915552E-4</c:v>
                </c:pt>
                <c:pt idx="406">
                  <c:v>3.6061251808220806E-4</c:v>
                </c:pt>
                <c:pt idx="407">
                  <c:v>3.2952757068762842E-4</c:v>
                </c:pt>
                <c:pt idx="408">
                  <c:v>3.0094876212471999E-4</c:v>
                </c:pt>
                <c:pt idx="409">
                  <c:v>2.746902295503147E-4</c:v>
                </c:pt>
                <c:pt idx="410">
                  <c:v>2.5057844489086075E-4</c:v>
                </c:pt>
                <c:pt idx="411">
                  <c:v>2.2845152073967183E-4</c:v>
                </c:pt>
                <c:pt idx="412">
                  <c:v>2.0815854496572918E-4</c:v>
                </c:pt>
                <c:pt idx="413">
                  <c:v>1.8955894371021248E-4</c:v>
                </c:pt>
                <c:pt idx="414">
                  <c:v>1.7252187236626288E-4</c:v>
                </c:pt>
                <c:pt idx="415">
                  <c:v>1.5692563406553169E-4</c:v>
                </c:pt>
                <c:pt idx="416">
                  <c:v>1.4265712513176652E-4</c:v>
                </c:pt>
                <c:pt idx="417">
                  <c:v>1.2961130690625344E-4</c:v>
                </c:pt>
                <c:pt idx="418">
                  <c:v>1.1769070330224524E-4</c:v>
                </c:pt>
                <c:pt idx="419">
                  <c:v>1.0680492340481733E-4</c:v>
                </c:pt>
                <c:pt idx="420">
                  <c:v>9.687020839871926E-5</c:v>
                </c:pt>
                <c:pt idx="421">
                  <c:v>8.7809002079063768E-5</c:v>
                </c:pt>
                <c:pt idx="422">
                  <c:v>7.9549544177881284E-5</c:v>
                </c:pt>
                <c:pt idx="423">
                  <c:v>7.2025485723040892E-5</c:v>
                </c:pt>
                <c:pt idx="424">
                  <c:v>6.5175525634586447E-5</c:v>
                </c:pt>
                <c:pt idx="425">
                  <c:v>5.8943067756539645E-5</c:v>
                </c:pt>
                <c:pt idx="426">
                  <c:v>5.3275897519493968E-5</c:v>
                </c:pt>
                <c:pt idx="427">
                  <c:v>4.8125877430297145E-5</c:v>
                </c:pt>
                <c:pt idx="428">
                  <c:v>4.3448660589589352E-5</c:v>
                </c:pt>
                <c:pt idx="429">
                  <c:v>3.9203421445463147E-5</c:v>
                </c:pt>
                <c:pt idx="430">
                  <c:v>3.5352603001773097E-5</c:v>
                </c:pt>
                <c:pt idx="431">
                  <c:v>3.1861679712324632E-5</c:v>
                </c:pt>
                <c:pt idx="432">
                  <c:v>2.8698935306977618E-5</c:v>
                </c:pt>
                <c:pt idx="433">
                  <c:v>2.5835254812390093E-5</c:v>
                </c:pt>
                <c:pt idx="434">
                  <c:v>2.3243930048373714E-5</c:v>
                </c:pt>
                <c:pt idx="435">
                  <c:v>2.0900477900450482E-5</c:v>
                </c:pt>
                <c:pt idx="436">
                  <c:v>1.8782470689901945E-5</c:v>
                </c:pt>
                <c:pt idx="437">
                  <c:v>1.6869377984230626E-5</c:v>
                </c:pt>
                <c:pt idx="438">
                  <c:v>1.5142419213261371E-5</c:v>
                </c:pt>
                <c:pt idx="439">
                  <c:v>1.3584426478963919E-5</c:v>
                </c:pt>
                <c:pt idx="440">
                  <c:v>1.2179716970268655E-5</c:v>
                </c:pt>
                <c:pt idx="441">
                  <c:v>1.0913974417565564E-5</c:v>
                </c:pt>
                <c:pt idx="442">
                  <c:v>9.7741390450493509E-6</c:v>
                </c:pt>
                <c:pt idx="443">
                  <c:v>8.7483055025099134E-6</c:v>
                </c:pt>
                <c:pt idx="444">
                  <c:v>7.8256282814302102E-6</c:v>
                </c:pt>
                <c:pt idx="445">
                  <c:v>6.996234143270405E-6</c:v>
                </c:pt>
                <c:pt idx="446">
                  <c:v>6.2511411104785215E-6</c:v>
                </c:pt>
                <c:pt idx="447">
                  <c:v>5.5821835930201659E-6</c:v>
                </c:pt>
                <c:pt idx="448">
                  <c:v>4.9819432449787756E-6</c:v>
                </c:pt>
                <c:pt idx="449">
                  <c:v>4.443685167005601E-6</c:v>
                </c:pt>
                <c:pt idx="450">
                  <c:v>3.9612990910320609E-6</c:v>
                </c:pt>
                <c:pt idx="451">
                  <c:v>3.5292452036728565E-6</c:v>
                </c:pt>
                <c:pt idx="452">
                  <c:v>3.1425042841019365E-6</c:v>
                </c:pt>
                <c:pt idx="453">
                  <c:v>2.7965318508624735E-6</c:v>
                </c:pt>
                <c:pt idx="454">
                  <c:v>2.4872160300486709E-6</c:v>
                </c:pt>
                <c:pt idx="455">
                  <c:v>2.2108388745684212E-6</c:v>
                </c:pt>
                <c:pt idx="456">
                  <c:v>1.9640408807463227E-6</c:v>
                </c:pt>
                <c:pt idx="457">
                  <c:v>1.7437884643617589E-6</c:v>
                </c:pt>
                <c:pt idx="458">
                  <c:v>1.5473441733317354E-6</c:v>
                </c:pt>
                <c:pt idx="459">
                  <c:v>1.3722394286545041E-6</c:v>
                </c:pt>
                <c:pt idx="460">
                  <c:v>1.2162495989313138E-6</c:v>
                </c:pt>
                <c:pt idx="461">
                  <c:v>1.0773712267960586E-6</c:v>
                </c:pt>
                <c:pt idx="462">
                  <c:v>9.5380123791646786E-7</c:v>
                </c:pt>
                <c:pt idx="463">
                  <c:v>8.4391797490514879E-7</c:v>
                </c:pt>
                <c:pt idx="464">
                  <c:v>7.4626390950944014E-7</c:v>
                </c:pt>
                <c:pt idx="465">
                  <c:v>6.5952989685752167E-7</c:v>
                </c:pt>
                <c:pt idx="466">
                  <c:v>5.8254084534282999E-7</c:v>
                </c:pt>
                <c:pt idx="467">
                  <c:v>5.1424268495308647E-7</c:v>
                </c:pt>
                <c:pt idx="468">
                  <c:v>4.536905255144105E-7</c:v>
                </c:pt>
                <c:pt idx="469">
                  <c:v>4.0003790444932249E-7</c:v>
                </c:pt>
                <c:pt idx="470">
                  <c:v>3.5252703126140567E-7</c:v>
                </c:pt>
                <c:pt idx="471">
                  <c:v>3.104799430831489E-7</c:v>
                </c:pt>
                <c:pt idx="472">
                  <c:v>2.7329049227913364E-7</c:v>
                </c:pt>
                <c:pt idx="473">
                  <c:v>2.4041709330746573E-7</c:v>
                </c:pt>
                <c:pt idx="474">
                  <c:v>2.1137616183074136E-7</c:v>
                </c:pt>
                <c:pt idx="475">
                  <c:v>1.8573618445552897E-7</c:v>
                </c:pt>
                <c:pt idx="476">
                  <c:v>1.6311236248861543E-7</c:v>
                </c:pt>
                <c:pt idx="477">
                  <c:v>1.4316177774957213E-7</c:v>
                </c:pt>
                <c:pt idx="478">
                  <c:v>1.2557903279356918E-7</c:v>
                </c:pt>
                <c:pt idx="479">
                  <c:v>1.1009232189518106E-7</c:v>
                </c:pt>
                <c:pt idx="480">
                  <c:v>9.6459892842733842E-8</c:v>
                </c:pt>
                <c:pt idx="481">
                  <c:v>8.4466863011587931E-8</c:v>
                </c:pt>
                <c:pt idx="482">
                  <c:v>7.3922356341658018E-8</c:v>
                </c:pt>
                <c:pt idx="483">
                  <c:v>6.4656930756044859E-8</c:v>
                </c:pt>
                <c:pt idx="484">
                  <c:v>5.6520268240340859E-8</c:v>
                </c:pt>
                <c:pt idx="485">
                  <c:v>4.9379102271104225E-8</c:v>
                </c:pt>
                <c:pt idx="486">
                  <c:v>4.3115359552033492E-8</c:v>
                </c:pt>
                <c:pt idx="487">
                  <c:v>3.7624495101197867E-8</c:v>
                </c:pt>
                <c:pt idx="488">
                  <c:v>3.2814001645590985E-8</c:v>
                </c:pt>
                <c:pt idx="489">
                  <c:v>2.8602076032539976E-8</c:v>
                </c:pt>
                <c:pt idx="490">
                  <c:v>2.4916426972950989E-8</c:v>
                </c:pt>
                <c:pt idx="491">
                  <c:v>2.1693209899897903E-8</c:v>
                </c:pt>
                <c:pt idx="492">
                  <c:v>1.8876076068122808E-8</c:v>
                </c:pt>
                <c:pt idx="493">
                  <c:v>1.6415324245220292E-8</c:v>
                </c:pt>
                <c:pt idx="494">
                  <c:v>1.4267144462795874E-8</c:v>
                </c:pt>
                <c:pt idx="495">
                  <c:v>1.239294431415004E-8</c:v>
                </c:pt>
                <c:pt idx="496">
                  <c:v>1.0758749212031231E-8</c:v>
                </c:pt>
                <c:pt idx="497">
                  <c:v>9.3346688630663104E-9</c:v>
                </c:pt>
                <c:pt idx="498">
                  <c:v>8.094422981541427E-9</c:v>
                </c:pt>
                <c:pt idx="499">
                  <c:v>7.0149199606205826E-9</c:v>
                </c:pt>
                <c:pt idx="500">
                  <c:v>6.0758828498232861E-9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32"/>
        <c:axId val="49627520"/>
      </c:scatterChart>
      <c:valAx>
        <c:axId val="49621632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out"/>
        <c:minorTickMark val="out"/>
        <c:tickLblPos val="nextTo"/>
        <c:crossAx val="49627520"/>
        <c:crosses val="autoZero"/>
        <c:crossBetween val="midCat"/>
        <c:majorUnit val="1"/>
        <c:minorUnit val="0.2"/>
      </c:valAx>
      <c:valAx>
        <c:axId val="49627520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4962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 3a - t dist'!$C$99</c:f>
              <c:strCache>
                <c:ptCount val="1"/>
                <c:pt idx="0">
                  <c:v>norm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'Fig 3a - t dist'!$B$100:$B$600</c:f>
              <c:numCache>
                <c:formatCode>General</c:formatCode>
                <c:ptCount val="501"/>
                <c:pt idx="0">
                  <c:v>-4</c:v>
                </c:pt>
                <c:pt idx="1">
                  <c:v>-3.92</c:v>
                </c:pt>
                <c:pt idx="2">
                  <c:v>-3.84</c:v>
                </c:pt>
                <c:pt idx="3">
                  <c:v>-3.76</c:v>
                </c:pt>
                <c:pt idx="4">
                  <c:v>-3.68</c:v>
                </c:pt>
                <c:pt idx="5">
                  <c:v>-3.6</c:v>
                </c:pt>
                <c:pt idx="6">
                  <c:v>-3.52</c:v>
                </c:pt>
                <c:pt idx="7">
                  <c:v>-3.44</c:v>
                </c:pt>
                <c:pt idx="8">
                  <c:v>-3.36</c:v>
                </c:pt>
                <c:pt idx="9">
                  <c:v>-3.2800000000000002</c:v>
                </c:pt>
                <c:pt idx="10">
                  <c:v>-3.2</c:v>
                </c:pt>
                <c:pt idx="11">
                  <c:v>-3.12</c:v>
                </c:pt>
                <c:pt idx="12">
                  <c:v>-3.04</c:v>
                </c:pt>
                <c:pt idx="13">
                  <c:v>-2.96</c:v>
                </c:pt>
                <c:pt idx="14">
                  <c:v>-2.88</c:v>
                </c:pt>
                <c:pt idx="15">
                  <c:v>-2.8</c:v>
                </c:pt>
                <c:pt idx="16">
                  <c:v>-2.7199999999999998</c:v>
                </c:pt>
                <c:pt idx="17">
                  <c:v>-2.6399999999999997</c:v>
                </c:pt>
                <c:pt idx="18">
                  <c:v>-2.56</c:v>
                </c:pt>
                <c:pt idx="19">
                  <c:v>-2.48</c:v>
                </c:pt>
                <c:pt idx="20">
                  <c:v>-2.4</c:v>
                </c:pt>
                <c:pt idx="21">
                  <c:v>-2.3200000000000003</c:v>
                </c:pt>
                <c:pt idx="22">
                  <c:v>-2.2400000000000002</c:v>
                </c:pt>
                <c:pt idx="23">
                  <c:v>-2.16</c:v>
                </c:pt>
                <c:pt idx="24">
                  <c:v>-2.08</c:v>
                </c:pt>
                <c:pt idx="25">
                  <c:v>-2</c:v>
                </c:pt>
                <c:pt idx="26">
                  <c:v>-1.92</c:v>
                </c:pt>
                <c:pt idx="27">
                  <c:v>-1.8399999999999999</c:v>
                </c:pt>
                <c:pt idx="28">
                  <c:v>-1.7599999999999998</c:v>
                </c:pt>
                <c:pt idx="29">
                  <c:v>-1.6800000000000002</c:v>
                </c:pt>
                <c:pt idx="30">
                  <c:v>-1.6</c:v>
                </c:pt>
                <c:pt idx="31">
                  <c:v>-1.52</c:v>
                </c:pt>
                <c:pt idx="32">
                  <c:v>-1.44</c:v>
                </c:pt>
                <c:pt idx="33">
                  <c:v>-1.3599999999999999</c:v>
                </c:pt>
                <c:pt idx="34">
                  <c:v>-1.2799999999999998</c:v>
                </c:pt>
                <c:pt idx="35">
                  <c:v>-1.2000000000000002</c:v>
                </c:pt>
                <c:pt idx="36">
                  <c:v>-1.1200000000000001</c:v>
                </c:pt>
                <c:pt idx="37">
                  <c:v>-1.04</c:v>
                </c:pt>
                <c:pt idx="38">
                  <c:v>-0.96</c:v>
                </c:pt>
                <c:pt idx="39">
                  <c:v>-0.87999999999999989</c:v>
                </c:pt>
                <c:pt idx="40">
                  <c:v>-0.79999999999999982</c:v>
                </c:pt>
                <c:pt idx="41">
                  <c:v>-0.7200000000000002</c:v>
                </c:pt>
                <c:pt idx="42">
                  <c:v>-0.64000000000000012</c:v>
                </c:pt>
                <c:pt idx="43">
                  <c:v>-0.56000000000000005</c:v>
                </c:pt>
                <c:pt idx="44">
                  <c:v>-0.48</c:v>
                </c:pt>
                <c:pt idx="45">
                  <c:v>-0.39999999999999991</c:v>
                </c:pt>
                <c:pt idx="46">
                  <c:v>-0.31999999999999984</c:v>
                </c:pt>
                <c:pt idx="47">
                  <c:v>-0.24000000000000021</c:v>
                </c:pt>
                <c:pt idx="48">
                  <c:v>-0.16000000000000014</c:v>
                </c:pt>
                <c:pt idx="49">
                  <c:v>-8.0000000000000071E-2</c:v>
                </c:pt>
                <c:pt idx="50">
                  <c:v>0</c:v>
                </c:pt>
                <c:pt idx="51">
                  <c:v>8.0000000000000071E-2</c:v>
                </c:pt>
                <c:pt idx="52">
                  <c:v>0.16000000000000014</c:v>
                </c:pt>
                <c:pt idx="53">
                  <c:v>0.24000000000000021</c:v>
                </c:pt>
                <c:pt idx="54">
                  <c:v>0.32000000000000028</c:v>
                </c:pt>
                <c:pt idx="55">
                  <c:v>0.40000000000000036</c:v>
                </c:pt>
                <c:pt idx="56">
                  <c:v>0.48000000000000043</c:v>
                </c:pt>
                <c:pt idx="57">
                  <c:v>0.55999999999999961</c:v>
                </c:pt>
                <c:pt idx="58">
                  <c:v>0.63999999999999968</c:v>
                </c:pt>
                <c:pt idx="59">
                  <c:v>0.71999999999999975</c:v>
                </c:pt>
                <c:pt idx="60">
                  <c:v>0.79999999999999982</c:v>
                </c:pt>
                <c:pt idx="61">
                  <c:v>0.87999999999999989</c:v>
                </c:pt>
                <c:pt idx="62">
                  <c:v>0.96</c:v>
                </c:pt>
                <c:pt idx="63">
                  <c:v>1.04</c:v>
                </c:pt>
                <c:pt idx="64">
                  <c:v>1.1200000000000001</c:v>
                </c:pt>
                <c:pt idx="65">
                  <c:v>1.2000000000000002</c:v>
                </c:pt>
                <c:pt idx="66">
                  <c:v>1.2800000000000002</c:v>
                </c:pt>
                <c:pt idx="67">
                  <c:v>1.3600000000000003</c:v>
                </c:pt>
                <c:pt idx="68">
                  <c:v>1.4400000000000004</c:v>
                </c:pt>
                <c:pt idx="69">
                  <c:v>1.5199999999999996</c:v>
                </c:pt>
                <c:pt idx="70">
                  <c:v>1.5999999999999996</c:v>
                </c:pt>
                <c:pt idx="71">
                  <c:v>1.6799999999999997</c:v>
                </c:pt>
                <c:pt idx="72">
                  <c:v>1.7599999999999998</c:v>
                </c:pt>
                <c:pt idx="73">
                  <c:v>1.8399999999999999</c:v>
                </c:pt>
                <c:pt idx="74">
                  <c:v>1.92</c:v>
                </c:pt>
                <c:pt idx="75">
                  <c:v>2</c:v>
                </c:pt>
                <c:pt idx="76">
                  <c:v>2.08</c:v>
                </c:pt>
                <c:pt idx="77">
                  <c:v>2.16</c:v>
                </c:pt>
                <c:pt idx="78">
                  <c:v>2.2400000000000002</c:v>
                </c:pt>
                <c:pt idx="79">
                  <c:v>2.3200000000000003</c:v>
                </c:pt>
                <c:pt idx="80">
                  <c:v>2.4000000000000004</c:v>
                </c:pt>
                <c:pt idx="81">
                  <c:v>2.4800000000000004</c:v>
                </c:pt>
                <c:pt idx="82">
                  <c:v>2.5599999999999996</c:v>
                </c:pt>
                <c:pt idx="83">
                  <c:v>2.6399999999999997</c:v>
                </c:pt>
                <c:pt idx="84">
                  <c:v>2.7199999999999998</c:v>
                </c:pt>
                <c:pt idx="85">
                  <c:v>2.8</c:v>
                </c:pt>
                <c:pt idx="86">
                  <c:v>2.88</c:v>
                </c:pt>
                <c:pt idx="87">
                  <c:v>2.96</c:v>
                </c:pt>
                <c:pt idx="88">
                  <c:v>3.04</c:v>
                </c:pt>
                <c:pt idx="89">
                  <c:v>3.12</c:v>
                </c:pt>
                <c:pt idx="90">
                  <c:v>3.2</c:v>
                </c:pt>
                <c:pt idx="91">
                  <c:v>3.2800000000000002</c:v>
                </c:pt>
                <c:pt idx="92">
                  <c:v>3.3600000000000003</c:v>
                </c:pt>
                <c:pt idx="93">
                  <c:v>3.4400000000000004</c:v>
                </c:pt>
                <c:pt idx="94">
                  <c:v>3.5199999999999996</c:v>
                </c:pt>
                <c:pt idx="95">
                  <c:v>3.5999999999999996</c:v>
                </c:pt>
                <c:pt idx="96">
                  <c:v>3.6799999999999997</c:v>
                </c:pt>
                <c:pt idx="97">
                  <c:v>3.76</c:v>
                </c:pt>
                <c:pt idx="98">
                  <c:v>3.84</c:v>
                </c:pt>
                <c:pt idx="99">
                  <c:v>3.92</c:v>
                </c:pt>
                <c:pt idx="100">
                  <c:v>4</c:v>
                </c:pt>
              </c:numCache>
            </c:numRef>
          </c:xVal>
          <c:yVal>
            <c:numRef>
              <c:f>'Fig 3a - t dist'!$C$100:$C$600</c:f>
              <c:numCache>
                <c:formatCode>General</c:formatCode>
                <c:ptCount val="501"/>
                <c:pt idx="0">
                  <c:v>1.3383022576488537E-4</c:v>
                </c:pt>
                <c:pt idx="1">
                  <c:v>1.8371249800245711E-4</c:v>
                </c:pt>
                <c:pt idx="2">
                  <c:v>2.5057844489086075E-4</c:v>
                </c:pt>
                <c:pt idx="3">
                  <c:v>3.3960121248365478E-4</c:v>
                </c:pt>
                <c:pt idx="4">
                  <c:v>4.5731481405985675E-4</c:v>
                </c:pt>
                <c:pt idx="5">
                  <c:v>6.119019301137719E-4</c:v>
                </c:pt>
                <c:pt idx="6">
                  <c:v>8.1352123108180841E-4</c:v>
                </c:pt>
                <c:pt idx="7">
                  <c:v>1.0746733401537356E-3</c:v>
                </c:pt>
                <c:pt idx="8">
                  <c:v>1.4106022569413848E-3</c:v>
                </c:pt>
                <c:pt idx="9">
                  <c:v>1.8397261808242775E-3</c:v>
                </c:pt>
                <c:pt idx="10">
                  <c:v>2.3840882014648404E-3</c:v>
                </c:pt>
                <c:pt idx="11">
                  <c:v>3.0698133011047403E-3</c:v>
                </c:pt>
                <c:pt idx="12">
                  <c:v>3.9275536289247789E-3</c:v>
                </c:pt>
                <c:pt idx="13">
                  <c:v>4.9928992136123763E-3</c:v>
                </c:pt>
                <c:pt idx="14">
                  <c:v>6.3067263962659275E-3</c:v>
                </c:pt>
                <c:pt idx="15">
                  <c:v>7.9154515829799686E-3</c:v>
                </c:pt>
                <c:pt idx="16">
                  <c:v>9.8711537947511439E-3</c:v>
                </c:pt>
                <c:pt idx="17">
                  <c:v>1.2231526351277987E-2</c:v>
                </c:pt>
                <c:pt idx="18">
                  <c:v>1.5059616327377449E-2</c:v>
                </c:pt>
                <c:pt idx="19">
                  <c:v>1.8423310646862048E-2</c:v>
                </c:pt>
                <c:pt idx="20">
                  <c:v>2.2394530294842899E-2</c:v>
                </c:pt>
                <c:pt idx="21">
                  <c:v>2.7048099546881761E-2</c:v>
                </c:pt>
                <c:pt idx="22">
                  <c:v>3.2460265643697445E-2</c:v>
                </c:pt>
                <c:pt idx="23">
                  <c:v>3.8706856147455608E-2</c:v>
                </c:pt>
                <c:pt idx="24">
                  <c:v>4.5861076271054887E-2</c:v>
                </c:pt>
                <c:pt idx="25">
                  <c:v>5.3990966513188063E-2</c:v>
                </c:pt>
                <c:pt idx="26">
                  <c:v>6.3156561435198655E-2</c:v>
                </c:pt>
                <c:pt idx="27">
                  <c:v>7.3406812581656919E-2</c:v>
                </c:pt>
                <c:pt idx="28">
                  <c:v>8.4776361308022255E-2</c:v>
                </c:pt>
                <c:pt idx="29">
                  <c:v>9.7282269331467469E-2</c:v>
                </c:pt>
                <c:pt idx="30">
                  <c:v>0.11092083467945554</c:v>
                </c:pt>
                <c:pt idx="31">
                  <c:v>0.12566463678908815</c:v>
                </c:pt>
                <c:pt idx="32">
                  <c:v>0.14145996522483878</c:v>
                </c:pt>
                <c:pt idx="33">
                  <c:v>0.15822479037038306</c:v>
                </c:pt>
                <c:pt idx="34">
                  <c:v>0.17584743029766242</c:v>
                </c:pt>
                <c:pt idx="35">
                  <c:v>0.19418605498321292</c:v>
                </c:pt>
                <c:pt idx="36">
                  <c:v>0.21306914677571784</c:v>
                </c:pt>
                <c:pt idx="37">
                  <c:v>0.2322970047433662</c:v>
                </c:pt>
                <c:pt idx="38">
                  <c:v>0.25164434109811712</c:v>
                </c:pt>
                <c:pt idx="39">
                  <c:v>0.27086397179833804</c:v>
                </c:pt>
                <c:pt idx="40">
                  <c:v>0.28969155276148278</c:v>
                </c:pt>
                <c:pt idx="41">
                  <c:v>0.30785126046985289</c:v>
                </c:pt>
                <c:pt idx="42">
                  <c:v>0.32506226408408212</c:v>
                </c:pt>
                <c:pt idx="43">
                  <c:v>0.34104578863035256</c:v>
                </c:pt>
                <c:pt idx="44">
                  <c:v>0.35553252850599709</c:v>
                </c:pt>
                <c:pt idx="45">
                  <c:v>0.36827014030332339</c:v>
                </c:pt>
                <c:pt idx="46">
                  <c:v>0.37903052615270172</c:v>
                </c:pt>
                <c:pt idx="47">
                  <c:v>0.38761661512501411</c:v>
                </c:pt>
                <c:pt idx="48">
                  <c:v>0.39386836156854083</c:v>
                </c:pt>
                <c:pt idx="49">
                  <c:v>0.39766770551160885</c:v>
                </c:pt>
                <c:pt idx="50">
                  <c:v>0.3989422804014327</c:v>
                </c:pt>
                <c:pt idx="51">
                  <c:v>0.39766770551160885</c:v>
                </c:pt>
                <c:pt idx="52">
                  <c:v>0.39386836156854083</c:v>
                </c:pt>
                <c:pt idx="53">
                  <c:v>0.38761661512501411</c:v>
                </c:pt>
                <c:pt idx="54">
                  <c:v>0.37903052615270166</c:v>
                </c:pt>
                <c:pt idx="55">
                  <c:v>0.36827014030332328</c:v>
                </c:pt>
                <c:pt idx="56">
                  <c:v>0.35553252850599704</c:v>
                </c:pt>
                <c:pt idx="57">
                  <c:v>0.34104578863035268</c:v>
                </c:pt>
                <c:pt idx="58">
                  <c:v>0.32506226408408218</c:v>
                </c:pt>
                <c:pt idx="59">
                  <c:v>0.30785126046985301</c:v>
                </c:pt>
                <c:pt idx="60">
                  <c:v>0.28969155276148278</c:v>
                </c:pt>
                <c:pt idx="61">
                  <c:v>0.27086397179833804</c:v>
                </c:pt>
                <c:pt idx="62">
                  <c:v>0.25164434109811712</c:v>
                </c:pt>
                <c:pt idx="63">
                  <c:v>0.2322970047433662</c:v>
                </c:pt>
                <c:pt idx="64">
                  <c:v>0.21306914677571784</c:v>
                </c:pt>
                <c:pt idx="65">
                  <c:v>0.19418605498321292</c:v>
                </c:pt>
                <c:pt idx="66">
                  <c:v>0.17584743029766231</c:v>
                </c:pt>
                <c:pt idx="67">
                  <c:v>0.15822479037038298</c:v>
                </c:pt>
                <c:pt idx="68">
                  <c:v>0.1414599652248387</c:v>
                </c:pt>
                <c:pt idx="69">
                  <c:v>0.12566463678908824</c:v>
                </c:pt>
                <c:pt idx="70">
                  <c:v>0.11092083467945563</c:v>
                </c:pt>
                <c:pt idx="71">
                  <c:v>9.7282269331467539E-2</c:v>
                </c:pt>
                <c:pt idx="72">
                  <c:v>8.4776361308022255E-2</c:v>
                </c:pt>
                <c:pt idx="73">
                  <c:v>7.3406812581656919E-2</c:v>
                </c:pt>
                <c:pt idx="74">
                  <c:v>6.3156561435198655E-2</c:v>
                </c:pt>
                <c:pt idx="75">
                  <c:v>5.3990966513188063E-2</c:v>
                </c:pt>
                <c:pt idx="76">
                  <c:v>4.5861076271054887E-2</c:v>
                </c:pt>
                <c:pt idx="77">
                  <c:v>3.8706856147455608E-2</c:v>
                </c:pt>
                <c:pt idx="78">
                  <c:v>3.2460265643697445E-2</c:v>
                </c:pt>
                <c:pt idx="79">
                  <c:v>2.7048099546881761E-2</c:v>
                </c:pt>
                <c:pt idx="80">
                  <c:v>2.2394530294842882E-2</c:v>
                </c:pt>
                <c:pt idx="81">
                  <c:v>1.8423310646862031E-2</c:v>
                </c:pt>
                <c:pt idx="82">
                  <c:v>1.5059616327377472E-2</c:v>
                </c:pt>
                <c:pt idx="83">
                  <c:v>1.2231526351277987E-2</c:v>
                </c:pt>
                <c:pt idx="84">
                  <c:v>9.8711537947511439E-3</c:v>
                </c:pt>
                <c:pt idx="85">
                  <c:v>7.9154515829799686E-3</c:v>
                </c:pt>
                <c:pt idx="86">
                  <c:v>6.3067263962659275E-3</c:v>
                </c:pt>
                <c:pt idx="87">
                  <c:v>4.9928992136123763E-3</c:v>
                </c:pt>
                <c:pt idx="88">
                  <c:v>3.9275536289247789E-3</c:v>
                </c:pt>
                <c:pt idx="89">
                  <c:v>3.0698133011047403E-3</c:v>
                </c:pt>
                <c:pt idx="90">
                  <c:v>2.3840882014648404E-3</c:v>
                </c:pt>
                <c:pt idx="91">
                  <c:v>1.8397261808242775E-3</c:v>
                </c:pt>
                <c:pt idx="92">
                  <c:v>1.4106022569413824E-3</c:v>
                </c:pt>
                <c:pt idx="93">
                  <c:v>1.0746733401537337E-3</c:v>
                </c:pt>
                <c:pt idx="94">
                  <c:v>8.1352123108180917E-4</c:v>
                </c:pt>
                <c:pt idx="95">
                  <c:v>6.1190193011377298E-4</c:v>
                </c:pt>
                <c:pt idx="96">
                  <c:v>4.5731481405985762E-4</c:v>
                </c:pt>
                <c:pt idx="97">
                  <c:v>3.3960121248365478E-4</c:v>
                </c:pt>
                <c:pt idx="98">
                  <c:v>2.5057844489086075E-4</c:v>
                </c:pt>
                <c:pt idx="99">
                  <c:v>1.8371249800245711E-4</c:v>
                </c:pt>
                <c:pt idx="100">
                  <c:v>1.3383022576488537E-4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'Fig 3a - t dist'!$H$99</c:f>
              <c:strCache>
                <c:ptCount val="1"/>
                <c:pt idx="0">
                  <c:v>df=19</c:v>
                </c:pt>
              </c:strCache>
            </c:strRef>
          </c:tx>
          <c:spPr>
            <a:ln w="25400">
              <a:solidFill>
                <a:srgbClr val="0070C0">
                  <a:alpha val="20000"/>
                </a:srgbClr>
              </a:solidFill>
            </a:ln>
          </c:spPr>
          <c:marker>
            <c:symbol val="none"/>
          </c:marker>
          <c:xVal>
            <c:numRef>
              <c:f>'Fig 3a - t dist'!$B$100:$B$600</c:f>
              <c:numCache>
                <c:formatCode>General</c:formatCode>
                <c:ptCount val="501"/>
                <c:pt idx="0">
                  <c:v>-4</c:v>
                </c:pt>
                <c:pt idx="1">
                  <c:v>-3.92</c:v>
                </c:pt>
                <c:pt idx="2">
                  <c:v>-3.84</c:v>
                </c:pt>
                <c:pt idx="3">
                  <c:v>-3.76</c:v>
                </c:pt>
                <c:pt idx="4">
                  <c:v>-3.68</c:v>
                </c:pt>
                <c:pt idx="5">
                  <c:v>-3.6</c:v>
                </c:pt>
                <c:pt idx="6">
                  <c:v>-3.52</c:v>
                </c:pt>
                <c:pt idx="7">
                  <c:v>-3.44</c:v>
                </c:pt>
                <c:pt idx="8">
                  <c:v>-3.36</c:v>
                </c:pt>
                <c:pt idx="9">
                  <c:v>-3.2800000000000002</c:v>
                </c:pt>
                <c:pt idx="10">
                  <c:v>-3.2</c:v>
                </c:pt>
                <c:pt idx="11">
                  <c:v>-3.12</c:v>
                </c:pt>
                <c:pt idx="12">
                  <c:v>-3.04</c:v>
                </c:pt>
                <c:pt idx="13">
                  <c:v>-2.96</c:v>
                </c:pt>
                <c:pt idx="14">
                  <c:v>-2.88</c:v>
                </c:pt>
                <c:pt idx="15">
                  <c:v>-2.8</c:v>
                </c:pt>
                <c:pt idx="16">
                  <c:v>-2.7199999999999998</c:v>
                </c:pt>
                <c:pt idx="17">
                  <c:v>-2.6399999999999997</c:v>
                </c:pt>
                <c:pt idx="18">
                  <c:v>-2.56</c:v>
                </c:pt>
                <c:pt idx="19">
                  <c:v>-2.48</c:v>
                </c:pt>
                <c:pt idx="20">
                  <c:v>-2.4</c:v>
                </c:pt>
                <c:pt idx="21">
                  <c:v>-2.3200000000000003</c:v>
                </c:pt>
                <c:pt idx="22">
                  <c:v>-2.2400000000000002</c:v>
                </c:pt>
                <c:pt idx="23">
                  <c:v>-2.16</c:v>
                </c:pt>
                <c:pt idx="24">
                  <c:v>-2.08</c:v>
                </c:pt>
                <c:pt idx="25">
                  <c:v>-2</c:v>
                </c:pt>
                <c:pt idx="26">
                  <c:v>-1.92</c:v>
                </c:pt>
                <c:pt idx="27">
                  <c:v>-1.8399999999999999</c:v>
                </c:pt>
                <c:pt idx="28">
                  <c:v>-1.7599999999999998</c:v>
                </c:pt>
                <c:pt idx="29">
                  <c:v>-1.6800000000000002</c:v>
                </c:pt>
                <c:pt idx="30">
                  <c:v>-1.6</c:v>
                </c:pt>
                <c:pt idx="31">
                  <c:v>-1.52</c:v>
                </c:pt>
                <c:pt idx="32">
                  <c:v>-1.44</c:v>
                </c:pt>
                <c:pt idx="33">
                  <c:v>-1.3599999999999999</c:v>
                </c:pt>
                <c:pt idx="34">
                  <c:v>-1.2799999999999998</c:v>
                </c:pt>
                <c:pt idx="35">
                  <c:v>-1.2000000000000002</c:v>
                </c:pt>
                <c:pt idx="36">
                  <c:v>-1.1200000000000001</c:v>
                </c:pt>
                <c:pt idx="37">
                  <c:v>-1.04</c:v>
                </c:pt>
                <c:pt idx="38">
                  <c:v>-0.96</c:v>
                </c:pt>
                <c:pt idx="39">
                  <c:v>-0.87999999999999989</c:v>
                </c:pt>
                <c:pt idx="40">
                  <c:v>-0.79999999999999982</c:v>
                </c:pt>
                <c:pt idx="41">
                  <c:v>-0.7200000000000002</c:v>
                </c:pt>
                <c:pt idx="42">
                  <c:v>-0.64000000000000012</c:v>
                </c:pt>
                <c:pt idx="43">
                  <c:v>-0.56000000000000005</c:v>
                </c:pt>
                <c:pt idx="44">
                  <c:v>-0.48</c:v>
                </c:pt>
                <c:pt idx="45">
                  <c:v>-0.39999999999999991</c:v>
                </c:pt>
                <c:pt idx="46">
                  <c:v>-0.31999999999999984</c:v>
                </c:pt>
                <c:pt idx="47">
                  <c:v>-0.24000000000000021</c:v>
                </c:pt>
                <c:pt idx="48">
                  <c:v>-0.16000000000000014</c:v>
                </c:pt>
                <c:pt idx="49">
                  <c:v>-8.0000000000000071E-2</c:v>
                </c:pt>
                <c:pt idx="50">
                  <c:v>0</c:v>
                </c:pt>
                <c:pt idx="51">
                  <c:v>8.0000000000000071E-2</c:v>
                </c:pt>
                <c:pt idx="52">
                  <c:v>0.16000000000000014</c:v>
                </c:pt>
                <c:pt idx="53">
                  <c:v>0.24000000000000021</c:v>
                </c:pt>
                <c:pt idx="54">
                  <c:v>0.32000000000000028</c:v>
                </c:pt>
                <c:pt idx="55">
                  <c:v>0.40000000000000036</c:v>
                </c:pt>
                <c:pt idx="56">
                  <c:v>0.48000000000000043</c:v>
                </c:pt>
                <c:pt idx="57">
                  <c:v>0.55999999999999961</c:v>
                </c:pt>
                <c:pt idx="58">
                  <c:v>0.63999999999999968</c:v>
                </c:pt>
                <c:pt idx="59">
                  <c:v>0.71999999999999975</c:v>
                </c:pt>
                <c:pt idx="60">
                  <c:v>0.79999999999999982</c:v>
                </c:pt>
                <c:pt idx="61">
                  <c:v>0.87999999999999989</c:v>
                </c:pt>
                <c:pt idx="62">
                  <c:v>0.96</c:v>
                </c:pt>
                <c:pt idx="63">
                  <c:v>1.04</c:v>
                </c:pt>
                <c:pt idx="64">
                  <c:v>1.1200000000000001</c:v>
                </c:pt>
                <c:pt idx="65">
                  <c:v>1.2000000000000002</c:v>
                </c:pt>
                <c:pt idx="66">
                  <c:v>1.2800000000000002</c:v>
                </c:pt>
                <c:pt idx="67">
                  <c:v>1.3600000000000003</c:v>
                </c:pt>
                <c:pt idx="68">
                  <c:v>1.4400000000000004</c:v>
                </c:pt>
                <c:pt idx="69">
                  <c:v>1.5199999999999996</c:v>
                </c:pt>
                <c:pt idx="70">
                  <c:v>1.5999999999999996</c:v>
                </c:pt>
                <c:pt idx="71">
                  <c:v>1.6799999999999997</c:v>
                </c:pt>
                <c:pt idx="72">
                  <c:v>1.7599999999999998</c:v>
                </c:pt>
                <c:pt idx="73">
                  <c:v>1.8399999999999999</c:v>
                </c:pt>
                <c:pt idx="74">
                  <c:v>1.92</c:v>
                </c:pt>
                <c:pt idx="75">
                  <c:v>2</c:v>
                </c:pt>
                <c:pt idx="76">
                  <c:v>2.08</c:v>
                </c:pt>
                <c:pt idx="77">
                  <c:v>2.16</c:v>
                </c:pt>
                <c:pt idx="78">
                  <c:v>2.2400000000000002</c:v>
                </c:pt>
                <c:pt idx="79">
                  <c:v>2.3200000000000003</c:v>
                </c:pt>
                <c:pt idx="80">
                  <c:v>2.4000000000000004</c:v>
                </c:pt>
                <c:pt idx="81">
                  <c:v>2.4800000000000004</c:v>
                </c:pt>
                <c:pt idx="82">
                  <c:v>2.5599999999999996</c:v>
                </c:pt>
                <c:pt idx="83">
                  <c:v>2.6399999999999997</c:v>
                </c:pt>
                <c:pt idx="84">
                  <c:v>2.7199999999999998</c:v>
                </c:pt>
                <c:pt idx="85">
                  <c:v>2.8</c:v>
                </c:pt>
                <c:pt idx="86">
                  <c:v>2.88</c:v>
                </c:pt>
                <c:pt idx="87">
                  <c:v>2.96</c:v>
                </c:pt>
                <c:pt idx="88">
                  <c:v>3.04</c:v>
                </c:pt>
                <c:pt idx="89">
                  <c:v>3.12</c:v>
                </c:pt>
                <c:pt idx="90">
                  <c:v>3.2</c:v>
                </c:pt>
                <c:pt idx="91">
                  <c:v>3.2800000000000002</c:v>
                </c:pt>
                <c:pt idx="92">
                  <c:v>3.3600000000000003</c:v>
                </c:pt>
                <c:pt idx="93">
                  <c:v>3.4400000000000004</c:v>
                </c:pt>
                <c:pt idx="94">
                  <c:v>3.5199999999999996</c:v>
                </c:pt>
                <c:pt idx="95">
                  <c:v>3.5999999999999996</c:v>
                </c:pt>
                <c:pt idx="96">
                  <c:v>3.6799999999999997</c:v>
                </c:pt>
                <c:pt idx="97">
                  <c:v>3.76</c:v>
                </c:pt>
                <c:pt idx="98">
                  <c:v>3.84</c:v>
                </c:pt>
                <c:pt idx="99">
                  <c:v>3.92</c:v>
                </c:pt>
                <c:pt idx="100">
                  <c:v>4</c:v>
                </c:pt>
              </c:numCache>
            </c:numRef>
          </c:xVal>
          <c:yVal>
            <c:numRef>
              <c:f>'Fig 3a - t dist'!$H$100:$H$600</c:f>
              <c:numCache>
                <c:formatCode>General</c:formatCode>
                <c:ptCount val="501"/>
                <c:pt idx="0">
                  <c:v>8.7509229562642086E-4</c:v>
                </c:pt>
                <c:pt idx="1">
                  <c:v>1.0504947763400616E-3</c:v>
                </c:pt>
                <c:pt idx="2">
                  <c:v>1.2605577893062335E-3</c:v>
                </c:pt>
                <c:pt idx="3">
                  <c:v>1.5119025188597181E-3</c:v>
                </c:pt>
                <c:pt idx="4">
                  <c:v>1.8123351518951373E-3</c:v>
                </c:pt>
                <c:pt idx="5">
                  <c:v>2.1710338625362991E-3</c:v>
                </c:pt>
                <c:pt idx="6">
                  <c:v>2.5987577972712214E-3</c:v>
                </c:pt>
                <c:pt idx="7">
                  <c:v>3.1080783856877914E-3</c:v>
                </c:pt>
                <c:pt idx="8">
                  <c:v>3.7136324872708393E-3</c:v>
                </c:pt>
                <c:pt idx="9">
                  <c:v>4.43239578281957E-3</c:v>
                </c:pt>
                <c:pt idx="10">
                  <c:v>5.2839733789948355E-3</c:v>
                </c:pt>
                <c:pt idx="11">
                  <c:v>6.2909027671282786E-3</c:v>
                </c:pt>
                <c:pt idx="12">
                  <c:v>7.4789620200480618E-3</c:v>
                </c:pt>
                <c:pt idx="13">
                  <c:v>8.877473393595476E-3</c:v>
                </c:pt>
                <c:pt idx="14">
                  <c:v>1.0519589314286782E-2</c:v>
                </c:pt>
                <c:pt idx="15">
                  <c:v>1.2442544104229526E-2</c:v>
                </c:pt>
                <c:pt idx="16">
                  <c:v>1.468785078528163E-2</c:v>
                </c:pt>
                <c:pt idx="17">
                  <c:v>1.7301418039333983E-2</c:v>
                </c:pt>
                <c:pt idx="18">
                  <c:v>2.0333558073185692E-2</c:v>
                </c:pt>
                <c:pt idx="19">
                  <c:v>2.3838852019766821E-2</c:v>
                </c:pt>
                <c:pt idx="20">
                  <c:v>2.7875835969250713E-2</c:v>
                </c:pt>
                <c:pt idx="21">
                  <c:v>3.2506468226532984E-2</c:v>
                </c:pt>
                <c:pt idx="22">
                  <c:v>3.7795337489727E-2</c:v>
                </c:pt>
                <c:pt idx="23">
                  <c:v>4.3808572967137603E-2</c:v>
                </c:pt>
                <c:pt idx="24">
                  <c:v>5.0612421671160535E-2</c:v>
                </c:pt>
                <c:pt idx="25">
                  <c:v>5.8271465915450509E-2</c:v>
                </c:pt>
                <c:pt idx="26">
                  <c:v>6.6846465992177626E-2</c:v>
                </c:pt>
                <c:pt idx="27">
                  <c:v>7.6391829554824153E-2</c:v>
                </c:pt>
                <c:pt idx="28">
                  <c:v>8.69527305517451E-2</c:v>
                </c:pt>
                <c:pt idx="29">
                  <c:v>9.8561926446259357E-2</c:v>
                </c:pt>
                <c:pt idx="30">
                  <c:v>0.11123635223869495</c:v>
                </c:pt>
                <c:pt idx="31">
                  <c:v>0.1249736022220423</c:v>
                </c:pt>
                <c:pt idx="32">
                  <c:v>0.13974844357953992</c:v>
                </c:pt>
                <c:pt idx="33">
                  <c:v>0.15550953737469403</c:v>
                </c:pt>
                <c:pt idx="34">
                  <c:v>0.17217656915925986</c:v>
                </c:pt>
                <c:pt idx="35">
                  <c:v>0.18963800993470467</c:v>
                </c:pt>
                <c:pt idx="36">
                  <c:v>0.20774973505306185</c:v>
                </c:pt>
                <c:pt idx="37">
                  <c:v>0.22633472060062665</c:v>
                </c:pt>
                <c:pt idx="38">
                  <c:v>0.24518401132370779</c:v>
                </c:pt>
                <c:pt idx="39">
                  <c:v>0.26405910981257613</c:v>
                </c:pt>
                <c:pt idx="40">
                  <c:v>0.28269587358828069</c:v>
                </c:pt>
                <c:pt idx="41">
                  <c:v>0.300809926931912</c:v>
                </c:pt>
                <c:pt idx="42">
                  <c:v>0.31810350176667596</c:v>
                </c:pt>
                <c:pt idx="43">
                  <c:v>0.33427352259963639</c:v>
                </c:pt>
                <c:pt idx="44">
                  <c:v>0.34902065200774157</c:v>
                </c:pt>
                <c:pt idx="45">
                  <c:v>0.36205892397661504</c:v>
                </c:pt>
                <c:pt idx="46">
                  <c:v>0.37312552132542348</c:v>
                </c:pt>
                <c:pt idx="47">
                  <c:v>0.38199020846131088</c:v>
                </c:pt>
                <c:pt idx="48">
                  <c:v>0.38846391803006297</c:v>
                </c:pt>
                <c:pt idx="49">
                  <c:v>0.392406013262246</c:v>
                </c:pt>
                <c:pt idx="50">
                  <c:v>0.39372980729260415</c:v>
                </c:pt>
                <c:pt idx="51">
                  <c:v>0.392406013262246</c:v>
                </c:pt>
                <c:pt idx="52">
                  <c:v>0.38846391803006297</c:v>
                </c:pt>
                <c:pt idx="53">
                  <c:v>0.38199020846131088</c:v>
                </c:pt>
                <c:pt idx="54">
                  <c:v>0.37312552132542348</c:v>
                </c:pt>
                <c:pt idx="55">
                  <c:v>0.36205892397661504</c:v>
                </c:pt>
                <c:pt idx="56">
                  <c:v>0.34902065200774157</c:v>
                </c:pt>
                <c:pt idx="57">
                  <c:v>0.33427352259963639</c:v>
                </c:pt>
                <c:pt idx="58">
                  <c:v>0.31810350176667668</c:v>
                </c:pt>
                <c:pt idx="59">
                  <c:v>0.300809926931912</c:v>
                </c:pt>
                <c:pt idx="60">
                  <c:v>0.28269587358828069</c:v>
                </c:pt>
                <c:pt idx="61">
                  <c:v>0.26405910981257613</c:v>
                </c:pt>
                <c:pt idx="62">
                  <c:v>0.24518401132370779</c:v>
                </c:pt>
                <c:pt idx="63">
                  <c:v>0.22633472060062665</c:v>
                </c:pt>
                <c:pt idx="64">
                  <c:v>0.20774973505306185</c:v>
                </c:pt>
                <c:pt idx="65">
                  <c:v>0.18963800993470467</c:v>
                </c:pt>
                <c:pt idx="66">
                  <c:v>0.17217656915925986</c:v>
                </c:pt>
                <c:pt idx="67">
                  <c:v>0.15550953737469403</c:v>
                </c:pt>
                <c:pt idx="68">
                  <c:v>0.13974844357953992</c:v>
                </c:pt>
                <c:pt idx="69">
                  <c:v>0.1249736022220423</c:v>
                </c:pt>
                <c:pt idx="70">
                  <c:v>0.11123635223869517</c:v>
                </c:pt>
                <c:pt idx="71">
                  <c:v>9.8561926446259357E-2</c:v>
                </c:pt>
                <c:pt idx="72">
                  <c:v>8.69527305517451E-2</c:v>
                </c:pt>
                <c:pt idx="73">
                  <c:v>7.6391829554824153E-2</c:v>
                </c:pt>
                <c:pt idx="74">
                  <c:v>6.6846465992177626E-2</c:v>
                </c:pt>
                <c:pt idx="75">
                  <c:v>5.8271465915450509E-2</c:v>
                </c:pt>
                <c:pt idx="76">
                  <c:v>5.0612421671160535E-2</c:v>
                </c:pt>
                <c:pt idx="77">
                  <c:v>4.3808572967137603E-2</c:v>
                </c:pt>
                <c:pt idx="78">
                  <c:v>3.7795337489727E-2</c:v>
                </c:pt>
                <c:pt idx="79">
                  <c:v>3.2506468226532984E-2</c:v>
                </c:pt>
                <c:pt idx="80">
                  <c:v>2.7875835969250713E-2</c:v>
                </c:pt>
                <c:pt idx="81">
                  <c:v>2.3838852019766783E-2</c:v>
                </c:pt>
                <c:pt idx="82">
                  <c:v>2.0333558073185726E-2</c:v>
                </c:pt>
                <c:pt idx="83">
                  <c:v>1.7301418039333983E-2</c:v>
                </c:pt>
                <c:pt idx="84">
                  <c:v>1.468785078528163E-2</c:v>
                </c:pt>
                <c:pt idx="85">
                  <c:v>1.2442544104229526E-2</c:v>
                </c:pt>
                <c:pt idx="86">
                  <c:v>1.0519589314286782E-2</c:v>
                </c:pt>
                <c:pt idx="87">
                  <c:v>8.877473393595476E-3</c:v>
                </c:pt>
                <c:pt idx="88">
                  <c:v>7.4789620200480618E-3</c:v>
                </c:pt>
                <c:pt idx="89">
                  <c:v>6.2909027671282786E-3</c:v>
                </c:pt>
                <c:pt idx="90">
                  <c:v>5.2839733789948355E-3</c:v>
                </c:pt>
                <c:pt idx="91">
                  <c:v>4.43239578281957E-3</c:v>
                </c:pt>
                <c:pt idx="92">
                  <c:v>3.7136324872708393E-3</c:v>
                </c:pt>
                <c:pt idx="93">
                  <c:v>3.1080783856877832E-3</c:v>
                </c:pt>
                <c:pt idx="94">
                  <c:v>2.5987577972712214E-3</c:v>
                </c:pt>
                <c:pt idx="95">
                  <c:v>2.1710338625363017E-3</c:v>
                </c:pt>
                <c:pt idx="96">
                  <c:v>1.8123351518951421E-3</c:v>
                </c:pt>
                <c:pt idx="97">
                  <c:v>1.5119025188597181E-3</c:v>
                </c:pt>
                <c:pt idx="98">
                  <c:v>1.2605577893062335E-3</c:v>
                </c:pt>
                <c:pt idx="99">
                  <c:v>1.0504947763400616E-3</c:v>
                </c:pt>
                <c:pt idx="100">
                  <c:v>8.7509229562642086E-4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'Fig 3a - t dist'!$G$99</c:f>
              <c:strCache>
                <c:ptCount val="1"/>
                <c:pt idx="0">
                  <c:v>df=9</c:v>
                </c:pt>
              </c:strCache>
            </c:strRef>
          </c:tx>
          <c:spPr>
            <a:ln>
              <a:solidFill>
                <a:srgbClr val="0070C0">
                  <a:alpha val="35000"/>
                </a:srgbClr>
              </a:solidFill>
            </a:ln>
          </c:spPr>
          <c:marker>
            <c:symbol val="none"/>
          </c:marker>
          <c:xVal>
            <c:numRef>
              <c:f>'Fig 3a - t dist'!$B$100:$B$600</c:f>
              <c:numCache>
                <c:formatCode>General</c:formatCode>
                <c:ptCount val="501"/>
                <c:pt idx="0">
                  <c:v>-4</c:v>
                </c:pt>
                <c:pt idx="1">
                  <c:v>-3.92</c:v>
                </c:pt>
                <c:pt idx="2">
                  <c:v>-3.84</c:v>
                </c:pt>
                <c:pt idx="3">
                  <c:v>-3.76</c:v>
                </c:pt>
                <c:pt idx="4">
                  <c:v>-3.68</c:v>
                </c:pt>
                <c:pt idx="5">
                  <c:v>-3.6</c:v>
                </c:pt>
                <c:pt idx="6">
                  <c:v>-3.52</c:v>
                </c:pt>
                <c:pt idx="7">
                  <c:v>-3.44</c:v>
                </c:pt>
                <c:pt idx="8">
                  <c:v>-3.36</c:v>
                </c:pt>
                <c:pt idx="9">
                  <c:v>-3.2800000000000002</c:v>
                </c:pt>
                <c:pt idx="10">
                  <c:v>-3.2</c:v>
                </c:pt>
                <c:pt idx="11">
                  <c:v>-3.12</c:v>
                </c:pt>
                <c:pt idx="12">
                  <c:v>-3.04</c:v>
                </c:pt>
                <c:pt idx="13">
                  <c:v>-2.96</c:v>
                </c:pt>
                <c:pt idx="14">
                  <c:v>-2.88</c:v>
                </c:pt>
                <c:pt idx="15">
                  <c:v>-2.8</c:v>
                </c:pt>
                <c:pt idx="16">
                  <c:v>-2.7199999999999998</c:v>
                </c:pt>
                <c:pt idx="17">
                  <c:v>-2.6399999999999997</c:v>
                </c:pt>
                <c:pt idx="18">
                  <c:v>-2.56</c:v>
                </c:pt>
                <c:pt idx="19">
                  <c:v>-2.48</c:v>
                </c:pt>
                <c:pt idx="20">
                  <c:v>-2.4</c:v>
                </c:pt>
                <c:pt idx="21">
                  <c:v>-2.3200000000000003</c:v>
                </c:pt>
                <c:pt idx="22">
                  <c:v>-2.2400000000000002</c:v>
                </c:pt>
                <c:pt idx="23">
                  <c:v>-2.16</c:v>
                </c:pt>
                <c:pt idx="24">
                  <c:v>-2.08</c:v>
                </c:pt>
                <c:pt idx="25">
                  <c:v>-2</c:v>
                </c:pt>
                <c:pt idx="26">
                  <c:v>-1.92</c:v>
                </c:pt>
                <c:pt idx="27">
                  <c:v>-1.8399999999999999</c:v>
                </c:pt>
                <c:pt idx="28">
                  <c:v>-1.7599999999999998</c:v>
                </c:pt>
                <c:pt idx="29">
                  <c:v>-1.6800000000000002</c:v>
                </c:pt>
                <c:pt idx="30">
                  <c:v>-1.6</c:v>
                </c:pt>
                <c:pt idx="31">
                  <c:v>-1.52</c:v>
                </c:pt>
                <c:pt idx="32">
                  <c:v>-1.44</c:v>
                </c:pt>
                <c:pt idx="33">
                  <c:v>-1.3599999999999999</c:v>
                </c:pt>
                <c:pt idx="34">
                  <c:v>-1.2799999999999998</c:v>
                </c:pt>
                <c:pt idx="35">
                  <c:v>-1.2000000000000002</c:v>
                </c:pt>
                <c:pt idx="36">
                  <c:v>-1.1200000000000001</c:v>
                </c:pt>
                <c:pt idx="37">
                  <c:v>-1.04</c:v>
                </c:pt>
                <c:pt idx="38">
                  <c:v>-0.96</c:v>
                </c:pt>
                <c:pt idx="39">
                  <c:v>-0.87999999999999989</c:v>
                </c:pt>
                <c:pt idx="40">
                  <c:v>-0.79999999999999982</c:v>
                </c:pt>
                <c:pt idx="41">
                  <c:v>-0.7200000000000002</c:v>
                </c:pt>
                <c:pt idx="42">
                  <c:v>-0.64000000000000012</c:v>
                </c:pt>
                <c:pt idx="43">
                  <c:v>-0.56000000000000005</c:v>
                </c:pt>
                <c:pt idx="44">
                  <c:v>-0.48</c:v>
                </c:pt>
                <c:pt idx="45">
                  <c:v>-0.39999999999999991</c:v>
                </c:pt>
                <c:pt idx="46">
                  <c:v>-0.31999999999999984</c:v>
                </c:pt>
                <c:pt idx="47">
                  <c:v>-0.24000000000000021</c:v>
                </c:pt>
                <c:pt idx="48">
                  <c:v>-0.16000000000000014</c:v>
                </c:pt>
                <c:pt idx="49">
                  <c:v>-8.0000000000000071E-2</c:v>
                </c:pt>
                <c:pt idx="50">
                  <c:v>0</c:v>
                </c:pt>
                <c:pt idx="51">
                  <c:v>8.0000000000000071E-2</c:v>
                </c:pt>
                <c:pt idx="52">
                  <c:v>0.16000000000000014</c:v>
                </c:pt>
                <c:pt idx="53">
                  <c:v>0.24000000000000021</c:v>
                </c:pt>
                <c:pt idx="54">
                  <c:v>0.32000000000000028</c:v>
                </c:pt>
                <c:pt idx="55">
                  <c:v>0.40000000000000036</c:v>
                </c:pt>
                <c:pt idx="56">
                  <c:v>0.48000000000000043</c:v>
                </c:pt>
                <c:pt idx="57">
                  <c:v>0.55999999999999961</c:v>
                </c:pt>
                <c:pt idx="58">
                  <c:v>0.63999999999999968</c:v>
                </c:pt>
                <c:pt idx="59">
                  <c:v>0.71999999999999975</c:v>
                </c:pt>
                <c:pt idx="60">
                  <c:v>0.79999999999999982</c:v>
                </c:pt>
                <c:pt idx="61">
                  <c:v>0.87999999999999989</c:v>
                </c:pt>
                <c:pt idx="62">
                  <c:v>0.96</c:v>
                </c:pt>
                <c:pt idx="63">
                  <c:v>1.04</c:v>
                </c:pt>
                <c:pt idx="64">
                  <c:v>1.1200000000000001</c:v>
                </c:pt>
                <c:pt idx="65">
                  <c:v>1.2000000000000002</c:v>
                </c:pt>
                <c:pt idx="66">
                  <c:v>1.2800000000000002</c:v>
                </c:pt>
                <c:pt idx="67">
                  <c:v>1.3600000000000003</c:v>
                </c:pt>
                <c:pt idx="68">
                  <c:v>1.4400000000000004</c:v>
                </c:pt>
                <c:pt idx="69">
                  <c:v>1.5199999999999996</c:v>
                </c:pt>
                <c:pt idx="70">
                  <c:v>1.5999999999999996</c:v>
                </c:pt>
                <c:pt idx="71">
                  <c:v>1.6799999999999997</c:v>
                </c:pt>
                <c:pt idx="72">
                  <c:v>1.7599999999999998</c:v>
                </c:pt>
                <c:pt idx="73">
                  <c:v>1.8399999999999999</c:v>
                </c:pt>
                <c:pt idx="74">
                  <c:v>1.92</c:v>
                </c:pt>
                <c:pt idx="75">
                  <c:v>2</c:v>
                </c:pt>
                <c:pt idx="76">
                  <c:v>2.08</c:v>
                </c:pt>
                <c:pt idx="77">
                  <c:v>2.16</c:v>
                </c:pt>
                <c:pt idx="78">
                  <c:v>2.2400000000000002</c:v>
                </c:pt>
                <c:pt idx="79">
                  <c:v>2.3200000000000003</c:v>
                </c:pt>
                <c:pt idx="80">
                  <c:v>2.4000000000000004</c:v>
                </c:pt>
                <c:pt idx="81">
                  <c:v>2.4800000000000004</c:v>
                </c:pt>
                <c:pt idx="82">
                  <c:v>2.5599999999999996</c:v>
                </c:pt>
                <c:pt idx="83">
                  <c:v>2.6399999999999997</c:v>
                </c:pt>
                <c:pt idx="84">
                  <c:v>2.7199999999999998</c:v>
                </c:pt>
                <c:pt idx="85">
                  <c:v>2.8</c:v>
                </c:pt>
                <c:pt idx="86">
                  <c:v>2.88</c:v>
                </c:pt>
                <c:pt idx="87">
                  <c:v>2.96</c:v>
                </c:pt>
                <c:pt idx="88">
                  <c:v>3.04</c:v>
                </c:pt>
                <c:pt idx="89">
                  <c:v>3.12</c:v>
                </c:pt>
                <c:pt idx="90">
                  <c:v>3.2</c:v>
                </c:pt>
                <c:pt idx="91">
                  <c:v>3.2800000000000002</c:v>
                </c:pt>
                <c:pt idx="92">
                  <c:v>3.3600000000000003</c:v>
                </c:pt>
                <c:pt idx="93">
                  <c:v>3.4400000000000004</c:v>
                </c:pt>
                <c:pt idx="94">
                  <c:v>3.5199999999999996</c:v>
                </c:pt>
                <c:pt idx="95">
                  <c:v>3.5999999999999996</c:v>
                </c:pt>
                <c:pt idx="96">
                  <c:v>3.6799999999999997</c:v>
                </c:pt>
                <c:pt idx="97">
                  <c:v>3.76</c:v>
                </c:pt>
                <c:pt idx="98">
                  <c:v>3.84</c:v>
                </c:pt>
                <c:pt idx="99">
                  <c:v>3.92</c:v>
                </c:pt>
                <c:pt idx="100">
                  <c:v>4</c:v>
                </c:pt>
              </c:numCache>
            </c:numRef>
          </c:xVal>
          <c:yVal>
            <c:numRef>
              <c:f>'Fig 3a - t dist'!$G$100:$G$600</c:f>
              <c:numCache>
                <c:formatCode>General</c:formatCode>
                <c:ptCount val="501"/>
                <c:pt idx="0">
                  <c:v>2.3462987093978279E-3</c:v>
                </c:pt>
                <c:pt idx="1">
                  <c:v>2.6676355626087671E-3</c:v>
                </c:pt>
                <c:pt idx="2">
                  <c:v>3.0350622735803761E-3</c:v>
                </c:pt>
                <c:pt idx="3">
                  <c:v>3.4553480637429489E-3</c:v>
                </c:pt>
                <c:pt idx="4">
                  <c:v>3.9362492070757977E-3</c:v>
                </c:pt>
                <c:pt idx="5">
                  <c:v>4.4866445690837642E-3</c:v>
                </c:pt>
                <c:pt idx="6">
                  <c:v>5.1166865806555615E-3</c:v>
                </c:pt>
                <c:pt idx="7">
                  <c:v>5.8379683650283936E-3</c:v>
                </c:pt>
                <c:pt idx="8">
                  <c:v>6.663707398306665E-3</c:v>
                </c:pt>
                <c:pt idx="9">
                  <c:v>7.6089455918455159E-3</c:v>
                </c:pt>
                <c:pt idx="10">
                  <c:v>8.6907649979532306E-3</c:v>
                </c:pt>
                <c:pt idx="11">
                  <c:v>9.9285174123143784E-3</c:v>
                </c:pt>
                <c:pt idx="12">
                  <c:v>1.1344064925296054E-2</c:v>
                </c:pt>
                <c:pt idx="13">
                  <c:v>1.2962026903814806E-2</c:v>
                </c:pt>
                <c:pt idx="14">
                  <c:v>1.4810026908272171E-2</c:v>
                </c:pt>
                <c:pt idx="15">
                  <c:v>1.6918930610727505E-2</c:v>
                </c:pt>
                <c:pt idx="16">
                  <c:v>1.9323062835933179E-2</c:v>
                </c:pt>
                <c:pt idx="17">
                  <c:v>2.2060388369710832E-2</c:v>
                </c:pt>
                <c:pt idx="18">
                  <c:v>2.5172637174009686E-2</c:v>
                </c:pt>
                <c:pt idx="19">
                  <c:v>2.8705350166417336E-2</c:v>
                </c:pt>
                <c:pt idx="20">
                  <c:v>3.270781688198017E-2</c:v>
                </c:pt>
                <c:pt idx="21">
                  <c:v>3.7232871344399801E-2</c:v>
                </c:pt>
                <c:pt idx="22">
                  <c:v>4.233650765374742E-2</c:v>
                </c:pt>
                <c:pt idx="23">
                  <c:v>4.8077272609555861E-2</c:v>
                </c:pt>
                <c:pt idx="24">
                  <c:v>5.4515389752181967E-2</c:v>
                </c:pt>
                <c:pt idx="25">
                  <c:v>6.1711568313873852E-2</c:v>
                </c:pt>
                <c:pt idx="26">
                  <c:v>6.9725452682831507E-2</c:v>
                </c:pt>
                <c:pt idx="27">
                  <c:v>7.8613674193742697E-2</c:v>
                </c:pt>
                <c:pt idx="28">
                  <c:v>8.8427478532223755E-2</c:v>
                </c:pt>
                <c:pt idx="29">
                  <c:v>9.920991990312511E-2</c:v>
                </c:pt>
                <c:pt idx="30">
                  <c:v>0.11099263828484215</c:v>
                </c:pt>
                <c:pt idx="31">
                  <c:v>0.12379226907409666</c:v>
                </c:pt>
                <c:pt idx="32">
                  <c:v>0.13760657503587878</c:v>
                </c:pt>
                <c:pt idx="33">
                  <c:v>0.15241043756074088</c:v>
                </c:pt>
                <c:pt idx="34">
                  <c:v>0.16815189540746758</c:v>
                </c:pt>
                <c:pt idx="35">
                  <c:v>0.18474847054886523</c:v>
                </c:pt>
                <c:pt idx="36">
                  <c:v>0.20208406713021163</c:v>
                </c:pt>
                <c:pt idx="37">
                  <c:v>0.22000676426695243</c:v>
                </c:pt>
                <c:pt idx="38">
                  <c:v>0.23832783897502996</c:v>
                </c:pt>
                <c:pt idx="39">
                  <c:v>0.25682234441928659</c:v>
                </c:pt>
                <c:pt idx="40">
                  <c:v>0.27523152442554832</c:v>
                </c:pt>
                <c:pt idx="41">
                  <c:v>0.29326726377929274</c:v>
                </c:pt>
                <c:pt idx="42">
                  <c:v>0.3106186549612483</c:v>
                </c:pt>
                <c:pt idx="43">
                  <c:v>0.32696061031824192</c:v>
                </c:pt>
                <c:pt idx="44">
                  <c:v>0.34196427446360783</c:v>
                </c:pt>
                <c:pt idx="45">
                  <c:v>0.35530881052553004</c:v>
                </c:pt>
                <c:pt idx="46">
                  <c:v>0.36669396542448862</c:v>
                </c:pt>
                <c:pt idx="47">
                  <c:v>0.37585268525155996</c:v>
                </c:pt>
                <c:pt idx="48">
                  <c:v>0.3825629724446139</c:v>
                </c:pt>
                <c:pt idx="49">
                  <c:v>0.38665816763553407</c:v>
                </c:pt>
                <c:pt idx="50">
                  <c:v>0.38803490887166864</c:v>
                </c:pt>
                <c:pt idx="51">
                  <c:v>0.38665816763553407</c:v>
                </c:pt>
                <c:pt idx="52">
                  <c:v>0.3825629724446139</c:v>
                </c:pt>
                <c:pt idx="53">
                  <c:v>0.37585268525155996</c:v>
                </c:pt>
                <c:pt idx="54">
                  <c:v>0.36669396542448862</c:v>
                </c:pt>
                <c:pt idx="55">
                  <c:v>0.35530881052552965</c:v>
                </c:pt>
                <c:pt idx="56">
                  <c:v>0.34196427446360783</c:v>
                </c:pt>
                <c:pt idx="57">
                  <c:v>0.32696061031824192</c:v>
                </c:pt>
                <c:pt idx="58">
                  <c:v>0.3106186549612483</c:v>
                </c:pt>
                <c:pt idx="59">
                  <c:v>0.29326726377929307</c:v>
                </c:pt>
                <c:pt idx="60">
                  <c:v>0.27523152442554832</c:v>
                </c:pt>
                <c:pt idx="61">
                  <c:v>0.25682234441928659</c:v>
                </c:pt>
                <c:pt idx="62">
                  <c:v>0.23832783897502996</c:v>
                </c:pt>
                <c:pt idx="63">
                  <c:v>0.22000676426695243</c:v>
                </c:pt>
                <c:pt idx="64">
                  <c:v>0.20208406713021163</c:v>
                </c:pt>
                <c:pt idx="65">
                  <c:v>0.18474847054886523</c:v>
                </c:pt>
                <c:pt idx="66">
                  <c:v>0.16815189540746758</c:v>
                </c:pt>
                <c:pt idx="67">
                  <c:v>0.15241043756074071</c:v>
                </c:pt>
                <c:pt idx="68">
                  <c:v>0.13760657503587864</c:v>
                </c:pt>
                <c:pt idx="69">
                  <c:v>0.12379226907409677</c:v>
                </c:pt>
                <c:pt idx="70">
                  <c:v>0.11099263828484225</c:v>
                </c:pt>
                <c:pt idx="71">
                  <c:v>9.9209919903125193E-2</c:v>
                </c:pt>
                <c:pt idx="72">
                  <c:v>8.8427478532223755E-2</c:v>
                </c:pt>
                <c:pt idx="73">
                  <c:v>7.8613674193742697E-2</c:v>
                </c:pt>
                <c:pt idx="74">
                  <c:v>6.9725452682831507E-2</c:v>
                </c:pt>
                <c:pt idx="75">
                  <c:v>6.1711568313873852E-2</c:v>
                </c:pt>
                <c:pt idx="76">
                  <c:v>5.4515389752181967E-2</c:v>
                </c:pt>
                <c:pt idx="77">
                  <c:v>4.8077272609555861E-2</c:v>
                </c:pt>
                <c:pt idx="78">
                  <c:v>4.233650765374742E-2</c:v>
                </c:pt>
                <c:pt idx="79">
                  <c:v>3.7232871344399801E-2</c:v>
                </c:pt>
                <c:pt idx="80">
                  <c:v>3.270781688198017E-2</c:v>
                </c:pt>
                <c:pt idx="81">
                  <c:v>2.8705350166417336E-2</c:v>
                </c:pt>
                <c:pt idx="82">
                  <c:v>2.5172637174009718E-2</c:v>
                </c:pt>
                <c:pt idx="83">
                  <c:v>2.2060388369710832E-2</c:v>
                </c:pt>
                <c:pt idx="84">
                  <c:v>1.9323062835933179E-2</c:v>
                </c:pt>
                <c:pt idx="85">
                  <c:v>1.6918930610727505E-2</c:v>
                </c:pt>
                <c:pt idx="86">
                  <c:v>1.4810026908272171E-2</c:v>
                </c:pt>
                <c:pt idx="87">
                  <c:v>1.2962026903814806E-2</c:v>
                </c:pt>
                <c:pt idx="88">
                  <c:v>1.1344064925296054E-2</c:v>
                </c:pt>
                <c:pt idx="89">
                  <c:v>9.9285174123143784E-3</c:v>
                </c:pt>
                <c:pt idx="90">
                  <c:v>8.6907649979532306E-3</c:v>
                </c:pt>
                <c:pt idx="91">
                  <c:v>7.6089455918455159E-3</c:v>
                </c:pt>
                <c:pt idx="92">
                  <c:v>6.6637073983066529E-3</c:v>
                </c:pt>
                <c:pt idx="93">
                  <c:v>5.8379683650283884E-3</c:v>
                </c:pt>
                <c:pt idx="94">
                  <c:v>5.1166865806555615E-3</c:v>
                </c:pt>
                <c:pt idx="95">
                  <c:v>4.486644569083772E-3</c:v>
                </c:pt>
                <c:pt idx="96">
                  <c:v>3.9362492070757977E-3</c:v>
                </c:pt>
                <c:pt idx="97">
                  <c:v>3.4553480637429489E-3</c:v>
                </c:pt>
                <c:pt idx="98">
                  <c:v>3.0350622735803761E-3</c:v>
                </c:pt>
                <c:pt idx="99">
                  <c:v>2.6676355626087671E-3</c:v>
                </c:pt>
                <c:pt idx="100">
                  <c:v>2.3462987093978279E-3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'Fig 3a - t dist'!$F$99</c:f>
              <c:strCache>
                <c:ptCount val="1"/>
                <c:pt idx="0">
                  <c:v>df=4</c:v>
                </c:pt>
              </c:strCache>
            </c:strRef>
          </c:tx>
          <c:spPr>
            <a:ln w="25400">
              <a:solidFill>
                <a:srgbClr val="0070C0">
                  <a:alpha val="50000"/>
                </a:srgbClr>
              </a:solidFill>
            </a:ln>
          </c:spPr>
          <c:marker>
            <c:symbol val="none"/>
          </c:marker>
          <c:xVal>
            <c:numRef>
              <c:f>'Fig 3a - t dist'!$B$100:$B$600</c:f>
              <c:numCache>
                <c:formatCode>General</c:formatCode>
                <c:ptCount val="501"/>
                <c:pt idx="0">
                  <c:v>-4</c:v>
                </c:pt>
                <c:pt idx="1">
                  <c:v>-3.92</c:v>
                </c:pt>
                <c:pt idx="2">
                  <c:v>-3.84</c:v>
                </c:pt>
                <c:pt idx="3">
                  <c:v>-3.76</c:v>
                </c:pt>
                <c:pt idx="4">
                  <c:v>-3.68</c:v>
                </c:pt>
                <c:pt idx="5">
                  <c:v>-3.6</c:v>
                </c:pt>
                <c:pt idx="6">
                  <c:v>-3.52</c:v>
                </c:pt>
                <c:pt idx="7">
                  <c:v>-3.44</c:v>
                </c:pt>
                <c:pt idx="8">
                  <c:v>-3.36</c:v>
                </c:pt>
                <c:pt idx="9">
                  <c:v>-3.2800000000000002</c:v>
                </c:pt>
                <c:pt idx="10">
                  <c:v>-3.2</c:v>
                </c:pt>
                <c:pt idx="11">
                  <c:v>-3.12</c:v>
                </c:pt>
                <c:pt idx="12">
                  <c:v>-3.04</c:v>
                </c:pt>
                <c:pt idx="13">
                  <c:v>-2.96</c:v>
                </c:pt>
                <c:pt idx="14">
                  <c:v>-2.88</c:v>
                </c:pt>
                <c:pt idx="15">
                  <c:v>-2.8</c:v>
                </c:pt>
                <c:pt idx="16">
                  <c:v>-2.7199999999999998</c:v>
                </c:pt>
                <c:pt idx="17">
                  <c:v>-2.6399999999999997</c:v>
                </c:pt>
                <c:pt idx="18">
                  <c:v>-2.56</c:v>
                </c:pt>
                <c:pt idx="19">
                  <c:v>-2.48</c:v>
                </c:pt>
                <c:pt idx="20">
                  <c:v>-2.4</c:v>
                </c:pt>
                <c:pt idx="21">
                  <c:v>-2.3200000000000003</c:v>
                </c:pt>
                <c:pt idx="22">
                  <c:v>-2.2400000000000002</c:v>
                </c:pt>
                <c:pt idx="23">
                  <c:v>-2.16</c:v>
                </c:pt>
                <c:pt idx="24">
                  <c:v>-2.08</c:v>
                </c:pt>
                <c:pt idx="25">
                  <c:v>-2</c:v>
                </c:pt>
                <c:pt idx="26">
                  <c:v>-1.92</c:v>
                </c:pt>
                <c:pt idx="27">
                  <c:v>-1.8399999999999999</c:v>
                </c:pt>
                <c:pt idx="28">
                  <c:v>-1.7599999999999998</c:v>
                </c:pt>
                <c:pt idx="29">
                  <c:v>-1.6800000000000002</c:v>
                </c:pt>
                <c:pt idx="30">
                  <c:v>-1.6</c:v>
                </c:pt>
                <c:pt idx="31">
                  <c:v>-1.52</c:v>
                </c:pt>
                <c:pt idx="32">
                  <c:v>-1.44</c:v>
                </c:pt>
                <c:pt idx="33">
                  <c:v>-1.3599999999999999</c:v>
                </c:pt>
                <c:pt idx="34">
                  <c:v>-1.2799999999999998</c:v>
                </c:pt>
                <c:pt idx="35">
                  <c:v>-1.2000000000000002</c:v>
                </c:pt>
                <c:pt idx="36">
                  <c:v>-1.1200000000000001</c:v>
                </c:pt>
                <c:pt idx="37">
                  <c:v>-1.04</c:v>
                </c:pt>
                <c:pt idx="38">
                  <c:v>-0.96</c:v>
                </c:pt>
                <c:pt idx="39">
                  <c:v>-0.87999999999999989</c:v>
                </c:pt>
                <c:pt idx="40">
                  <c:v>-0.79999999999999982</c:v>
                </c:pt>
                <c:pt idx="41">
                  <c:v>-0.7200000000000002</c:v>
                </c:pt>
                <c:pt idx="42">
                  <c:v>-0.64000000000000012</c:v>
                </c:pt>
                <c:pt idx="43">
                  <c:v>-0.56000000000000005</c:v>
                </c:pt>
                <c:pt idx="44">
                  <c:v>-0.48</c:v>
                </c:pt>
                <c:pt idx="45">
                  <c:v>-0.39999999999999991</c:v>
                </c:pt>
                <c:pt idx="46">
                  <c:v>-0.31999999999999984</c:v>
                </c:pt>
                <c:pt idx="47">
                  <c:v>-0.24000000000000021</c:v>
                </c:pt>
                <c:pt idx="48">
                  <c:v>-0.16000000000000014</c:v>
                </c:pt>
                <c:pt idx="49">
                  <c:v>-8.0000000000000071E-2</c:v>
                </c:pt>
                <c:pt idx="50">
                  <c:v>0</c:v>
                </c:pt>
                <c:pt idx="51">
                  <c:v>8.0000000000000071E-2</c:v>
                </c:pt>
                <c:pt idx="52">
                  <c:v>0.16000000000000014</c:v>
                </c:pt>
                <c:pt idx="53">
                  <c:v>0.24000000000000021</c:v>
                </c:pt>
                <c:pt idx="54">
                  <c:v>0.32000000000000028</c:v>
                </c:pt>
                <c:pt idx="55">
                  <c:v>0.40000000000000036</c:v>
                </c:pt>
                <c:pt idx="56">
                  <c:v>0.48000000000000043</c:v>
                </c:pt>
                <c:pt idx="57">
                  <c:v>0.55999999999999961</c:v>
                </c:pt>
                <c:pt idx="58">
                  <c:v>0.63999999999999968</c:v>
                </c:pt>
                <c:pt idx="59">
                  <c:v>0.71999999999999975</c:v>
                </c:pt>
                <c:pt idx="60">
                  <c:v>0.79999999999999982</c:v>
                </c:pt>
                <c:pt idx="61">
                  <c:v>0.87999999999999989</c:v>
                </c:pt>
                <c:pt idx="62">
                  <c:v>0.96</c:v>
                </c:pt>
                <c:pt idx="63">
                  <c:v>1.04</c:v>
                </c:pt>
                <c:pt idx="64">
                  <c:v>1.1200000000000001</c:v>
                </c:pt>
                <c:pt idx="65">
                  <c:v>1.2000000000000002</c:v>
                </c:pt>
                <c:pt idx="66">
                  <c:v>1.2800000000000002</c:v>
                </c:pt>
                <c:pt idx="67">
                  <c:v>1.3600000000000003</c:v>
                </c:pt>
                <c:pt idx="68">
                  <c:v>1.4400000000000004</c:v>
                </c:pt>
                <c:pt idx="69">
                  <c:v>1.5199999999999996</c:v>
                </c:pt>
                <c:pt idx="70">
                  <c:v>1.5999999999999996</c:v>
                </c:pt>
                <c:pt idx="71">
                  <c:v>1.6799999999999997</c:v>
                </c:pt>
                <c:pt idx="72">
                  <c:v>1.7599999999999998</c:v>
                </c:pt>
                <c:pt idx="73">
                  <c:v>1.8399999999999999</c:v>
                </c:pt>
                <c:pt idx="74">
                  <c:v>1.92</c:v>
                </c:pt>
                <c:pt idx="75">
                  <c:v>2</c:v>
                </c:pt>
                <c:pt idx="76">
                  <c:v>2.08</c:v>
                </c:pt>
                <c:pt idx="77">
                  <c:v>2.16</c:v>
                </c:pt>
                <c:pt idx="78">
                  <c:v>2.2400000000000002</c:v>
                </c:pt>
                <c:pt idx="79">
                  <c:v>2.3200000000000003</c:v>
                </c:pt>
                <c:pt idx="80">
                  <c:v>2.4000000000000004</c:v>
                </c:pt>
                <c:pt idx="81">
                  <c:v>2.4800000000000004</c:v>
                </c:pt>
                <c:pt idx="82">
                  <c:v>2.5599999999999996</c:v>
                </c:pt>
                <c:pt idx="83">
                  <c:v>2.6399999999999997</c:v>
                </c:pt>
                <c:pt idx="84">
                  <c:v>2.7199999999999998</c:v>
                </c:pt>
                <c:pt idx="85">
                  <c:v>2.8</c:v>
                </c:pt>
                <c:pt idx="86">
                  <c:v>2.88</c:v>
                </c:pt>
                <c:pt idx="87">
                  <c:v>2.96</c:v>
                </c:pt>
                <c:pt idx="88">
                  <c:v>3.04</c:v>
                </c:pt>
                <c:pt idx="89">
                  <c:v>3.12</c:v>
                </c:pt>
                <c:pt idx="90">
                  <c:v>3.2</c:v>
                </c:pt>
                <c:pt idx="91">
                  <c:v>3.2800000000000002</c:v>
                </c:pt>
                <c:pt idx="92">
                  <c:v>3.3600000000000003</c:v>
                </c:pt>
                <c:pt idx="93">
                  <c:v>3.4400000000000004</c:v>
                </c:pt>
                <c:pt idx="94">
                  <c:v>3.5199999999999996</c:v>
                </c:pt>
                <c:pt idx="95">
                  <c:v>3.5999999999999996</c:v>
                </c:pt>
                <c:pt idx="96">
                  <c:v>3.6799999999999997</c:v>
                </c:pt>
                <c:pt idx="97">
                  <c:v>3.76</c:v>
                </c:pt>
                <c:pt idx="98">
                  <c:v>3.84</c:v>
                </c:pt>
                <c:pt idx="99">
                  <c:v>3.92</c:v>
                </c:pt>
                <c:pt idx="100">
                  <c:v>4</c:v>
                </c:pt>
              </c:numCache>
            </c:numRef>
          </c:xVal>
          <c:yVal>
            <c:numRef>
              <c:f>'Fig 3a - t dist'!$F$100:$F$600</c:f>
              <c:numCache>
                <c:formatCode>General</c:formatCode>
                <c:ptCount val="501"/>
                <c:pt idx="0">
                  <c:v>6.7082039324993705E-3</c:v>
                </c:pt>
                <c:pt idx="1">
                  <c:v>7.2704116601029324E-3</c:v>
                </c:pt>
                <c:pt idx="2">
                  <c:v>7.8873821251491377E-3</c:v>
                </c:pt>
                <c:pt idx="3">
                  <c:v>8.565085375564099E-3</c:v>
                </c:pt>
                <c:pt idx="4">
                  <c:v>9.3101938200690591E-3</c:v>
                </c:pt>
                <c:pt idx="5">
                  <c:v>1.0130167496884291E-2</c:v>
                </c:pt>
                <c:pt idx="6">
                  <c:v>1.1033349233456015E-2</c:v>
                </c:pt>
                <c:pt idx="7">
                  <c:v>1.2029070573368415E-2</c:v>
                </c:pt>
                <c:pt idx="8">
                  <c:v>1.3127769319555822E-2</c:v>
                </c:pt>
                <c:pt idx="9">
                  <c:v>1.4341119468080922E-2</c:v>
                </c:pt>
                <c:pt idx="10">
                  <c:v>1.5682174165287877E-2</c:v>
                </c:pt>
                <c:pt idx="11">
                  <c:v>1.7165522088712429E-2</c:v>
                </c:pt>
                <c:pt idx="12">
                  <c:v>1.8807457297531662E-2</c:v>
                </c:pt>
                <c:pt idx="13">
                  <c:v>2.0626162082077185E-2</c:v>
                </c:pt>
                <c:pt idx="14">
                  <c:v>2.2641901614703371E-2</c:v>
                </c:pt>
                <c:pt idx="15">
                  <c:v>2.4877228205426087E-2</c:v>
                </c:pt>
                <c:pt idx="16">
                  <c:v>2.735719162189186E-2</c:v>
                </c:pt>
                <c:pt idx="17">
                  <c:v>3.0109550157655728E-2</c:v>
                </c:pt>
                <c:pt idx="18">
                  <c:v>3.3164974825615458E-2</c:v>
                </c:pt>
                <c:pt idx="19">
                  <c:v>3.655723610407792E-2</c:v>
                </c:pt>
                <c:pt idx="20">
                  <c:v>4.0323358954948263E-2</c:v>
                </c:pt>
                <c:pt idx="21">
                  <c:v>4.4503727254597364E-2</c:v>
                </c:pt>
                <c:pt idx="22">
                  <c:v>4.914211323603631E-2</c:v>
                </c:pt>
                <c:pt idx="23">
                  <c:v>5.4285600989687266E-2</c:v>
                </c:pt>
                <c:pt idx="24">
                  <c:v>5.9984365545804962E-2</c:v>
                </c:pt>
                <c:pt idx="25">
                  <c:v>6.6291260736238838E-2</c:v>
                </c:pt>
                <c:pt idx="26">
                  <c:v>7.3261160283543431E-2</c:v>
                </c:pt>
                <c:pt idx="27">
                  <c:v>8.094998806130535E-2</c:v>
                </c:pt>
                <c:pt idx="28">
                  <c:v>8.941336627729167E-2</c:v>
                </c:pt>
                <c:pt idx="29">
                  <c:v>9.8704806023082292E-2</c:v>
                </c:pt>
                <c:pt idx="30">
                  <c:v>0.1088733653856099</c:v>
                </c:pt>
                <c:pt idx="31">
                  <c:v>0.11996070895658013</c:v>
                </c:pt>
                <c:pt idx="32">
                  <c:v>0.13199752254167912</c:v>
                </c:pt>
                <c:pt idx="33">
                  <c:v>0.14499927199387005</c:v>
                </c:pt>
                <c:pt idx="34">
                  <c:v>0.1589613491353935</c:v>
                </c:pt>
                <c:pt idx="35">
                  <c:v>0.17385372358466916</c:v>
                </c:pt>
                <c:pt idx="36">
                  <c:v>0.18961531780727697</c:v>
                </c:pt>
                <c:pt idx="37">
                  <c:v>0.20614844110797756</c:v>
                </c:pt>
                <c:pt idx="38">
                  <c:v>0.22331374849090349</c:v>
                </c:pt>
                <c:pt idx="39">
                  <c:v>0.24092631739708037</c:v>
                </c:pt>
                <c:pt idx="40">
                  <c:v>0.25875353677316615</c:v>
                </c:pt>
                <c:pt idx="41">
                  <c:v>0.27651554958501795</c:v>
                </c:pt>
                <c:pt idx="42">
                  <c:v>0.29388894937742593</c:v>
                </c:pt>
                <c:pt idx="43">
                  <c:v>0.31051427452764313</c:v>
                </c:pt>
                <c:pt idx="44">
                  <c:v>0.32600755328435199</c:v>
                </c:pt>
                <c:pt idx="45">
                  <c:v>0.33997573352819443</c:v>
                </c:pt>
                <c:pt idx="46">
                  <c:v>0.35203531878067773</c:v>
                </c:pt>
                <c:pt idx="47">
                  <c:v>0.36183299450122092</c:v>
                </c:pt>
                <c:pt idx="48">
                  <c:v>0.36906656051019793</c:v>
                </c:pt>
                <c:pt idx="49">
                  <c:v>0.37350418994212997</c:v>
                </c:pt>
                <c:pt idx="50">
                  <c:v>0.37500000000000006</c:v>
                </c:pt>
                <c:pt idx="51">
                  <c:v>0.37350418994212997</c:v>
                </c:pt>
                <c:pt idx="52">
                  <c:v>0.36906656051019793</c:v>
                </c:pt>
                <c:pt idx="53">
                  <c:v>0.36183299450122092</c:v>
                </c:pt>
                <c:pt idx="54">
                  <c:v>0.35203531878067773</c:v>
                </c:pt>
                <c:pt idx="55">
                  <c:v>0.33997573352819443</c:v>
                </c:pt>
                <c:pt idx="56">
                  <c:v>0.32600755328435199</c:v>
                </c:pt>
                <c:pt idx="57">
                  <c:v>0.3105142745276433</c:v>
                </c:pt>
                <c:pt idx="58">
                  <c:v>0.29388894937742605</c:v>
                </c:pt>
                <c:pt idx="59">
                  <c:v>0.27651554958501806</c:v>
                </c:pt>
                <c:pt idx="60">
                  <c:v>0.25875353677316615</c:v>
                </c:pt>
                <c:pt idx="61">
                  <c:v>0.24092631739708037</c:v>
                </c:pt>
                <c:pt idx="62">
                  <c:v>0.22331374849090349</c:v>
                </c:pt>
                <c:pt idx="63">
                  <c:v>0.20614844110797756</c:v>
                </c:pt>
                <c:pt idx="64">
                  <c:v>0.18961531780727697</c:v>
                </c:pt>
                <c:pt idx="65">
                  <c:v>0.17385372358466916</c:v>
                </c:pt>
                <c:pt idx="66">
                  <c:v>0.15896134913539336</c:v>
                </c:pt>
                <c:pt idx="67">
                  <c:v>0.14499927199387</c:v>
                </c:pt>
                <c:pt idx="68">
                  <c:v>0.13199752254167907</c:v>
                </c:pt>
                <c:pt idx="69">
                  <c:v>0.11996070895658018</c:v>
                </c:pt>
                <c:pt idx="70">
                  <c:v>0.10887336538560996</c:v>
                </c:pt>
                <c:pt idx="71">
                  <c:v>9.8704806023082334E-2</c:v>
                </c:pt>
                <c:pt idx="72">
                  <c:v>8.941336627729167E-2</c:v>
                </c:pt>
                <c:pt idx="73">
                  <c:v>8.094998806130535E-2</c:v>
                </c:pt>
                <c:pt idx="74">
                  <c:v>7.3261160283543431E-2</c:v>
                </c:pt>
                <c:pt idx="75">
                  <c:v>6.6291260736238838E-2</c:v>
                </c:pt>
                <c:pt idx="76">
                  <c:v>5.9984365545804962E-2</c:v>
                </c:pt>
                <c:pt idx="77">
                  <c:v>5.4285600989687266E-2</c:v>
                </c:pt>
                <c:pt idx="78">
                  <c:v>4.914211323603631E-2</c:v>
                </c:pt>
                <c:pt idx="79">
                  <c:v>4.4503727254597364E-2</c:v>
                </c:pt>
                <c:pt idx="80">
                  <c:v>4.0323358954948249E-2</c:v>
                </c:pt>
                <c:pt idx="81">
                  <c:v>3.655723610407792E-2</c:v>
                </c:pt>
                <c:pt idx="82">
                  <c:v>3.3164974825615472E-2</c:v>
                </c:pt>
                <c:pt idx="83">
                  <c:v>3.0109550157655728E-2</c:v>
                </c:pt>
                <c:pt idx="84">
                  <c:v>2.735719162189186E-2</c:v>
                </c:pt>
                <c:pt idx="85">
                  <c:v>2.4877228205426087E-2</c:v>
                </c:pt>
                <c:pt idx="86">
                  <c:v>2.2641901614703371E-2</c:v>
                </c:pt>
                <c:pt idx="87">
                  <c:v>2.0626162082077185E-2</c:v>
                </c:pt>
                <c:pt idx="88">
                  <c:v>1.8807457297531662E-2</c:v>
                </c:pt>
                <c:pt idx="89">
                  <c:v>1.7165522088712429E-2</c:v>
                </c:pt>
                <c:pt idx="90">
                  <c:v>1.5682174165287877E-2</c:v>
                </c:pt>
                <c:pt idx="91">
                  <c:v>1.4341119468080922E-2</c:v>
                </c:pt>
                <c:pt idx="92">
                  <c:v>1.3127769319555815E-2</c:v>
                </c:pt>
                <c:pt idx="93">
                  <c:v>1.2029070573368406E-2</c:v>
                </c:pt>
                <c:pt idx="94">
                  <c:v>1.1033349233456015E-2</c:v>
                </c:pt>
                <c:pt idx="95">
                  <c:v>1.0130167496884297E-2</c:v>
                </c:pt>
                <c:pt idx="96">
                  <c:v>9.3101938200690643E-3</c:v>
                </c:pt>
                <c:pt idx="97">
                  <c:v>8.565085375564099E-3</c:v>
                </c:pt>
                <c:pt idx="98">
                  <c:v>7.8873821251491377E-3</c:v>
                </c:pt>
                <c:pt idx="99">
                  <c:v>7.2704116601029324E-3</c:v>
                </c:pt>
                <c:pt idx="100">
                  <c:v>6.7082039324993705E-3</c:v>
                </c:pt>
              </c:numCache>
            </c:numRef>
          </c:yVal>
          <c:smooth val="0"/>
        </c:ser>
        <c:ser>
          <c:idx val="2"/>
          <c:order val="4"/>
          <c:tx>
            <c:strRef>
              <c:f>'Fig 3a - t dist'!$E$99</c:f>
              <c:strCache>
                <c:ptCount val="1"/>
                <c:pt idx="0">
                  <c:v>df=3</c:v>
                </c:pt>
              </c:strCache>
            </c:strRef>
          </c:tx>
          <c:spPr>
            <a:ln w="25400">
              <a:solidFill>
                <a:srgbClr val="0070C0">
                  <a:alpha val="65000"/>
                </a:srgbClr>
              </a:solidFill>
            </a:ln>
          </c:spPr>
          <c:marker>
            <c:symbol val="none"/>
          </c:marker>
          <c:xVal>
            <c:numRef>
              <c:f>'Fig 3a - t dist'!$B$100:$B$600</c:f>
              <c:numCache>
                <c:formatCode>General</c:formatCode>
                <c:ptCount val="501"/>
                <c:pt idx="0">
                  <c:v>-4</c:v>
                </c:pt>
                <c:pt idx="1">
                  <c:v>-3.92</c:v>
                </c:pt>
                <c:pt idx="2">
                  <c:v>-3.84</c:v>
                </c:pt>
                <c:pt idx="3">
                  <c:v>-3.76</c:v>
                </c:pt>
                <c:pt idx="4">
                  <c:v>-3.68</c:v>
                </c:pt>
                <c:pt idx="5">
                  <c:v>-3.6</c:v>
                </c:pt>
                <c:pt idx="6">
                  <c:v>-3.52</c:v>
                </c:pt>
                <c:pt idx="7">
                  <c:v>-3.44</c:v>
                </c:pt>
                <c:pt idx="8">
                  <c:v>-3.36</c:v>
                </c:pt>
                <c:pt idx="9">
                  <c:v>-3.2800000000000002</c:v>
                </c:pt>
                <c:pt idx="10">
                  <c:v>-3.2</c:v>
                </c:pt>
                <c:pt idx="11">
                  <c:v>-3.12</c:v>
                </c:pt>
                <c:pt idx="12">
                  <c:v>-3.04</c:v>
                </c:pt>
                <c:pt idx="13">
                  <c:v>-2.96</c:v>
                </c:pt>
                <c:pt idx="14">
                  <c:v>-2.88</c:v>
                </c:pt>
                <c:pt idx="15">
                  <c:v>-2.8</c:v>
                </c:pt>
                <c:pt idx="16">
                  <c:v>-2.7199999999999998</c:v>
                </c:pt>
                <c:pt idx="17">
                  <c:v>-2.6399999999999997</c:v>
                </c:pt>
                <c:pt idx="18">
                  <c:v>-2.56</c:v>
                </c:pt>
                <c:pt idx="19">
                  <c:v>-2.48</c:v>
                </c:pt>
                <c:pt idx="20">
                  <c:v>-2.4</c:v>
                </c:pt>
                <c:pt idx="21">
                  <c:v>-2.3200000000000003</c:v>
                </c:pt>
                <c:pt idx="22">
                  <c:v>-2.2400000000000002</c:v>
                </c:pt>
                <c:pt idx="23">
                  <c:v>-2.16</c:v>
                </c:pt>
                <c:pt idx="24">
                  <c:v>-2.08</c:v>
                </c:pt>
                <c:pt idx="25">
                  <c:v>-2</c:v>
                </c:pt>
                <c:pt idx="26">
                  <c:v>-1.92</c:v>
                </c:pt>
                <c:pt idx="27">
                  <c:v>-1.8399999999999999</c:v>
                </c:pt>
                <c:pt idx="28">
                  <c:v>-1.7599999999999998</c:v>
                </c:pt>
                <c:pt idx="29">
                  <c:v>-1.6800000000000002</c:v>
                </c:pt>
                <c:pt idx="30">
                  <c:v>-1.6</c:v>
                </c:pt>
                <c:pt idx="31">
                  <c:v>-1.52</c:v>
                </c:pt>
                <c:pt idx="32">
                  <c:v>-1.44</c:v>
                </c:pt>
                <c:pt idx="33">
                  <c:v>-1.3599999999999999</c:v>
                </c:pt>
                <c:pt idx="34">
                  <c:v>-1.2799999999999998</c:v>
                </c:pt>
                <c:pt idx="35">
                  <c:v>-1.2000000000000002</c:v>
                </c:pt>
                <c:pt idx="36">
                  <c:v>-1.1200000000000001</c:v>
                </c:pt>
                <c:pt idx="37">
                  <c:v>-1.04</c:v>
                </c:pt>
                <c:pt idx="38">
                  <c:v>-0.96</c:v>
                </c:pt>
                <c:pt idx="39">
                  <c:v>-0.87999999999999989</c:v>
                </c:pt>
                <c:pt idx="40">
                  <c:v>-0.79999999999999982</c:v>
                </c:pt>
                <c:pt idx="41">
                  <c:v>-0.7200000000000002</c:v>
                </c:pt>
                <c:pt idx="42">
                  <c:v>-0.64000000000000012</c:v>
                </c:pt>
                <c:pt idx="43">
                  <c:v>-0.56000000000000005</c:v>
                </c:pt>
                <c:pt idx="44">
                  <c:v>-0.48</c:v>
                </c:pt>
                <c:pt idx="45">
                  <c:v>-0.39999999999999991</c:v>
                </c:pt>
                <c:pt idx="46">
                  <c:v>-0.31999999999999984</c:v>
                </c:pt>
                <c:pt idx="47">
                  <c:v>-0.24000000000000021</c:v>
                </c:pt>
                <c:pt idx="48">
                  <c:v>-0.16000000000000014</c:v>
                </c:pt>
                <c:pt idx="49">
                  <c:v>-8.0000000000000071E-2</c:v>
                </c:pt>
                <c:pt idx="50">
                  <c:v>0</c:v>
                </c:pt>
                <c:pt idx="51">
                  <c:v>8.0000000000000071E-2</c:v>
                </c:pt>
                <c:pt idx="52">
                  <c:v>0.16000000000000014</c:v>
                </c:pt>
                <c:pt idx="53">
                  <c:v>0.24000000000000021</c:v>
                </c:pt>
                <c:pt idx="54">
                  <c:v>0.32000000000000028</c:v>
                </c:pt>
                <c:pt idx="55">
                  <c:v>0.40000000000000036</c:v>
                </c:pt>
                <c:pt idx="56">
                  <c:v>0.48000000000000043</c:v>
                </c:pt>
                <c:pt idx="57">
                  <c:v>0.55999999999999961</c:v>
                </c:pt>
                <c:pt idx="58">
                  <c:v>0.63999999999999968</c:v>
                </c:pt>
                <c:pt idx="59">
                  <c:v>0.71999999999999975</c:v>
                </c:pt>
                <c:pt idx="60">
                  <c:v>0.79999999999999982</c:v>
                </c:pt>
                <c:pt idx="61">
                  <c:v>0.87999999999999989</c:v>
                </c:pt>
                <c:pt idx="62">
                  <c:v>0.96</c:v>
                </c:pt>
                <c:pt idx="63">
                  <c:v>1.04</c:v>
                </c:pt>
                <c:pt idx="64">
                  <c:v>1.1200000000000001</c:v>
                </c:pt>
                <c:pt idx="65">
                  <c:v>1.2000000000000002</c:v>
                </c:pt>
                <c:pt idx="66">
                  <c:v>1.2800000000000002</c:v>
                </c:pt>
                <c:pt idx="67">
                  <c:v>1.3600000000000003</c:v>
                </c:pt>
                <c:pt idx="68">
                  <c:v>1.4400000000000004</c:v>
                </c:pt>
                <c:pt idx="69">
                  <c:v>1.5199999999999996</c:v>
                </c:pt>
                <c:pt idx="70">
                  <c:v>1.5999999999999996</c:v>
                </c:pt>
                <c:pt idx="71">
                  <c:v>1.6799999999999997</c:v>
                </c:pt>
                <c:pt idx="72">
                  <c:v>1.7599999999999998</c:v>
                </c:pt>
                <c:pt idx="73">
                  <c:v>1.8399999999999999</c:v>
                </c:pt>
                <c:pt idx="74">
                  <c:v>1.92</c:v>
                </c:pt>
                <c:pt idx="75">
                  <c:v>2</c:v>
                </c:pt>
                <c:pt idx="76">
                  <c:v>2.08</c:v>
                </c:pt>
                <c:pt idx="77">
                  <c:v>2.16</c:v>
                </c:pt>
                <c:pt idx="78">
                  <c:v>2.2400000000000002</c:v>
                </c:pt>
                <c:pt idx="79">
                  <c:v>2.3200000000000003</c:v>
                </c:pt>
                <c:pt idx="80">
                  <c:v>2.4000000000000004</c:v>
                </c:pt>
                <c:pt idx="81">
                  <c:v>2.4800000000000004</c:v>
                </c:pt>
                <c:pt idx="82">
                  <c:v>2.5599999999999996</c:v>
                </c:pt>
                <c:pt idx="83">
                  <c:v>2.6399999999999997</c:v>
                </c:pt>
                <c:pt idx="84">
                  <c:v>2.7199999999999998</c:v>
                </c:pt>
                <c:pt idx="85">
                  <c:v>2.8</c:v>
                </c:pt>
                <c:pt idx="86">
                  <c:v>2.88</c:v>
                </c:pt>
                <c:pt idx="87">
                  <c:v>2.96</c:v>
                </c:pt>
                <c:pt idx="88">
                  <c:v>3.04</c:v>
                </c:pt>
                <c:pt idx="89">
                  <c:v>3.12</c:v>
                </c:pt>
                <c:pt idx="90">
                  <c:v>3.2</c:v>
                </c:pt>
                <c:pt idx="91">
                  <c:v>3.2800000000000002</c:v>
                </c:pt>
                <c:pt idx="92">
                  <c:v>3.3600000000000003</c:v>
                </c:pt>
                <c:pt idx="93">
                  <c:v>3.4400000000000004</c:v>
                </c:pt>
                <c:pt idx="94">
                  <c:v>3.5199999999999996</c:v>
                </c:pt>
                <c:pt idx="95">
                  <c:v>3.5999999999999996</c:v>
                </c:pt>
                <c:pt idx="96">
                  <c:v>3.6799999999999997</c:v>
                </c:pt>
                <c:pt idx="97">
                  <c:v>3.76</c:v>
                </c:pt>
                <c:pt idx="98">
                  <c:v>3.84</c:v>
                </c:pt>
                <c:pt idx="99">
                  <c:v>3.92</c:v>
                </c:pt>
                <c:pt idx="100">
                  <c:v>4</c:v>
                </c:pt>
              </c:numCache>
            </c:numRef>
          </c:xVal>
          <c:yVal>
            <c:numRef>
              <c:f>'Fig 3a - t dist'!$E$100:$E$600</c:f>
              <c:numCache>
                <c:formatCode>General</c:formatCode>
                <c:ptCount val="501"/>
                <c:pt idx="0">
                  <c:v>9.1633611427444656E-3</c:v>
                </c:pt>
                <c:pt idx="1">
                  <c:v>9.8064976358220781E-3</c:v>
                </c:pt>
                <c:pt idx="2">
                  <c:v>1.0504626833954027E-2</c:v>
                </c:pt>
                <c:pt idx="3">
                  <c:v>1.1263205321550254E-2</c:v>
                </c:pt>
                <c:pt idx="4">
                  <c:v>1.2088292751016907E-2</c:v>
                </c:pt>
                <c:pt idx="5">
                  <c:v>1.298662293472855E-2</c:v>
                </c:pt>
                <c:pt idx="6">
                  <c:v>1.3965683330665321E-2</c:v>
                </c:pt>
                <c:pt idx="7">
                  <c:v>1.5033803780495378E-2</c:v>
                </c:pt>
                <c:pt idx="8">
                  <c:v>1.6200255387909972E-2</c:v>
                </c:pt>
                <c:pt idx="9">
                  <c:v>1.7475360429540995E-2</c:v>
                </c:pt>
                <c:pt idx="10">
                  <c:v>1.8870614158612277E-2</c:v>
                </c:pt>
                <c:pt idx="11">
                  <c:v>2.0398819276168573E-2</c:v>
                </c:pt>
                <c:pt idx="12">
                  <c:v>2.2074233684398651E-2</c:v>
                </c:pt>
                <c:pt idx="13">
                  <c:v>2.3912731872341522E-2</c:v>
                </c:pt>
                <c:pt idx="14">
                  <c:v>2.5931979878434319E-2</c:v>
                </c:pt>
                <c:pt idx="15">
                  <c:v>2.8151623178220894E-2</c:v>
                </c:pt>
                <c:pt idx="16">
                  <c:v>3.0593485996906485E-2</c:v>
                </c:pt>
                <c:pt idx="17">
                  <c:v>3.3281779366966489E-2</c:v>
                </c:pt>
                <c:pt idx="18">
                  <c:v>3.6243313643499683E-2</c:v>
                </c:pt>
                <c:pt idx="19">
                  <c:v>3.9507709036153645E-2</c:v>
                </c:pt>
                <c:pt idx="20">
                  <c:v>4.3107594875663978E-2</c:v>
                </c:pt>
                <c:pt idx="21">
                  <c:v>4.7078784643563333E-2</c:v>
                </c:pt>
                <c:pt idx="22">
                  <c:v>5.1460409077472173E-2</c:v>
                </c:pt>
                <c:pt idx="23">
                  <c:v>5.629498373898395E-2</c:v>
                </c:pt>
                <c:pt idx="24">
                  <c:v>6.1628380130930194E-2</c:v>
                </c:pt>
                <c:pt idx="25">
                  <c:v>6.7509660663892912E-2</c:v>
                </c:pt>
                <c:pt idx="26">
                  <c:v>7.3990727497995762E-2</c:v>
                </c:pt>
                <c:pt idx="27">
                  <c:v>8.1125723723079066E-2</c:v>
                </c:pt>
                <c:pt idx="28">
                  <c:v>8.8970113006496418E-2</c:v>
                </c:pt>
                <c:pt idx="29">
                  <c:v>9.7579351734852576E-2</c:v>
                </c:pt>
                <c:pt idx="30">
                  <c:v>0.10700705749348997</c:v>
                </c:pt>
                <c:pt idx="31">
                  <c:v>0.11730257207330706</c:v>
                </c:pt>
                <c:pt idx="32">
                  <c:v>0.12850781981703127</c:v>
                </c:pt>
                <c:pt idx="33">
                  <c:v>0.14065337804795569</c:v>
                </c:pt>
                <c:pt idx="34">
                  <c:v>0.15375371182160272</c:v>
                </c:pt>
                <c:pt idx="35">
                  <c:v>0.16780158735749692</c:v>
                </c:pt>
                <c:pt idx="36">
                  <c:v>0.18276177405747027</c:v>
                </c:pt>
                <c:pt idx="37">
                  <c:v>0.19856427870190951</c:v>
                </c:pt>
                <c:pt idx="38">
                  <c:v>0.21509752697461434</c:v>
                </c:pt>
                <c:pt idx="39">
                  <c:v>0.23220210794171969</c:v>
                </c:pt>
                <c:pt idx="40">
                  <c:v>0.24966590482208922</c:v>
                </c:pt>
                <c:pt idx="41">
                  <c:v>0.26722161291736535</c:v>
                </c:pt>
                <c:pt idx="42">
                  <c:v>0.2845477398059274</c:v>
                </c:pt>
                <c:pt idx="43">
                  <c:v>0.30127413066110231</c:v>
                </c:pt>
                <c:pt idx="44">
                  <c:v>0.3169928028074121</c:v>
                </c:pt>
                <c:pt idx="45">
                  <c:v>0.33127437234925822</c:v>
                </c:pt>
                <c:pt idx="46">
                  <c:v>0.34368962448139767</c:v>
                </c:pt>
                <c:pt idx="47">
                  <c:v>0.3538348991242759</c:v>
                </c:pt>
                <c:pt idx="48">
                  <c:v>0.3613590884721346</c:v>
                </c:pt>
                <c:pt idx="49">
                  <c:v>0.36598937661598135</c:v>
                </c:pt>
                <c:pt idx="50">
                  <c:v>0.36755259694786135</c:v>
                </c:pt>
                <c:pt idx="51">
                  <c:v>0.36598937661598135</c:v>
                </c:pt>
                <c:pt idx="52">
                  <c:v>0.3613590884721346</c:v>
                </c:pt>
                <c:pt idx="53">
                  <c:v>0.3538348991242759</c:v>
                </c:pt>
                <c:pt idx="54">
                  <c:v>0.34368962448139767</c:v>
                </c:pt>
                <c:pt idx="55">
                  <c:v>0.33127437234925811</c:v>
                </c:pt>
                <c:pt idx="56">
                  <c:v>0.31699280280741193</c:v>
                </c:pt>
                <c:pt idx="57">
                  <c:v>0.30127413066110248</c:v>
                </c:pt>
                <c:pt idx="58">
                  <c:v>0.28454773980592746</c:v>
                </c:pt>
                <c:pt idx="59">
                  <c:v>0.26722161291736551</c:v>
                </c:pt>
                <c:pt idx="60">
                  <c:v>0.24966590482208922</c:v>
                </c:pt>
                <c:pt idx="61">
                  <c:v>0.23220210794171969</c:v>
                </c:pt>
                <c:pt idx="62">
                  <c:v>0.21509752697461434</c:v>
                </c:pt>
                <c:pt idx="63">
                  <c:v>0.19856427870190951</c:v>
                </c:pt>
                <c:pt idx="64">
                  <c:v>0.18276177405747027</c:v>
                </c:pt>
                <c:pt idx="65">
                  <c:v>0.16780158735749692</c:v>
                </c:pt>
                <c:pt idx="66">
                  <c:v>0.15375371182160263</c:v>
                </c:pt>
                <c:pt idx="67">
                  <c:v>0.14065337804795564</c:v>
                </c:pt>
                <c:pt idx="68">
                  <c:v>0.12850781981703122</c:v>
                </c:pt>
                <c:pt idx="69">
                  <c:v>0.11730257207330713</c:v>
                </c:pt>
                <c:pt idx="70">
                  <c:v>0.10700705749349002</c:v>
                </c:pt>
                <c:pt idx="71">
                  <c:v>9.7579351734852618E-2</c:v>
                </c:pt>
                <c:pt idx="72">
                  <c:v>8.8970113006496418E-2</c:v>
                </c:pt>
                <c:pt idx="73">
                  <c:v>8.1125723723079066E-2</c:v>
                </c:pt>
                <c:pt idx="74">
                  <c:v>7.3990727497995762E-2</c:v>
                </c:pt>
                <c:pt idx="75">
                  <c:v>6.7509660663892912E-2</c:v>
                </c:pt>
                <c:pt idx="76">
                  <c:v>6.1628380130930194E-2</c:v>
                </c:pt>
                <c:pt idx="77">
                  <c:v>5.629498373898395E-2</c:v>
                </c:pt>
                <c:pt idx="78">
                  <c:v>5.1460409077472173E-2</c:v>
                </c:pt>
                <c:pt idx="79">
                  <c:v>4.7078784643563333E-2</c:v>
                </c:pt>
                <c:pt idx="80">
                  <c:v>4.3107594875663957E-2</c:v>
                </c:pt>
                <c:pt idx="81">
                  <c:v>3.9507709036153631E-2</c:v>
                </c:pt>
                <c:pt idx="82">
                  <c:v>3.6243313643499704E-2</c:v>
                </c:pt>
                <c:pt idx="83">
                  <c:v>3.3281779366966489E-2</c:v>
                </c:pt>
                <c:pt idx="84">
                  <c:v>3.0593485996906485E-2</c:v>
                </c:pt>
                <c:pt idx="85">
                  <c:v>2.8151623178220894E-2</c:v>
                </c:pt>
                <c:pt idx="86">
                  <c:v>2.5931979878434319E-2</c:v>
                </c:pt>
                <c:pt idx="87">
                  <c:v>2.3912731872341522E-2</c:v>
                </c:pt>
                <c:pt idx="88">
                  <c:v>2.2074233684398651E-2</c:v>
                </c:pt>
                <c:pt idx="89">
                  <c:v>2.0398819276168573E-2</c:v>
                </c:pt>
                <c:pt idx="90">
                  <c:v>1.8870614158612277E-2</c:v>
                </c:pt>
                <c:pt idx="91">
                  <c:v>1.7475360429540995E-2</c:v>
                </c:pt>
                <c:pt idx="92">
                  <c:v>1.6200255387909958E-2</c:v>
                </c:pt>
                <c:pt idx="93">
                  <c:v>1.5033803780495368E-2</c:v>
                </c:pt>
                <c:pt idx="94">
                  <c:v>1.3965683330665326E-2</c:v>
                </c:pt>
                <c:pt idx="95">
                  <c:v>1.2986622934728555E-2</c:v>
                </c:pt>
                <c:pt idx="96">
                  <c:v>1.2088292751016911E-2</c:v>
                </c:pt>
                <c:pt idx="97">
                  <c:v>1.1263205321550254E-2</c:v>
                </c:pt>
                <c:pt idx="98">
                  <c:v>1.0504626833954027E-2</c:v>
                </c:pt>
                <c:pt idx="99">
                  <c:v>9.8064976358220781E-3</c:v>
                </c:pt>
                <c:pt idx="100">
                  <c:v>9.1633611427444656E-3</c:v>
                </c:pt>
              </c:numCache>
            </c:numRef>
          </c:yVal>
          <c:smooth val="0"/>
        </c:ser>
        <c:ser>
          <c:idx val="1"/>
          <c:order val="5"/>
          <c:tx>
            <c:strRef>
              <c:f>'Fig 3a - t dist'!$D$99</c:f>
              <c:strCache>
                <c:ptCount val="1"/>
                <c:pt idx="0">
                  <c:v>df=2</c:v>
                </c:pt>
              </c:strCache>
            </c:strRef>
          </c:tx>
          <c:spPr>
            <a:ln w="25400">
              <a:solidFill>
                <a:srgbClr val="0070C0">
                  <a:alpha val="85000"/>
                </a:srgbClr>
              </a:solidFill>
            </a:ln>
          </c:spPr>
          <c:marker>
            <c:symbol val="none"/>
          </c:marker>
          <c:xVal>
            <c:numRef>
              <c:f>'Fig 3a - t dist'!$B$100:$B$600</c:f>
              <c:numCache>
                <c:formatCode>General</c:formatCode>
                <c:ptCount val="501"/>
                <c:pt idx="0">
                  <c:v>-4</c:v>
                </c:pt>
                <c:pt idx="1">
                  <c:v>-3.92</c:v>
                </c:pt>
                <c:pt idx="2">
                  <c:v>-3.84</c:v>
                </c:pt>
                <c:pt idx="3">
                  <c:v>-3.76</c:v>
                </c:pt>
                <c:pt idx="4">
                  <c:v>-3.68</c:v>
                </c:pt>
                <c:pt idx="5">
                  <c:v>-3.6</c:v>
                </c:pt>
                <c:pt idx="6">
                  <c:v>-3.52</c:v>
                </c:pt>
                <c:pt idx="7">
                  <c:v>-3.44</c:v>
                </c:pt>
                <c:pt idx="8">
                  <c:v>-3.36</c:v>
                </c:pt>
                <c:pt idx="9">
                  <c:v>-3.2800000000000002</c:v>
                </c:pt>
                <c:pt idx="10">
                  <c:v>-3.2</c:v>
                </c:pt>
                <c:pt idx="11">
                  <c:v>-3.12</c:v>
                </c:pt>
                <c:pt idx="12">
                  <c:v>-3.04</c:v>
                </c:pt>
                <c:pt idx="13">
                  <c:v>-2.96</c:v>
                </c:pt>
                <c:pt idx="14">
                  <c:v>-2.88</c:v>
                </c:pt>
                <c:pt idx="15">
                  <c:v>-2.8</c:v>
                </c:pt>
                <c:pt idx="16">
                  <c:v>-2.7199999999999998</c:v>
                </c:pt>
                <c:pt idx="17">
                  <c:v>-2.6399999999999997</c:v>
                </c:pt>
                <c:pt idx="18">
                  <c:v>-2.56</c:v>
                </c:pt>
                <c:pt idx="19">
                  <c:v>-2.48</c:v>
                </c:pt>
                <c:pt idx="20">
                  <c:v>-2.4</c:v>
                </c:pt>
                <c:pt idx="21">
                  <c:v>-2.3200000000000003</c:v>
                </c:pt>
                <c:pt idx="22">
                  <c:v>-2.2400000000000002</c:v>
                </c:pt>
                <c:pt idx="23">
                  <c:v>-2.16</c:v>
                </c:pt>
                <c:pt idx="24">
                  <c:v>-2.08</c:v>
                </c:pt>
                <c:pt idx="25">
                  <c:v>-2</c:v>
                </c:pt>
                <c:pt idx="26">
                  <c:v>-1.92</c:v>
                </c:pt>
                <c:pt idx="27">
                  <c:v>-1.8399999999999999</c:v>
                </c:pt>
                <c:pt idx="28">
                  <c:v>-1.7599999999999998</c:v>
                </c:pt>
                <c:pt idx="29">
                  <c:v>-1.6800000000000002</c:v>
                </c:pt>
                <c:pt idx="30">
                  <c:v>-1.6</c:v>
                </c:pt>
                <c:pt idx="31">
                  <c:v>-1.52</c:v>
                </c:pt>
                <c:pt idx="32">
                  <c:v>-1.44</c:v>
                </c:pt>
                <c:pt idx="33">
                  <c:v>-1.3599999999999999</c:v>
                </c:pt>
                <c:pt idx="34">
                  <c:v>-1.2799999999999998</c:v>
                </c:pt>
                <c:pt idx="35">
                  <c:v>-1.2000000000000002</c:v>
                </c:pt>
                <c:pt idx="36">
                  <c:v>-1.1200000000000001</c:v>
                </c:pt>
                <c:pt idx="37">
                  <c:v>-1.04</c:v>
                </c:pt>
                <c:pt idx="38">
                  <c:v>-0.96</c:v>
                </c:pt>
                <c:pt idx="39">
                  <c:v>-0.87999999999999989</c:v>
                </c:pt>
                <c:pt idx="40">
                  <c:v>-0.79999999999999982</c:v>
                </c:pt>
                <c:pt idx="41">
                  <c:v>-0.7200000000000002</c:v>
                </c:pt>
                <c:pt idx="42">
                  <c:v>-0.64000000000000012</c:v>
                </c:pt>
                <c:pt idx="43">
                  <c:v>-0.56000000000000005</c:v>
                </c:pt>
                <c:pt idx="44">
                  <c:v>-0.48</c:v>
                </c:pt>
                <c:pt idx="45">
                  <c:v>-0.39999999999999991</c:v>
                </c:pt>
                <c:pt idx="46">
                  <c:v>-0.31999999999999984</c:v>
                </c:pt>
                <c:pt idx="47">
                  <c:v>-0.24000000000000021</c:v>
                </c:pt>
                <c:pt idx="48">
                  <c:v>-0.16000000000000014</c:v>
                </c:pt>
                <c:pt idx="49">
                  <c:v>-8.0000000000000071E-2</c:v>
                </c:pt>
                <c:pt idx="50">
                  <c:v>0</c:v>
                </c:pt>
                <c:pt idx="51">
                  <c:v>8.0000000000000071E-2</c:v>
                </c:pt>
                <c:pt idx="52">
                  <c:v>0.16000000000000014</c:v>
                </c:pt>
                <c:pt idx="53">
                  <c:v>0.24000000000000021</c:v>
                </c:pt>
                <c:pt idx="54">
                  <c:v>0.32000000000000028</c:v>
                </c:pt>
                <c:pt idx="55">
                  <c:v>0.40000000000000036</c:v>
                </c:pt>
                <c:pt idx="56">
                  <c:v>0.48000000000000043</c:v>
                </c:pt>
                <c:pt idx="57">
                  <c:v>0.55999999999999961</c:v>
                </c:pt>
                <c:pt idx="58">
                  <c:v>0.63999999999999968</c:v>
                </c:pt>
                <c:pt idx="59">
                  <c:v>0.71999999999999975</c:v>
                </c:pt>
                <c:pt idx="60">
                  <c:v>0.79999999999999982</c:v>
                </c:pt>
                <c:pt idx="61">
                  <c:v>0.87999999999999989</c:v>
                </c:pt>
                <c:pt idx="62">
                  <c:v>0.96</c:v>
                </c:pt>
                <c:pt idx="63">
                  <c:v>1.04</c:v>
                </c:pt>
                <c:pt idx="64">
                  <c:v>1.1200000000000001</c:v>
                </c:pt>
                <c:pt idx="65">
                  <c:v>1.2000000000000002</c:v>
                </c:pt>
                <c:pt idx="66">
                  <c:v>1.2800000000000002</c:v>
                </c:pt>
                <c:pt idx="67">
                  <c:v>1.3600000000000003</c:v>
                </c:pt>
                <c:pt idx="68">
                  <c:v>1.4400000000000004</c:v>
                </c:pt>
                <c:pt idx="69">
                  <c:v>1.5199999999999996</c:v>
                </c:pt>
                <c:pt idx="70">
                  <c:v>1.5999999999999996</c:v>
                </c:pt>
                <c:pt idx="71">
                  <c:v>1.6799999999999997</c:v>
                </c:pt>
                <c:pt idx="72">
                  <c:v>1.7599999999999998</c:v>
                </c:pt>
                <c:pt idx="73">
                  <c:v>1.8399999999999999</c:v>
                </c:pt>
                <c:pt idx="74">
                  <c:v>1.92</c:v>
                </c:pt>
                <c:pt idx="75">
                  <c:v>2</c:v>
                </c:pt>
                <c:pt idx="76">
                  <c:v>2.08</c:v>
                </c:pt>
                <c:pt idx="77">
                  <c:v>2.16</c:v>
                </c:pt>
                <c:pt idx="78">
                  <c:v>2.2400000000000002</c:v>
                </c:pt>
                <c:pt idx="79">
                  <c:v>2.3200000000000003</c:v>
                </c:pt>
                <c:pt idx="80">
                  <c:v>2.4000000000000004</c:v>
                </c:pt>
                <c:pt idx="81">
                  <c:v>2.4800000000000004</c:v>
                </c:pt>
                <c:pt idx="82">
                  <c:v>2.5599999999999996</c:v>
                </c:pt>
                <c:pt idx="83">
                  <c:v>2.6399999999999997</c:v>
                </c:pt>
                <c:pt idx="84">
                  <c:v>2.7199999999999998</c:v>
                </c:pt>
                <c:pt idx="85">
                  <c:v>2.8</c:v>
                </c:pt>
                <c:pt idx="86">
                  <c:v>2.88</c:v>
                </c:pt>
                <c:pt idx="87">
                  <c:v>2.96</c:v>
                </c:pt>
                <c:pt idx="88">
                  <c:v>3.04</c:v>
                </c:pt>
                <c:pt idx="89">
                  <c:v>3.12</c:v>
                </c:pt>
                <c:pt idx="90">
                  <c:v>3.2</c:v>
                </c:pt>
                <c:pt idx="91">
                  <c:v>3.2800000000000002</c:v>
                </c:pt>
                <c:pt idx="92">
                  <c:v>3.3600000000000003</c:v>
                </c:pt>
                <c:pt idx="93">
                  <c:v>3.4400000000000004</c:v>
                </c:pt>
                <c:pt idx="94">
                  <c:v>3.5199999999999996</c:v>
                </c:pt>
                <c:pt idx="95">
                  <c:v>3.5999999999999996</c:v>
                </c:pt>
                <c:pt idx="96">
                  <c:v>3.6799999999999997</c:v>
                </c:pt>
                <c:pt idx="97">
                  <c:v>3.76</c:v>
                </c:pt>
                <c:pt idx="98">
                  <c:v>3.84</c:v>
                </c:pt>
                <c:pt idx="99">
                  <c:v>3.92</c:v>
                </c:pt>
                <c:pt idx="100">
                  <c:v>4</c:v>
                </c:pt>
              </c:numCache>
            </c:numRef>
          </c:xVal>
          <c:yVal>
            <c:numRef>
              <c:f>'Fig 3a - t dist'!$D$100:$D$600</c:f>
              <c:numCache>
                <c:formatCode>General</c:formatCode>
                <c:ptCount val="501"/>
                <c:pt idx="0">
                  <c:v>1.3094570021973104E-2</c:v>
                </c:pt>
                <c:pt idx="1">
                  <c:v>1.3817685389624671E-2</c:v>
                </c:pt>
                <c:pt idx="2">
                  <c:v>1.4593146098593168E-2</c:v>
                </c:pt>
                <c:pt idx="3">
                  <c:v>1.5425582765044668E-2</c:v>
                </c:pt>
                <c:pt idx="4">
                  <c:v>1.6320102321698175E-2</c:v>
                </c:pt>
                <c:pt idx="5">
                  <c:v>1.7282342580047433E-2</c:v>
                </c:pt>
                <c:pt idx="6">
                  <c:v>1.83185334207818E-2</c:v>
                </c:pt>
                <c:pt idx="7">
                  <c:v>1.9435565400383596E-2</c:v>
                </c:pt>
                <c:pt idx="8">
                  <c:v>2.064106663438631E-2</c:v>
                </c:pt>
                <c:pt idx="9">
                  <c:v>2.1943488887170931E-2</c:v>
                </c:pt>
                <c:pt idx="10">
                  <c:v>2.3352203859274081E-2</c:v>
                </c:pt>
                <c:pt idx="11">
                  <c:v>2.4877610708421389E-2</c:v>
                </c:pt>
                <c:pt idx="12">
                  <c:v>2.653125585906798E-2</c:v>
                </c:pt>
                <c:pt idx="13">
                  <c:v>2.8325966131874412E-2</c:v>
                </c:pt>
                <c:pt idx="14">
                  <c:v>3.0275996138034895E-2</c:v>
                </c:pt>
                <c:pt idx="15">
                  <c:v>3.2397190704437931E-2</c:v>
                </c:pt>
                <c:pt idx="16">
                  <c:v>3.4707162784334229E-2</c:v>
                </c:pt>
                <c:pt idx="17">
                  <c:v>3.7225486810498733E-2</c:v>
                </c:pt>
                <c:pt idx="18">
                  <c:v>3.9973906691442712E-2</c:v>
                </c:pt>
                <c:pt idx="19">
                  <c:v>4.2976556540087862E-2</c:v>
                </c:pt>
                <c:pt idx="20">
                  <c:v>4.6260190632586226E-2</c:v>
                </c:pt>
                <c:pt idx="21">
                  <c:v>4.9854416859717386E-2</c:v>
                </c:pt>
                <c:pt idx="22">
                  <c:v>5.3791924846914932E-2</c:v>
                </c:pt>
                <c:pt idx="23">
                  <c:v>5.8108695722226232E-2</c:v>
                </c:pt>
                <c:pt idx="24">
                  <c:v>6.2844174889159429E-2</c:v>
                </c:pt>
                <c:pt idx="25">
                  <c:v>6.8041381743977183E-2</c:v>
                </c:pt>
                <c:pt idx="26">
                  <c:v>7.3746920654789036E-2</c:v>
                </c:pt>
                <c:pt idx="27">
                  <c:v>8.00108452779974E-2</c:v>
                </c:pt>
                <c:pt idx="28">
                  <c:v>8.6886313077515889E-2</c:v>
                </c:pt>
                <c:pt idx="29">
                  <c:v>9.4428948578049787E-2</c:v>
                </c:pt>
                <c:pt idx="30">
                  <c:v>0.10269581267343135</c:v>
                </c:pt>
                <c:pt idx="31">
                  <c:v>0.11174385220236473</c:v>
                </c:pt>
                <c:pt idx="32">
                  <c:v>0.12162768118025491</c:v>
                </c:pt>
                <c:pt idx="33">
                  <c:v>0.13239652656888543</c:v>
                </c:pt>
                <c:pt idx="34">
                  <c:v>0.14409016394226232</c:v>
                </c:pt>
                <c:pt idx="35">
                  <c:v>0.1567336819817419</c:v>
                </c:pt>
                <c:pt idx="36">
                  <c:v>0.17033096352572397</c:v>
                </c:pt>
                <c:pt idx="37">
                  <c:v>0.18485687278920676</c:v>
                </c:pt>
                <c:pt idx="38">
                  <c:v>0.20024831308226196</c:v>
                </c:pt>
                <c:pt idx="39">
                  <c:v>0.21639458370642042</c:v>
                </c:pt>
                <c:pt idx="40">
                  <c:v>0.2331278238244939</c:v>
                </c:pt>
                <c:pt idx="41">
                  <c:v>0.25021476526005415</c:v>
                </c:pt>
                <c:pt idx="42">
                  <c:v>0.26735146498904028</c:v>
                </c:pt>
                <c:pt idx="43">
                  <c:v>0.28416303760277117</c:v>
                </c:pt>
                <c:pt idx="44">
                  <c:v>0.30021049139480604</c:v>
                </c:pt>
                <c:pt idx="45">
                  <c:v>0.31500639696285732</c:v>
                </c:pt>
                <c:pt idx="46">
                  <c:v>0.3280401321514968</c:v>
                </c:pt>
                <c:pt idx="47">
                  <c:v>0.33881183571464352</c:v>
                </c:pt>
                <c:pt idx="48">
                  <c:v>0.3468721781937098</c:v>
                </c:pt>
                <c:pt idx="49">
                  <c:v>0.35186309729173215</c:v>
                </c:pt>
                <c:pt idx="50">
                  <c:v>0.35355339059327384</c:v>
                </c:pt>
                <c:pt idx="51">
                  <c:v>0.35186309729173215</c:v>
                </c:pt>
                <c:pt idx="52">
                  <c:v>0.3468721781937098</c:v>
                </c:pt>
                <c:pt idx="53">
                  <c:v>0.33881183571464352</c:v>
                </c:pt>
                <c:pt idx="54">
                  <c:v>0.32804013215149669</c:v>
                </c:pt>
                <c:pt idx="55">
                  <c:v>0.31500639696285732</c:v>
                </c:pt>
                <c:pt idx="56">
                  <c:v>0.30021049139480593</c:v>
                </c:pt>
                <c:pt idx="57">
                  <c:v>0.28416303760277123</c:v>
                </c:pt>
                <c:pt idx="58">
                  <c:v>0.26735146498904039</c:v>
                </c:pt>
                <c:pt idx="59">
                  <c:v>0.25021476526005426</c:v>
                </c:pt>
                <c:pt idx="60">
                  <c:v>0.2331278238244939</c:v>
                </c:pt>
                <c:pt idx="61">
                  <c:v>0.21639458370642042</c:v>
                </c:pt>
                <c:pt idx="62">
                  <c:v>0.20024831308226196</c:v>
                </c:pt>
                <c:pt idx="63">
                  <c:v>0.18485687278920676</c:v>
                </c:pt>
                <c:pt idx="64">
                  <c:v>0.17033096352572397</c:v>
                </c:pt>
                <c:pt idx="65">
                  <c:v>0.1567336819817419</c:v>
                </c:pt>
                <c:pt idx="66">
                  <c:v>0.14409016394226223</c:v>
                </c:pt>
                <c:pt idx="67">
                  <c:v>0.13239652656888537</c:v>
                </c:pt>
                <c:pt idx="68">
                  <c:v>0.12162768118025487</c:v>
                </c:pt>
                <c:pt idx="69">
                  <c:v>0.11174385220236477</c:v>
                </c:pt>
                <c:pt idx="70">
                  <c:v>0.10269581267343142</c:v>
                </c:pt>
                <c:pt idx="71">
                  <c:v>9.4428948578049801E-2</c:v>
                </c:pt>
                <c:pt idx="72">
                  <c:v>8.6886313077515889E-2</c:v>
                </c:pt>
                <c:pt idx="73">
                  <c:v>8.00108452779974E-2</c:v>
                </c:pt>
                <c:pt idx="74">
                  <c:v>7.3746920654789036E-2</c:v>
                </c:pt>
                <c:pt idx="75">
                  <c:v>6.8041381743977183E-2</c:v>
                </c:pt>
                <c:pt idx="76">
                  <c:v>6.2844174889159429E-2</c:v>
                </c:pt>
                <c:pt idx="77">
                  <c:v>5.8108695722226232E-2</c:v>
                </c:pt>
                <c:pt idx="78">
                  <c:v>5.3791924846914932E-2</c:v>
                </c:pt>
                <c:pt idx="79">
                  <c:v>4.9854416859717386E-2</c:v>
                </c:pt>
                <c:pt idx="80">
                  <c:v>4.6260190632586219E-2</c:v>
                </c:pt>
                <c:pt idx="81">
                  <c:v>4.2976556540087862E-2</c:v>
                </c:pt>
                <c:pt idx="82">
                  <c:v>3.9973906691442719E-2</c:v>
                </c:pt>
                <c:pt idx="83">
                  <c:v>3.7225486810498733E-2</c:v>
                </c:pt>
                <c:pt idx="84">
                  <c:v>3.4707162784334229E-2</c:v>
                </c:pt>
                <c:pt idx="85">
                  <c:v>3.2397190704437931E-2</c:v>
                </c:pt>
                <c:pt idx="86">
                  <c:v>3.0275996138034895E-2</c:v>
                </c:pt>
                <c:pt idx="87">
                  <c:v>2.8325966131874412E-2</c:v>
                </c:pt>
                <c:pt idx="88">
                  <c:v>2.653125585906798E-2</c:v>
                </c:pt>
                <c:pt idx="89">
                  <c:v>2.4877610708421389E-2</c:v>
                </c:pt>
                <c:pt idx="90">
                  <c:v>2.3352203859274081E-2</c:v>
                </c:pt>
                <c:pt idx="91">
                  <c:v>2.1943488887170931E-2</c:v>
                </c:pt>
                <c:pt idx="92">
                  <c:v>2.06410666343863E-2</c:v>
                </c:pt>
                <c:pt idx="93">
                  <c:v>1.9435565400383589E-2</c:v>
                </c:pt>
                <c:pt idx="94">
                  <c:v>1.8318533420781803E-2</c:v>
                </c:pt>
                <c:pt idx="95">
                  <c:v>1.728234258004744E-2</c:v>
                </c:pt>
                <c:pt idx="96">
                  <c:v>1.6320102321698178E-2</c:v>
                </c:pt>
                <c:pt idx="97">
                  <c:v>1.5425582765044668E-2</c:v>
                </c:pt>
                <c:pt idx="98">
                  <c:v>1.4593146098593168E-2</c:v>
                </c:pt>
                <c:pt idx="99">
                  <c:v>1.3817685389624671E-2</c:v>
                </c:pt>
                <c:pt idx="100">
                  <c:v>1.3094570021973104E-2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9648"/>
        <c:axId val="49741184"/>
      </c:scatterChart>
      <c:valAx>
        <c:axId val="49739648"/>
        <c:scaling>
          <c:orientation val="minMax"/>
          <c:max val="4"/>
          <c:min val="-4"/>
        </c:scaling>
        <c:delete val="0"/>
        <c:axPos val="b"/>
        <c:majorGridlines>
          <c:spPr>
            <a:ln w="6350"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49741184"/>
        <c:crosses val="autoZero"/>
        <c:crossBetween val="midCat"/>
        <c:majorUnit val="0.5"/>
        <c:minorUnit val="0.1"/>
      </c:valAx>
      <c:valAx>
        <c:axId val="49741184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49739648"/>
        <c:crossesAt val="-4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 3b - t dist P value'!$C$99</c:f>
              <c:strCache>
                <c:ptCount val="1"/>
                <c:pt idx="0">
                  <c:v>norm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'Fig 3b - t dist P value'!$B$100:$B$600</c:f>
              <c:numCache>
                <c:formatCode>General</c:formatCode>
                <c:ptCount val="5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1.1399999999999999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2.2200000000000002</c:v>
                </c:pt>
                <c:pt idx="38">
                  <c:v>2.2799999999999998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4.0199999999999996</c:v>
                </c:pt>
                <c:pt idx="68">
                  <c:v>4.08</c:v>
                </c:pt>
                <c:pt idx="69">
                  <c:v>4.1399999999999997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4.4400000000000004</c:v>
                </c:pt>
                <c:pt idx="75">
                  <c:v>4.5</c:v>
                </c:pt>
                <c:pt idx="76">
                  <c:v>4.5599999999999996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4.8600000000000003</c:v>
                </c:pt>
                <c:pt idx="82">
                  <c:v>4.92</c:v>
                </c:pt>
                <c:pt idx="83">
                  <c:v>4.9800000000000004</c:v>
                </c:pt>
                <c:pt idx="84">
                  <c:v>5.04</c:v>
                </c:pt>
                <c:pt idx="85">
                  <c:v>5.0999999999999996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'Fig 3b - t dist P value'!$C$100:$C$600</c:f>
              <c:numCache>
                <c:formatCode>General</c:formatCode>
                <c:ptCount val="501"/>
                <c:pt idx="0">
                  <c:v>1</c:v>
                </c:pt>
                <c:pt idx="1">
                  <c:v>0.95215563469178632</c:v>
                </c:pt>
                <c:pt idx="2">
                  <c:v>0.90448314795883222</c:v>
                </c:pt>
                <c:pt idx="3">
                  <c:v>0.85715256819819841</c:v>
                </c:pt>
                <c:pt idx="4">
                  <c:v>0.81033025660440838</c:v>
                </c:pt>
                <c:pt idx="5">
                  <c:v>0.76417715562209465</c:v>
                </c:pt>
                <c:pt idx="6">
                  <c:v>0.71884713356401742</c:v>
                </c:pt>
                <c:pt idx="7">
                  <c:v>0.67448545369649904</c:v>
                </c:pt>
                <c:pt idx="8">
                  <c:v>0.63122739303244524</c:v>
                </c:pt>
                <c:pt idx="9">
                  <c:v>0.58919703243139598</c:v>
                </c:pt>
                <c:pt idx="10">
                  <c:v>0.5485062355001471</c:v>
                </c:pt>
                <c:pt idx="11">
                  <c:v>0.50925382934267205</c:v>
                </c:pt>
                <c:pt idx="12">
                  <c:v>0.47152499555850236</c:v>
                </c:pt>
                <c:pt idx="13">
                  <c:v>0.43539087517146613</c:v>
                </c:pt>
                <c:pt idx="14">
                  <c:v>0.40090838652089933</c:v>
                </c:pt>
                <c:pt idx="15">
                  <c:v>0.36812025069351906</c:v>
                </c:pt>
                <c:pt idx="16">
                  <c:v>0.33705521493367563</c:v>
                </c:pt>
                <c:pt idx="17">
                  <c:v>0.30772846074546978</c:v>
                </c:pt>
                <c:pt idx="18">
                  <c:v>0.28014218017753811</c:v>
                </c:pt>
                <c:pt idx="19">
                  <c:v>0.25428630112559647</c:v>
                </c:pt>
                <c:pt idx="20">
                  <c:v>0.23013934044341644</c:v>
                </c:pt>
                <c:pt idx="21">
                  <c:v>0.20766936224260069</c:v>
                </c:pt>
                <c:pt idx="22">
                  <c:v>0.18683501798694357</c:v>
                </c:pt>
                <c:pt idx="23">
                  <c:v>0.1675866448300285</c:v>
                </c:pt>
                <c:pt idx="24">
                  <c:v>0.14986739906865409</c:v>
                </c:pt>
                <c:pt idx="25">
                  <c:v>0.13361440253771617</c:v>
                </c:pt>
                <c:pt idx="26">
                  <c:v>0.11875988118958603</c:v>
                </c:pt>
                <c:pt idx="27">
                  <c:v>0.10523227690850412</c:v>
                </c:pt>
                <c:pt idx="28">
                  <c:v>9.2957315727440148E-2</c:v>
                </c:pt>
                <c:pt idx="29">
                  <c:v>8.1859017957614633E-2</c:v>
                </c:pt>
                <c:pt idx="30">
                  <c:v>7.1860638225851536E-2</c:v>
                </c:pt>
                <c:pt idx="31">
                  <c:v>6.2885525961505317E-2</c:v>
                </c:pt>
                <c:pt idx="32">
                  <c:v>5.4857899407673605E-2</c:v>
                </c:pt>
                <c:pt idx="33">
                  <c:v>4.7703528683016971E-2</c:v>
                </c:pt>
                <c:pt idx="34">
                  <c:v>4.1350325732140147E-2</c:v>
                </c:pt>
                <c:pt idx="35">
                  <c:v>3.5728841125633126E-2</c:v>
                </c:pt>
                <c:pt idx="36">
                  <c:v>3.0772669567850963E-2</c:v>
                </c:pt>
                <c:pt idx="37">
                  <c:v>2.6418767614512451E-2</c:v>
                </c:pt>
                <c:pt idx="38">
                  <c:v>2.2607688477105592E-2</c:v>
                </c:pt>
                <c:pt idx="39">
                  <c:v>1.9283739890716634E-2</c:v>
                </c:pt>
                <c:pt idx="40">
                  <c:v>1.6395071849192311E-2</c:v>
                </c:pt>
                <c:pt idx="41">
                  <c:v>1.3893701577248674E-2</c:v>
                </c:pt>
                <c:pt idx="42">
                  <c:v>1.1735483430665106E-2</c:v>
                </c:pt>
                <c:pt idx="43">
                  <c:v>9.8800315155411766E-3</c:v>
                </c:pt>
                <c:pt idx="44">
                  <c:v>8.2906027220721601E-3</c:v>
                </c:pt>
                <c:pt idx="45">
                  <c:v>6.9339476060812366E-3</c:v>
                </c:pt>
                <c:pt idx="46">
                  <c:v>5.7801361524523198E-3</c:v>
                </c:pt>
                <c:pt idx="47">
                  <c:v>4.8023649483786013E-3</c:v>
                </c:pt>
                <c:pt idx="48">
                  <c:v>3.9767517097886174E-3</c:v>
                </c:pt>
                <c:pt idx="49">
                  <c:v>3.2821224683139416E-3</c:v>
                </c:pt>
                <c:pt idx="50">
                  <c:v>2.6997960632602069E-3</c:v>
                </c:pt>
                <c:pt idx="51">
                  <c:v>2.2133699148185748E-3</c:v>
                </c:pt>
                <c:pt idx="52">
                  <c:v>1.8085103996445806E-3</c:v>
                </c:pt>
                <c:pt idx="53">
                  <c:v>1.472750523107802E-3</c:v>
                </c:pt>
                <c:pt idx="54">
                  <c:v>1.1952969958688442E-3</c:v>
                </c:pt>
                <c:pt idx="55">
                  <c:v>9.6684828476756302E-4</c:v>
                </c:pt>
                <c:pt idx="56">
                  <c:v>7.7942472516401295E-4</c:v>
                </c:pt>
                <c:pt idx="57">
                  <c:v>6.2621135716245391E-4</c:v>
                </c:pt>
                <c:pt idx="58">
                  <c:v>5.0141378256096658E-4</c:v>
                </c:pt>
                <c:pt idx="59">
                  <c:v>4.0012703201464106E-4</c:v>
                </c:pt>
                <c:pt idx="60">
                  <c:v>3.1821718031510571E-4</c:v>
                </c:pt>
                <c:pt idx="61">
                  <c:v>2.5221524827689912E-4</c:v>
                </c:pt>
                <c:pt idx="62">
                  <c:v>1.99222777951924E-4</c:v>
                </c:pt>
                <c:pt idx="63">
                  <c:v>1.5682835876718038E-4</c:v>
                </c:pt>
                <c:pt idx="64">
                  <c:v>1.230343103664211E-4</c:v>
                </c:pt>
                <c:pt idx="65">
                  <c:v>9.619268803517933E-5</c:v>
                </c:pt>
                <c:pt idx="66">
                  <c:v>7.49497633820706E-5</c:v>
                </c:pt>
                <c:pt idx="67">
                  <c:v>5.8198141423826399E-5</c:v>
                </c:pt>
                <c:pt idx="68">
                  <c:v>4.5035700777074084E-5</c:v>
                </c:pt>
                <c:pt idx="69">
                  <c:v>3.4730582147313172E-5</c:v>
                </c:pt>
                <c:pt idx="70">
                  <c:v>2.6691498031805594E-5</c:v>
                </c:pt>
                <c:pt idx="71">
                  <c:v>2.0442690368049909E-5</c:v>
                </c:pt>
                <c:pt idx="72">
                  <c:v>1.5602920076185356E-5</c:v>
                </c:pt>
                <c:pt idx="73">
                  <c:v>1.1867930891140688E-5</c:v>
                </c:pt>
                <c:pt idx="74">
                  <c:v>8.9958877771412205E-6</c:v>
                </c:pt>
                <c:pt idx="75">
                  <c:v>6.7953462494774186E-6</c:v>
                </c:pt>
                <c:pt idx="76">
                  <c:v>5.1153620788113585E-6</c:v>
                </c:pt>
                <c:pt idx="77">
                  <c:v>3.837400439854477E-6</c:v>
                </c:pt>
                <c:pt idx="78">
                  <c:v>2.8687491688828004E-6</c:v>
                </c:pt>
                <c:pt idx="79">
                  <c:v>2.1371821889992759E-6</c:v>
                </c:pt>
                <c:pt idx="80">
                  <c:v>1.586656303897982E-6</c:v>
                </c:pt>
                <c:pt idx="81">
                  <c:v>1.1738575289577113E-6</c:v>
                </c:pt>
                <c:pt idx="82">
                  <c:v>8.6544212374306539E-7</c:v>
                </c:pt>
                <c:pt idx="83">
                  <c:v>6.3584273246597434E-7</c:v>
                </c:pt>
                <c:pt idx="84">
                  <c:v>4.6553184618325361E-7</c:v>
                </c:pt>
                <c:pt idx="85">
                  <c:v>3.396534813404628E-7</c:v>
                </c:pt>
                <c:pt idx="86">
                  <c:v>2.4694984257500607E-7</c:v>
                </c:pt>
                <c:pt idx="87">
                  <c:v>1.7892313075584809E-7</c:v>
                </c:pt>
                <c:pt idx="88">
                  <c:v>1.2918388647698009E-7</c:v>
                </c:pt>
                <c:pt idx="89">
                  <c:v>9.2946581542463491E-8</c:v>
                </c:pt>
                <c:pt idx="90">
                  <c:v>6.6640897022907097E-8</c:v>
                </c:pt>
                <c:pt idx="91">
                  <c:v>4.7613458287187882E-8</c:v>
                </c:pt>
                <c:pt idx="92">
                  <c:v>3.3899966167538764E-8</c:v>
                </c:pt>
                <c:pt idx="93">
                  <c:v>2.4051858504847701E-8</c:v>
                </c:pt>
                <c:pt idx="94">
                  <c:v>1.7005016506033144E-8</c:v>
                </c:pt>
                <c:pt idx="95">
                  <c:v>1.1980742842254699E-8</c:v>
                </c:pt>
                <c:pt idx="96">
                  <c:v>8.4113935816532148E-9</c:v>
                </c:pt>
                <c:pt idx="97">
                  <c:v>5.8847626771552086E-9</c:v>
                </c:pt>
                <c:pt idx="98">
                  <c:v>4.1026648744946215E-9</c:v>
                </c:pt>
                <c:pt idx="99">
                  <c:v>2.8502207261027479E-9</c:v>
                </c:pt>
                <c:pt idx="100">
                  <c:v>1.9731754008489588E-9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'Fig 3b - t dist P value'!$H$99</c:f>
              <c:strCache>
                <c:ptCount val="1"/>
                <c:pt idx="0">
                  <c:v>df=19</c:v>
                </c:pt>
              </c:strCache>
            </c:strRef>
          </c:tx>
          <c:spPr>
            <a:ln w="25400">
              <a:solidFill>
                <a:srgbClr val="0070C0">
                  <a:alpha val="20000"/>
                </a:srgbClr>
              </a:solidFill>
            </a:ln>
          </c:spPr>
          <c:marker>
            <c:symbol val="none"/>
          </c:marker>
          <c:xVal>
            <c:numRef>
              <c:f>'Fig 3b - t dist P value'!$B$100:$B$600</c:f>
              <c:numCache>
                <c:formatCode>General</c:formatCode>
                <c:ptCount val="5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1.1399999999999999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2.2200000000000002</c:v>
                </c:pt>
                <c:pt idx="38">
                  <c:v>2.2799999999999998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4.0199999999999996</c:v>
                </c:pt>
                <c:pt idx="68">
                  <c:v>4.08</c:v>
                </c:pt>
                <c:pt idx="69">
                  <c:v>4.1399999999999997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4.4400000000000004</c:v>
                </c:pt>
                <c:pt idx="75">
                  <c:v>4.5</c:v>
                </c:pt>
                <c:pt idx="76">
                  <c:v>4.5599999999999996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4.8600000000000003</c:v>
                </c:pt>
                <c:pt idx="82">
                  <c:v>4.92</c:v>
                </c:pt>
                <c:pt idx="83">
                  <c:v>4.9800000000000004</c:v>
                </c:pt>
                <c:pt idx="84">
                  <c:v>5.04</c:v>
                </c:pt>
                <c:pt idx="85">
                  <c:v>5.0999999999999996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'Fig 3b - t dist P value'!$H$100:$H$600</c:f>
              <c:numCache>
                <c:formatCode>General</c:formatCode>
                <c:ptCount val="501"/>
                <c:pt idx="0">
                  <c:v>1</c:v>
                </c:pt>
                <c:pt idx="1">
                  <c:v>0.95278224505163989</c:v>
                </c:pt>
                <c:pt idx="2">
                  <c:v>0.90574297507635193</c:v>
                </c:pt>
                <c:pt idx="3">
                  <c:v>0.85905845294592864</c:v>
                </c:pt>
                <c:pt idx="4">
                  <c:v>0.81290054751218976</c:v>
                </c:pt>
                <c:pt idx="5">
                  <c:v>0.76743466033926355</c:v>
                </c:pt>
                <c:pt idx="6">
                  <c:v>0.72281779620766706</c:v>
                </c:pt>
                <c:pt idx="7">
                  <c:v>0.67919681768675311</c:v>
                </c:pt>
                <c:pt idx="8">
                  <c:v>0.63670691799413737</c:v>
                </c:pt>
                <c:pt idx="9">
                  <c:v>0.59547033930488946</c:v>
                </c:pt>
                <c:pt idx="10">
                  <c:v>0.55559535595204179</c:v>
                </c:pt>
                <c:pt idx="11">
                  <c:v>0.51717553390447113</c:v>
                </c:pt>
                <c:pt idx="12">
                  <c:v>0.4802892698500103</c:v>
                </c:pt>
                <c:pt idx="13">
                  <c:v>0.44499960546532924</c:v>
                </c:pt>
                <c:pt idx="14">
                  <c:v>0.41135430530186901</c:v>
                </c:pt>
                <c:pt idx="15">
                  <c:v>0.37938618039620409</c:v>
                </c:pt>
                <c:pt idx="16">
                  <c:v>0.34911363440703236</c:v>
                </c:pt>
                <c:pt idx="17">
                  <c:v>0.32054140491381045</c:v>
                </c:pt>
                <c:pt idx="18">
                  <c:v>0.29366146954778505</c:v>
                </c:pt>
                <c:pt idx="19">
                  <c:v>0.26845408487052241</c:v>
                </c:pt>
                <c:pt idx="20">
                  <c:v>0.24488892532079803</c:v>
                </c:pt>
                <c:pt idx="21">
                  <c:v>0.2229262900258116</c:v>
                </c:pt>
                <c:pt idx="22">
                  <c:v>0.2025183466889362</c:v>
                </c:pt>
                <c:pt idx="23">
                  <c:v>0.18361038397049859</c:v>
                </c:pt>
                <c:pt idx="24">
                  <c:v>0.16614204660178578</c:v>
                </c:pt>
                <c:pt idx="25">
                  <c:v>0.1500485307422717</c:v>
                </c:pt>
                <c:pt idx="26">
                  <c:v>0.13526172063609779</c:v>
                </c:pt>
                <c:pt idx="27">
                  <c:v>0.12171125128757654</c:v>
                </c:pt>
                <c:pt idx="28">
                  <c:v>0.10932548551522771</c:v>
                </c:pt>
                <c:pt idx="29">
                  <c:v>9.8032397238874316E-2</c:v>
                </c:pt>
                <c:pt idx="30">
                  <c:v>8.7760356107203757E-2</c:v>
                </c:pt>
                <c:pt idx="31">
                  <c:v>7.8438811510437356E-2</c:v>
                </c:pt>
                <c:pt idx="32">
                  <c:v>6.9998876594464507E-2</c:v>
                </c:pt>
                <c:pt idx="33">
                  <c:v>6.2373815070765823E-2</c:v>
                </c:pt>
                <c:pt idx="34">
                  <c:v>5.5499435391939057E-2</c:v>
                </c:pt>
                <c:pt idx="35">
                  <c:v>4.9314398243273425E-2</c:v>
                </c:pt>
                <c:pt idx="36">
                  <c:v>4.3760444307504823E-2</c:v>
                </c:pt>
                <c:pt idx="37">
                  <c:v>3.8782549923436126E-2</c:v>
                </c:pt>
                <c:pt idx="38">
                  <c:v>3.4329018617299568E-2</c:v>
                </c:pt>
                <c:pt idx="39">
                  <c:v>3.0351516580351477E-2</c:v>
                </c:pt>
                <c:pt idx="40">
                  <c:v>2.6805060040618976E-2</c:v>
                </c:pt>
                <c:pt idx="41">
                  <c:v>2.3647962173950307E-2</c:v>
                </c:pt>
                <c:pt idx="42">
                  <c:v>2.0841746760468505E-2</c:v>
                </c:pt>
                <c:pt idx="43">
                  <c:v>1.8351035254903104E-2</c:v>
                </c:pt>
                <c:pt idx="44">
                  <c:v>1.6143413336761576E-2</c:v>
                </c:pt>
                <c:pt idx="45">
                  <c:v>1.4189282368107266E-2</c:v>
                </c:pt>
                <c:pt idx="46">
                  <c:v>1.2461700537394932E-2</c:v>
                </c:pt>
                <c:pt idx="47">
                  <c:v>1.0936217827369782E-2</c:v>
                </c:pt>
                <c:pt idx="48">
                  <c:v>9.5907083290977264E-3</c:v>
                </c:pt>
                <c:pt idx="49">
                  <c:v>8.4052028444427142E-3</c:v>
                </c:pt>
                <c:pt idx="50">
                  <c:v>7.361724183868646E-3</c:v>
                </c:pt>
                <c:pt idx="51">
                  <c:v>6.4441270804180334E-3</c:v>
                </c:pt>
                <c:pt idx="52">
                  <c:v>5.6379442066328504E-3</c:v>
                </c:pt>
                <c:pt idx="53">
                  <c:v>4.9302393994978431E-3</c:v>
                </c:pt>
                <c:pt idx="54">
                  <c:v>4.3094688680296069E-3</c:v>
                </c:pt>
                <c:pt idx="55">
                  <c:v>3.7653508765122597E-3</c:v>
                </c:pt>
                <c:pt idx="56">
                  <c:v>3.2887441603257927E-3</c:v>
                </c:pt>
                <c:pt idx="57">
                  <c:v>2.8715351369991457E-3</c:v>
                </c:pt>
                <c:pt idx="58">
                  <c:v>2.5065338183968165E-3</c:v>
                </c:pt>
                <c:pt idx="59">
                  <c:v>2.1873782065628547E-3</c:v>
                </c:pt>
                <c:pt idx="60">
                  <c:v>1.9084468614830759E-3</c:v>
                </c:pt>
                <c:pt idx="61">
                  <c:v>1.6647792598404043E-3</c:v>
                </c:pt>
                <c:pt idx="62">
                  <c:v>1.4520035159275068E-3</c:v>
                </c:pt>
                <c:pt idx="63">
                  <c:v>1.2662710057475821E-3</c:v>
                </c:pt>
                <c:pt idx="64">
                  <c:v>1.1041974198154412E-3</c:v>
                </c:pt>
                <c:pt idx="65">
                  <c:v>9.6280976644904813E-4</c:v>
                </c:pt>
                <c:pt idx="66">
                  <c:v>8.3949885294578534E-4</c:v>
                </c:pt>
                <c:pt idx="67">
                  <c:v>7.3197678482886711E-4</c:v>
                </c:pt>
                <c:pt idx="68">
                  <c:v>6.3823904150228682E-4</c:v>
                </c:pt>
                <c:pt idx="69">
                  <c:v>5.5653070863055881E-4</c:v>
                </c:pt>
                <c:pt idx="70">
                  <c:v>4.8531647208679469E-4</c:v>
                </c:pt>
                <c:pt idx="71">
                  <c:v>4.2325400434665354E-4</c:v>
                </c:pt>
                <c:pt idx="72">
                  <c:v>3.6917040090766741E-4</c:v>
                </c:pt>
                <c:pt idx="73">
                  <c:v>3.2204135102263247E-4</c:v>
                </c:pt>
                <c:pt idx="74">
                  <c:v>2.8097275324220141E-4</c:v>
                </c:pt>
                <c:pt idx="75">
                  <c:v>2.451845115841995E-4</c:v>
                </c:pt>
                <c:pt idx="76">
                  <c:v>2.1399627231037899E-4</c:v>
                </c:pt>
                <c:pt idx="77">
                  <c:v>1.8681488410873589E-4</c:v>
                </c:pt>
                <c:pt idx="78">
                  <c:v>1.6312338583505739E-4</c:v>
                </c:pt>
                <c:pt idx="79">
                  <c:v>1.4247134580246386E-4</c:v>
                </c:pt>
                <c:pt idx="80">
                  <c:v>1.244663949080159E-4</c:v>
                </c:pt>
                <c:pt idx="81">
                  <c:v>1.0876681267098142E-4</c:v>
                </c:pt>
                <c:pt idx="82">
                  <c:v>9.5075040573658047E-5</c:v>
                </c:pt>
                <c:pt idx="83">
                  <c:v>8.3132011006553256E-5</c:v>
                </c:pt>
                <c:pt idx="84">
                  <c:v>7.2712192701792705E-5</c:v>
                </c:pt>
                <c:pt idx="85">
                  <c:v>6.3619264876069444E-5</c:v>
                </c:pt>
                <c:pt idx="86">
                  <c:v>5.5682342485798131E-5</c:v>
                </c:pt>
                <c:pt idx="87">
                  <c:v>4.8752684112084544E-5</c:v>
                </c:pt>
                <c:pt idx="88">
                  <c:v>4.2700822130472323E-5</c:v>
                </c:pt>
                <c:pt idx="89">
                  <c:v>3.7414062066427963E-5</c:v>
                </c:pt>
                <c:pt idx="90">
                  <c:v>3.2794304474662583E-5</c:v>
                </c:pt>
                <c:pt idx="91">
                  <c:v>2.8756148386710014E-5</c:v>
                </c:pt>
                <c:pt idx="92">
                  <c:v>2.5225240419652628E-5</c:v>
                </c:pt>
                <c:pt idx="93">
                  <c:v>2.2136838097299825E-5</c:v>
                </c:pt>
                <c:pt idx="94">
                  <c:v>1.9434559865871532E-5</c:v>
                </c:pt>
                <c:pt idx="95">
                  <c:v>1.7069297746494905E-5</c:v>
                </c:pt>
                <c:pt idx="96">
                  <c:v>1.4998271608608024E-5</c:v>
                </c:pt>
                <c:pt idx="97">
                  <c:v>1.318420671884018E-5</c:v>
                </c:pt>
                <c:pt idx="98">
                  <c:v>1.1594618561646122E-5</c:v>
                </c:pt>
                <c:pt idx="99">
                  <c:v>1.0201190979142866E-5</c:v>
                </c:pt>
                <c:pt idx="100">
                  <c:v>8.9792354724908288E-6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'Fig 3b - t dist P value'!$G$99</c:f>
              <c:strCache>
                <c:ptCount val="1"/>
                <c:pt idx="0">
                  <c:v>df=9</c:v>
                </c:pt>
              </c:strCache>
            </c:strRef>
          </c:tx>
          <c:spPr>
            <a:ln>
              <a:solidFill>
                <a:srgbClr val="0070C0">
                  <a:alpha val="35000"/>
                </a:srgbClr>
              </a:solidFill>
            </a:ln>
          </c:spPr>
          <c:marker>
            <c:symbol val="none"/>
          </c:marker>
          <c:xVal>
            <c:numRef>
              <c:f>'Fig 3b - t dist P value'!$B$100:$B$600</c:f>
              <c:numCache>
                <c:formatCode>General</c:formatCode>
                <c:ptCount val="5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1.1399999999999999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2.2200000000000002</c:v>
                </c:pt>
                <c:pt idx="38">
                  <c:v>2.2799999999999998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4.0199999999999996</c:v>
                </c:pt>
                <c:pt idx="68">
                  <c:v>4.08</c:v>
                </c:pt>
                <c:pt idx="69">
                  <c:v>4.1399999999999997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4.4400000000000004</c:v>
                </c:pt>
                <c:pt idx="75">
                  <c:v>4.5</c:v>
                </c:pt>
                <c:pt idx="76">
                  <c:v>4.5599999999999996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4.8600000000000003</c:v>
                </c:pt>
                <c:pt idx="82">
                  <c:v>4.92</c:v>
                </c:pt>
                <c:pt idx="83">
                  <c:v>4.9800000000000004</c:v>
                </c:pt>
                <c:pt idx="84">
                  <c:v>5.04</c:v>
                </c:pt>
                <c:pt idx="85">
                  <c:v>5.0999999999999996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'Fig 3b - t dist P value'!$G$100:$G$600</c:f>
              <c:numCache>
                <c:formatCode>General</c:formatCode>
                <c:ptCount val="501"/>
                <c:pt idx="0">
                  <c:v>1</c:v>
                </c:pt>
                <c:pt idx="1">
                  <c:v>0.95346683139219002</c:v>
                </c:pt>
                <c:pt idx="2">
                  <c:v>0.90711925088906675</c:v>
                </c:pt>
                <c:pt idx="3">
                  <c:v>0.86114018936830439</c:v>
                </c:pt>
                <c:pt idx="4">
                  <c:v>0.8157073369675174</c:v>
                </c:pt>
                <c:pt idx="5">
                  <c:v>0.7709907037415249</c:v>
                </c:pt>
                <c:pt idx="6">
                  <c:v>0.72715038863821091</c:v>
                </c:pt>
                <c:pt idx="7">
                  <c:v>0.68433461197929457</c:v>
                </c:pt>
                <c:pt idx="8">
                  <c:v>0.64267805556879387</c:v>
                </c:pt>
                <c:pt idx="9">
                  <c:v>0.60230054204921468</c:v>
                </c:pt>
                <c:pt idx="10">
                  <c:v>0.56330607190293291</c:v>
                </c:pt>
                <c:pt idx="11">
                  <c:v>0.52578222327534796</c:v>
                </c:pt>
                <c:pt idx="12">
                  <c:v>0.48979990724945166</c:v>
                </c:pt>
                <c:pt idx="13">
                  <c:v>0.45541345990796034</c:v>
                </c:pt>
                <c:pt idx="14">
                  <c:v>0.42266104293375439</c:v>
                </c:pt>
                <c:pt idx="15">
                  <c:v>0.39156531693276653</c:v>
                </c:pt>
                <c:pt idx="16">
                  <c:v>0.3621343462768073</c:v>
                </c:pt>
                <c:pt idx="17">
                  <c:v>0.33436269107532401</c:v>
                </c:pt>
                <c:pt idx="18">
                  <c:v>0.30823264078681106</c:v>
                </c:pt>
                <c:pt idx="19">
                  <c:v>0.28371554476227023</c:v>
                </c:pt>
                <c:pt idx="20">
                  <c:v>0.26077319739046173</c:v>
                </c:pt>
                <c:pt idx="21">
                  <c:v>0.239359239158285</c:v>
                </c:pt>
                <c:pt idx="22">
                  <c:v>0.21942053950285356</c:v>
                </c:pt>
                <c:pt idx="23">
                  <c:v>0.20089853247473485</c:v>
                </c:pt>
                <c:pt idx="24">
                  <c:v>0.18373048164085137</c:v>
                </c:pt>
                <c:pt idx="25">
                  <c:v>0.16785065605707494</c:v>
                </c:pt>
                <c:pt idx="26">
                  <c:v>0.15319140430989545</c:v>
                </c:pt>
                <c:pt idx="27">
                  <c:v>0.13968411839127756</c:v>
                </c:pt>
                <c:pt idx="28">
                  <c:v>0.12726008341030168</c:v>
                </c:pt>
                <c:pt idx="29">
                  <c:v>0.11585121278689876</c:v>
                </c:pt>
                <c:pt idx="30">
                  <c:v>0.10539067158640882</c:v>
                </c:pt>
                <c:pt idx="31">
                  <c:v>9.581339304315234E-2</c:v>
                </c:pt>
                <c:pt idx="32">
                  <c:v>8.7056495118052871E-2</c:v>
                </c:pt>
                <c:pt idx="33">
                  <c:v>7.9059605190476862E-2</c:v>
                </c:pt>
                <c:pt idx="34">
                  <c:v>7.1765101761239583E-2</c:v>
                </c:pt>
                <c:pt idx="35">
                  <c:v>6.5118282412152034E-2</c:v>
                </c:pt>
                <c:pt idx="36">
                  <c:v>5.906746729912609E-2</c:v>
                </c:pt>
                <c:pt idx="37">
                  <c:v>5.3564047220122139E-2</c:v>
                </c:pt>
                <c:pt idx="38">
                  <c:v>4.8562484860635038E-2</c:v>
                </c:pt>
                <c:pt idx="39">
                  <c:v>4.4020277235765015E-2</c:v>
                </c:pt>
                <c:pt idx="40">
                  <c:v>3.9897886669348397E-2</c:v>
                </c:pt>
                <c:pt idx="41">
                  <c:v>3.6158646919234823E-2</c:v>
                </c:pt>
                <c:pt idx="42">
                  <c:v>3.2768650307847036E-2</c:v>
                </c:pt>
                <c:pt idx="43">
                  <c:v>2.9696620975518499E-2</c:v>
                </c:pt>
                <c:pt idx="44">
                  <c:v>2.6913778661015277E-2</c:v>
                </c:pt>
                <c:pt idx="45">
                  <c:v>2.4393696743545384E-2</c:v>
                </c:pt>
                <c:pt idx="46">
                  <c:v>2.2112157662962109E-2</c:v>
                </c:pt>
                <c:pt idx="47">
                  <c:v>2.0047008275271734E-2</c:v>
                </c:pt>
                <c:pt idx="48">
                  <c:v>1.8178017201219639E-2</c:v>
                </c:pt>
                <c:pt idx="49">
                  <c:v>1.6486735786446095E-2</c:v>
                </c:pt>
                <c:pt idx="50">
                  <c:v>1.4956363910414211E-2</c:v>
                </c:pt>
                <c:pt idx="51">
                  <c:v>1.3571621554686279E-2</c:v>
                </c:pt>
                <c:pt idx="52">
                  <c:v>1.2318626764969478E-2</c:v>
                </c:pt>
                <c:pt idx="53">
                  <c:v>1.118478041101848E-2</c:v>
                </c:pt>
                <c:pt idx="54">
                  <c:v>1.0158657959108438E-2</c:v>
                </c:pt>
                <c:pt idx="55">
                  <c:v>9.2299083185470223E-3</c:v>
                </c:pt>
                <c:pt idx="56">
                  <c:v>8.3891597019052338E-3</c:v>
                </c:pt>
                <c:pt idx="57">
                  <c:v>7.6279323439300672E-3</c:v>
                </c:pt>
                <c:pt idx="58">
                  <c:v>6.9385578524055642E-3</c:v>
                </c:pt>
                <c:pt idx="59">
                  <c:v>6.3141049118887573E-3</c:v>
                </c:pt>
                <c:pt idx="60">
                  <c:v>5.7483110249854051E-3</c:v>
                </c:pt>
                <c:pt idx="61">
                  <c:v>5.2355199527622225E-3</c:v>
                </c:pt>
                <c:pt idx="62">
                  <c:v>4.7706245035022288E-3</c:v>
                </c:pt>
                <c:pt idx="63">
                  <c:v>4.3490143151317297E-3</c:v>
                </c:pt>
                <c:pt idx="64">
                  <c:v>3.9665282794355836E-3</c:v>
                </c:pt>
                <c:pt idx="65">
                  <c:v>3.6194112640736383E-3</c:v>
                </c:pt>
                <c:pt idx="66">
                  <c:v>3.3042748001146085E-3</c:v>
                </c:pt>
                <c:pt idx="67">
                  <c:v>3.0180614172397244E-3</c:v>
                </c:pt>
                <c:pt idx="68">
                  <c:v>2.7580123250580194E-3</c:v>
                </c:pt>
                <c:pt idx="69">
                  <c:v>2.5216381564089553E-3</c:v>
                </c:pt>
                <c:pt idx="70">
                  <c:v>2.3066925065402385E-3</c:v>
                </c:pt>
                <c:pt idx="71">
                  <c:v>2.1111480201959501E-3</c:v>
                </c:pt>
                <c:pt idx="72">
                  <c:v>1.933174796589777E-3</c:v>
                </c:pt>
                <c:pt idx="73">
                  <c:v>1.7711208997131954E-3</c:v>
                </c:pt>
                <c:pt idx="74">
                  <c:v>1.6234947782506591E-3</c:v>
                </c:pt>
                <c:pt idx="75">
                  <c:v>1.4889494154117315E-3</c:v>
                </c:pt>
                <c:pt idx="76">
                  <c:v>1.3662680441572338E-3</c:v>
                </c:pt>
                <c:pt idx="77">
                  <c:v>1.2543512775434434E-3</c:v>
                </c:pt>
                <c:pt idx="78">
                  <c:v>1.1522055172132281E-3</c:v>
                </c:pt>
                <c:pt idx="79">
                  <c:v>1.0589325154262725E-3</c:v>
                </c:pt>
                <c:pt idx="80">
                  <c:v>9.7371997745943203E-4</c:v>
                </c:pt>
                <c:pt idx="81">
                  <c:v>8.9583310175145683E-4</c:v>
                </c:pt>
                <c:pt idx="82">
                  <c:v>8.2460696485250559E-4</c:v>
                </c:pt>
                <c:pt idx="83">
                  <c:v>7.5943966711098331E-4</c:v>
                </c:pt>
                <c:pt idx="84">
                  <c:v>6.9978616313646146E-4</c:v>
                </c:pt>
                <c:pt idx="85">
                  <c:v>6.4515270846649128E-4</c:v>
                </c:pt>
                <c:pt idx="86">
                  <c:v>5.950918605870161E-4</c:v>
                </c:pt>
                <c:pt idx="87">
                  <c:v>5.4919797856008005E-4</c:v>
                </c:pt>
                <c:pt idx="88">
                  <c:v>5.0710317104635868E-4</c:v>
                </c:pt>
                <c:pt idx="89">
                  <c:v>4.684736475200672E-4</c:v>
                </c:pt>
                <c:pt idx="90">
                  <c:v>4.3300643200357044E-4</c:v>
                </c:pt>
                <c:pt idx="91">
                  <c:v>4.0042640274022534E-4</c:v>
                </c:pt>
                <c:pt idx="92">
                  <c:v>3.7048362491520466E-4</c:v>
                </c:pt>
                <c:pt idx="93">
                  <c:v>3.4295094686156286E-4</c:v>
                </c:pt>
                <c:pt idx="94">
                  <c:v>3.1762183318602199E-4</c:v>
                </c:pt>
                <c:pt idx="95">
                  <c:v>2.9430841094688369E-4</c:v>
                </c:pt>
                <c:pt idx="96">
                  <c:v>2.7283970744349802E-4</c:v>
                </c:pt>
                <c:pt idx="97">
                  <c:v>2.5306006035891393E-4</c:v>
                </c:pt>
                <c:pt idx="98">
                  <c:v>2.3482768295853695E-4</c:v>
                </c:pt>
                <c:pt idx="99">
                  <c:v>2.1801336880948016E-4</c:v>
                </c:pt>
                <c:pt idx="100">
                  <c:v>2.0249932206764073E-4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'Fig 3b - t dist P value'!$F$99</c:f>
              <c:strCache>
                <c:ptCount val="1"/>
                <c:pt idx="0">
                  <c:v>df=4</c:v>
                </c:pt>
              </c:strCache>
            </c:strRef>
          </c:tx>
          <c:spPr>
            <a:ln w="25400">
              <a:solidFill>
                <a:srgbClr val="0070C0">
                  <a:alpha val="50000"/>
                </a:srgbClr>
              </a:solidFill>
            </a:ln>
          </c:spPr>
          <c:marker>
            <c:symbol val="none"/>
          </c:marker>
          <c:xVal>
            <c:numRef>
              <c:f>'Fig 3b - t dist P value'!$B$100:$B$600</c:f>
              <c:numCache>
                <c:formatCode>General</c:formatCode>
                <c:ptCount val="5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1.1399999999999999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2.2200000000000002</c:v>
                </c:pt>
                <c:pt idx="38">
                  <c:v>2.2799999999999998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4.0199999999999996</c:v>
                </c:pt>
                <c:pt idx="68">
                  <c:v>4.08</c:v>
                </c:pt>
                <c:pt idx="69">
                  <c:v>4.1399999999999997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4.4400000000000004</c:v>
                </c:pt>
                <c:pt idx="75">
                  <c:v>4.5</c:v>
                </c:pt>
                <c:pt idx="76">
                  <c:v>4.5599999999999996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4.8600000000000003</c:v>
                </c:pt>
                <c:pt idx="82">
                  <c:v>4.92</c:v>
                </c:pt>
                <c:pt idx="83">
                  <c:v>4.9800000000000004</c:v>
                </c:pt>
                <c:pt idx="84">
                  <c:v>5.04</c:v>
                </c:pt>
                <c:pt idx="85">
                  <c:v>5.0999999999999996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'Fig 3b - t dist P value'!$F$100:$F$600</c:f>
              <c:numCache>
                <c:formatCode>General</c:formatCode>
                <c:ptCount val="501"/>
                <c:pt idx="0">
                  <c:v>1</c:v>
                </c:pt>
                <c:pt idx="1">
                  <c:v>0.95503371813697513</c:v>
                </c:pt>
                <c:pt idx="2">
                  <c:v>0.91026898332150186</c:v>
                </c:pt>
                <c:pt idx="3">
                  <c:v>0.86590356650158462</c:v>
                </c:pt>
                <c:pt idx="4">
                  <c:v>0.82212783704204329</c:v>
                </c:pt>
                <c:pt idx="5">
                  <c:v>0.77912142827745967</c:v>
                </c:pt>
                <c:pt idx="6">
                  <c:v>0.73705031517017405</c:v>
                </c:pt>
                <c:pt idx="7">
                  <c:v>0.69606439856177427</c:v>
                </c:pt>
                <c:pt idx="8">
                  <c:v>0.65629565925154609</c:v>
                </c:pt>
                <c:pt idx="9">
                  <c:v>0.61785691204385917</c:v>
                </c:pt>
                <c:pt idx="10">
                  <c:v>0.58084115775184475</c:v>
                </c:pt>
                <c:pt idx="11">
                  <c:v>0.54532150232784038</c:v>
                </c:pt>
                <c:pt idx="12">
                  <c:v>0.51135158861786523</c:v>
                </c:pt>
                <c:pt idx="13">
                  <c:v>0.47896646880319083</c:v>
                </c:pt>
                <c:pt idx="14">
                  <c:v>0.44818383477314228</c:v>
                </c:pt>
                <c:pt idx="15">
                  <c:v>0.41900551920808421</c:v>
                </c:pt>
                <c:pt idx="16">
                  <c:v>0.39141918128357622</c:v>
                </c:pt>
                <c:pt idx="17">
                  <c:v>0.36540009655641492</c:v>
                </c:pt>
                <c:pt idx="18">
                  <c:v>0.34091297953002625</c:v>
                </c:pt>
                <c:pt idx="19">
                  <c:v>0.31791377838816942</c:v>
                </c:pt>
                <c:pt idx="20">
                  <c:v>0.29635139331235355</c:v>
                </c:pt>
                <c:pt idx="21">
                  <c:v>0.27616928172534516</c:v>
                </c:pt>
                <c:pt idx="22">
                  <c:v>0.25730692501742986</c:v>
                </c:pt>
                <c:pt idx="23">
                  <c:v>0.23970114132477097</c:v>
                </c:pt>
                <c:pt idx="24">
                  <c:v>0.22328723745672993</c:v>
                </c:pt>
                <c:pt idx="25">
                  <c:v>0.20799999999999985</c:v>
                </c:pt>
                <c:pt idx="26">
                  <c:v>0.19377453098348024</c:v>
                </c:pt>
                <c:pt idx="27">
                  <c:v>0.18054693738425984</c:v>
                </c:pt>
                <c:pt idx="28">
                  <c:v>0.16825488636540126</c:v>
                </c:pt>
                <c:pt idx="29">
                  <c:v>0.15683803966271351</c:v>
                </c:pt>
                <c:pt idx="30">
                  <c:v>0.14623838118902838</c:v>
                </c:pt>
                <c:pt idx="31">
                  <c:v>0.13640045189966293</c:v>
                </c:pt>
                <c:pt idx="32">
                  <c:v>0.12727150544118951</c:v>
                </c:pt>
                <c:pt idx="33">
                  <c:v>0.1188015972417287</c:v>
                </c:pt>
                <c:pt idx="34">
                  <c:v>0.11094361862238412</c:v>
                </c:pt>
                <c:pt idx="35">
                  <c:v>0.10365328631760212</c:v>
                </c:pt>
                <c:pt idx="36">
                  <c:v>9.6889096564786337E-2</c:v>
                </c:pt>
                <c:pt idx="37">
                  <c:v>9.0612251717146874E-2</c:v>
                </c:pt>
                <c:pt idx="38">
                  <c:v>8.478656618784966E-2</c:v>
                </c:pt>
                <c:pt idx="39">
                  <c:v>7.9378357473241762E-2</c:v>
                </c:pt>
                <c:pt idx="40">
                  <c:v>7.4356327042506123E-2</c:v>
                </c:pt>
                <c:pt idx="41">
                  <c:v>6.9691435026461121E-2</c:v>
                </c:pt>
                <c:pt idx="42">
                  <c:v>6.5356771889320736E-2</c:v>
                </c:pt>
                <c:pt idx="43">
                  <c:v>6.132742961987047E-2</c:v>
                </c:pt>
                <c:pt idx="44">
                  <c:v>5.7580374425844842E-2</c:v>
                </c:pt>
                <c:pt idx="45">
                  <c:v>5.4094322448921997E-2</c:v>
                </c:pt>
                <c:pt idx="46">
                  <c:v>5.0849619628596153E-2</c:v>
                </c:pt>
                <c:pt idx="47">
                  <c:v>4.7828126522038661E-2</c:v>
                </c:pt>
                <c:pt idx="48">
                  <c:v>4.5013108625035936E-2</c:v>
                </c:pt>
                <c:pt idx="49">
                  <c:v>4.2389132527844438E-2</c:v>
                </c:pt>
                <c:pt idx="50">
                  <c:v>3.9941968071718827E-2</c:v>
                </c:pt>
                <c:pt idx="51">
                  <c:v>3.7658496540106334E-2</c:v>
                </c:pt>
                <c:pt idx="52">
                  <c:v>3.5526624817015927E-2</c:v>
                </c:pt>
                <c:pt idx="53">
                  <c:v>3.3535205368602002E-2</c:v>
                </c:pt>
                <c:pt idx="54">
                  <c:v>3.1673961848008254E-2</c:v>
                </c:pt>
                <c:pt idx="55">
                  <c:v>2.9933420084126076E-2</c:v>
                </c:pt>
                <c:pt idx="56">
                  <c:v>2.830484418885611E-2</c:v>
                </c:pt>
                <c:pt idx="57">
                  <c:v>2.6780177501981143E-2</c:v>
                </c:pt>
                <c:pt idx="58">
                  <c:v>2.5351988085568142E-2</c:v>
                </c:pt>
                <c:pt idx="59">
                  <c:v>2.4013418479043234E-2</c:v>
                </c:pt>
                <c:pt idx="60">
                  <c:v>2.2758139430167686E-2</c:v>
                </c:pt>
                <c:pt idx="61">
                  <c:v>2.1580307324838243E-2</c:v>
                </c:pt>
                <c:pt idx="62">
                  <c:v>2.0474525048920882E-2</c:v>
                </c:pt>
                <c:pt idx="63">
                  <c:v>1.9435806027395305E-2</c:v>
                </c:pt>
                <c:pt idx="64">
                  <c:v>1.8459541199295215E-2</c:v>
                </c:pt>
                <c:pt idx="65">
                  <c:v>1.7541468700772923E-2</c:v>
                </c:pt>
                <c:pt idx="66">
                  <c:v>1.6677646042705569E-2</c:v>
                </c:pt>
                <c:pt idx="67">
                  <c:v>1.5864424583299421E-2</c:v>
                </c:pt>
                <c:pt idx="68">
                  <c:v>1.5098426109913757E-2</c:v>
                </c:pt>
                <c:pt idx="69">
                  <c:v>1.4376521357657823E-2</c:v>
                </c:pt>
                <c:pt idx="70">
                  <c:v>1.3695810305096454E-2</c:v>
                </c:pt>
                <c:pt idx="71">
                  <c:v>1.3053604099560773E-2</c:v>
                </c:pt>
                <c:pt idx="72">
                  <c:v>1.2447408476049757E-2</c:v>
                </c:pt>
                <c:pt idx="73">
                  <c:v>1.1874908544507144E-2</c:v>
                </c:pt>
                <c:pt idx="74">
                  <c:v>1.1333954830358848E-2</c:v>
                </c:pt>
                <c:pt idx="75">
                  <c:v>1.0822550462608249E-2</c:v>
                </c:pt>
                <c:pt idx="76">
                  <c:v>1.0338839412527508E-2</c:v>
                </c:pt>
                <c:pt idx="77">
                  <c:v>9.8810956940776334E-3</c:v>
                </c:pt>
                <c:pt idx="78">
                  <c:v>9.4477134446677123E-3</c:v>
                </c:pt>
                <c:pt idx="79">
                  <c:v>9.0371978117574654E-3</c:v>
                </c:pt>
                <c:pt idx="80">
                  <c:v>8.6481565771506629E-3</c:v>
                </c:pt>
                <c:pt idx="81">
                  <c:v>8.2792924566555542E-3</c:v>
                </c:pt>
                <c:pt idx="82">
                  <c:v>7.9293960181365634E-3</c:v>
                </c:pt>
                <c:pt idx="83">
                  <c:v>7.5973391658827926E-3</c:v>
                </c:pt>
                <c:pt idx="84">
                  <c:v>7.2820691437075905E-3</c:v>
                </c:pt>
                <c:pt idx="85">
                  <c:v>6.9826030132990454E-3</c:v>
                </c:pt>
                <c:pt idx="86">
                  <c:v>6.6980225680956362E-3</c:v>
                </c:pt>
                <c:pt idx="87">
                  <c:v>6.427469646391246E-3</c:v>
                </c:pt>
                <c:pt idx="88">
                  <c:v>6.170141810506429E-3</c:v>
                </c:pt>
                <c:pt idx="89">
                  <c:v>5.9252883617227151E-3</c:v>
                </c:pt>
                <c:pt idx="90">
                  <c:v>5.6922066632864882E-3</c:v>
                </c:pt>
                <c:pt idx="91">
                  <c:v>5.4702387461709251E-3</c:v>
                </c:pt>
                <c:pt idx="92">
                  <c:v>5.2587681744562815E-3</c:v>
                </c:pt>
                <c:pt idx="93">
                  <c:v>5.0572171491711391E-3</c:v>
                </c:pt>
                <c:pt idx="94">
                  <c:v>4.8650438312442153E-3</c:v>
                </c:pt>
                <c:pt idx="95">
                  <c:v>4.6817398658651329E-3</c:v>
                </c:pt>
                <c:pt idx="96">
                  <c:v>4.5068280920564094E-3</c:v>
                </c:pt>
                <c:pt idx="97">
                  <c:v>4.3398604226301627E-3</c:v>
                </c:pt>
                <c:pt idx="98">
                  <c:v>4.1804158809549278E-3</c:v>
                </c:pt>
                <c:pt idx="99">
                  <c:v>4.0280987820991874E-3</c:v>
                </c:pt>
                <c:pt idx="100">
                  <c:v>3.882537046960512E-3</c:v>
                </c:pt>
              </c:numCache>
            </c:numRef>
          </c:yVal>
          <c:smooth val="0"/>
        </c:ser>
        <c:ser>
          <c:idx val="2"/>
          <c:order val="4"/>
          <c:tx>
            <c:strRef>
              <c:f>'Fig 3b - t dist P value'!$E$99</c:f>
              <c:strCache>
                <c:ptCount val="1"/>
                <c:pt idx="0">
                  <c:v>df=3</c:v>
                </c:pt>
              </c:strCache>
            </c:strRef>
          </c:tx>
          <c:spPr>
            <a:ln w="25400">
              <a:solidFill>
                <a:srgbClr val="0070C0">
                  <a:alpha val="65000"/>
                </a:srgbClr>
              </a:solidFill>
            </a:ln>
          </c:spPr>
          <c:marker>
            <c:symbol val="none"/>
          </c:marker>
          <c:xVal>
            <c:numRef>
              <c:f>'Fig 3b - t dist P value'!$B$100:$B$600</c:f>
              <c:numCache>
                <c:formatCode>General</c:formatCode>
                <c:ptCount val="5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1.1399999999999999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2.2200000000000002</c:v>
                </c:pt>
                <c:pt idx="38">
                  <c:v>2.2799999999999998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4.0199999999999996</c:v>
                </c:pt>
                <c:pt idx="68">
                  <c:v>4.08</c:v>
                </c:pt>
                <c:pt idx="69">
                  <c:v>4.1399999999999997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4.4400000000000004</c:v>
                </c:pt>
                <c:pt idx="75">
                  <c:v>4.5</c:v>
                </c:pt>
                <c:pt idx="76">
                  <c:v>4.5599999999999996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4.8600000000000003</c:v>
                </c:pt>
                <c:pt idx="82">
                  <c:v>4.92</c:v>
                </c:pt>
                <c:pt idx="83">
                  <c:v>4.9800000000000004</c:v>
                </c:pt>
                <c:pt idx="84">
                  <c:v>5.04</c:v>
                </c:pt>
                <c:pt idx="85">
                  <c:v>5.0999999999999996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'Fig 3b - t dist P value'!$E$100:$E$600</c:f>
              <c:numCache>
                <c:formatCode>General</c:formatCode>
                <c:ptCount val="501"/>
                <c:pt idx="0">
                  <c:v>1</c:v>
                </c:pt>
                <c:pt idx="1">
                  <c:v>0.95592893535121148</c:v>
                </c:pt>
                <c:pt idx="2">
                  <c:v>0.91206844322440683</c:v>
                </c:pt>
                <c:pt idx="3">
                  <c:v>0.86862459547996618</c:v>
                </c:pt>
                <c:pt idx="4">
                  <c:v>0.8257946746589222</c:v>
                </c:pt>
                <c:pt idx="5">
                  <c:v>0.78376329203991912</c:v>
                </c:pt>
                <c:pt idx="6">
                  <c:v>0.74269907468447505</c:v>
                </c:pt>
                <c:pt idx="7">
                  <c:v>0.70275204008510883</c:v>
                </c:pt>
                <c:pt idx="8">
                  <c:v>0.66405172718293248</c:v>
                </c:pt>
                <c:pt idx="9">
                  <c:v>0.62670610182451325</c:v>
                </c:pt>
                <c:pt idx="10">
                  <c:v>0.59080120805398928</c:v>
                </c:pt>
                <c:pt idx="11">
                  <c:v>0.55640149778422032</c:v>
                </c:pt>
                <c:pt idx="12">
                  <c:v>0.52355074273845581</c:v>
                </c:pt>
                <c:pt idx="13">
                  <c:v>0.49227341498907257</c:v>
                </c:pt>
                <c:pt idx="14">
                  <c:v>0.46257641550514306</c:v>
                </c:pt>
                <c:pt idx="15">
                  <c:v>0.43445103241803684</c:v>
                </c:pt>
                <c:pt idx="16">
                  <c:v>0.40787502017751592</c:v>
                </c:pt>
                <c:pt idx="17">
                  <c:v>0.38281470512522286</c:v>
                </c:pt>
                <c:pt idx="18">
                  <c:v>0.35922704006743583</c:v>
                </c:pt>
                <c:pt idx="19">
                  <c:v>0.33706154829447343</c:v>
                </c:pt>
                <c:pt idx="20">
                  <c:v>0.31626211469810528</c:v>
                </c:pt>
                <c:pt idx="21">
                  <c:v>0.29676859715870091</c:v>
                </c:pt>
                <c:pt idx="22">
                  <c:v>0.27851824460829272</c:v>
                </c:pt>
                <c:pt idx="23">
                  <c:v>0.26144691887341298</c:v>
                </c:pt>
                <c:pt idx="24">
                  <c:v>0.24549012557849706</c:v>
                </c:pt>
                <c:pt idx="25">
                  <c:v>0.23058386524482297</c:v>
                </c:pt>
                <c:pt idx="26">
                  <c:v>0.21666531955647406</c:v>
                </c:pt>
                <c:pt idx="27">
                  <c:v>0.20367338993581005</c:v>
                </c:pt>
                <c:pt idx="28">
                  <c:v>0.19154910643205059</c:v>
                </c:pt>
                <c:pt idx="29">
                  <c:v>0.18023592480809589</c:v>
                </c:pt>
                <c:pt idx="30">
                  <c:v>0.16967992890125819</c:v>
                </c:pt>
                <c:pt idx="31">
                  <c:v>0.15982995407310954</c:v>
                </c:pt>
                <c:pt idx="32">
                  <c:v>0.15063764604304317</c:v>
                </c:pt>
                <c:pt idx="33">
                  <c:v>0.14205746776479677</c:v>
                </c:pt>
                <c:pt idx="34">
                  <c:v>0.13404666536089871</c:v>
                </c:pt>
                <c:pt idx="35">
                  <c:v>0.12656520254968459</c:v>
                </c:pt>
                <c:pt idx="36">
                  <c:v>0.11957567152987773</c:v>
                </c:pt>
                <c:pt idx="37">
                  <c:v>0.1130431869553007</c:v>
                </c:pt>
                <c:pt idx="38">
                  <c:v>0.10693526844880408</c:v>
                </c:pt>
                <c:pt idx="39">
                  <c:v>0.1012217160711783</c:v>
                </c:pt>
                <c:pt idx="40">
                  <c:v>9.5874482271831055E-2</c:v>
                </c:pt>
                <c:pt idx="41">
                  <c:v>9.0867543093138853E-2</c:v>
                </c:pt>
                <c:pt idx="42">
                  <c:v>8.6176770766995578E-2</c:v>
                </c:pt>
                <c:pt idx="43">
                  <c:v>8.1779809316525245E-2</c:v>
                </c:pt>
                <c:pt idx="44">
                  <c:v>7.7655954344544323E-2</c:v>
                </c:pt>
                <c:pt idx="45">
                  <c:v>7.3786037840060534E-2</c:v>
                </c:pt>
                <c:pt idx="46">
                  <c:v>7.0152318552798049E-2</c:v>
                </c:pt>
                <c:pt idx="47">
                  <c:v>6.6738378262517231E-2</c:v>
                </c:pt>
                <c:pt idx="48">
                  <c:v>6.352902409510669E-2</c:v>
                </c:pt>
                <c:pt idx="49">
                  <c:v>6.0510196902624637E-2</c:v>
                </c:pt>
                <c:pt idx="50">
                  <c:v>5.7668885622437334E-2</c:v>
                </c:pt>
                <c:pt idx="51">
                  <c:v>5.4993047455162133E-2</c:v>
                </c:pt>
                <c:pt idx="52">
                  <c:v>5.2471533647097106E-2</c:v>
                </c:pt>
                <c:pt idx="53">
                  <c:v>5.0094020625854177E-2</c:v>
                </c:pt>
                <c:pt idx="54">
                  <c:v>4.785094621443256E-2</c:v>
                </c:pt>
                <c:pt idx="55">
                  <c:v>4.5733450635998707E-2</c:v>
                </c:pt>
                <c:pt idx="56">
                  <c:v>4.3733322016778584E-2</c:v>
                </c:pt>
                <c:pt idx="57">
                  <c:v>4.1842946095745383E-2</c:v>
                </c:pt>
                <c:pt idx="58">
                  <c:v>4.0055259855630576E-2</c:v>
                </c:pt>
                <c:pt idx="59">
                  <c:v>3.8363708798934755E-2</c:v>
                </c:pt>
                <c:pt idx="60">
                  <c:v>3.6762207604062694E-2</c:v>
                </c:pt>
                <c:pt idx="61">
                  <c:v>3.5245103909671956E-2</c:v>
                </c:pt>
                <c:pt idx="62">
                  <c:v>3.3807144989188277E-2</c:v>
                </c:pt>
                <c:pt idx="63">
                  <c:v>3.2443447091737757E-2</c:v>
                </c:pt>
                <c:pt idx="64">
                  <c:v>3.11494672401103E-2</c:v>
                </c:pt>
                <c:pt idx="65">
                  <c:v>2.9920977290540961E-2</c:v>
                </c:pt>
                <c:pt idx="66">
                  <c:v>2.8754040072877456E-2</c:v>
                </c:pt>
                <c:pt idx="67">
                  <c:v>2.7644987442955401E-2</c:v>
                </c:pt>
                <c:pt idx="68">
                  <c:v>2.6590400091639741E-2</c:v>
                </c:pt>
                <c:pt idx="69">
                  <c:v>2.5587088966950014E-2</c:v>
                </c:pt>
                <c:pt idx="70">
                  <c:v>2.463207817693925E-2</c:v>
                </c:pt>
                <c:pt idx="71">
                  <c:v>2.3722589251535645E-2</c:v>
                </c:pt>
                <c:pt idx="72">
                  <c:v>2.2856026651379636E-2</c:v>
                </c:pt>
                <c:pt idx="73">
                  <c:v>2.2029964420823393E-2</c:v>
                </c:pt>
                <c:pt idx="74">
                  <c:v>2.1242133890719973E-2</c:v>
                </c:pt>
                <c:pt idx="75">
                  <c:v>2.049041234445341E-2</c:v>
                </c:pt>
                <c:pt idx="76">
                  <c:v>1.9772812567875168E-2</c:v>
                </c:pt>
                <c:pt idx="77">
                  <c:v>1.9087473210458308E-2</c:v>
                </c:pt>
                <c:pt idx="78">
                  <c:v>1.843264989108865E-2</c:v>
                </c:pt>
                <c:pt idx="79">
                  <c:v>1.7806706987523055E-2</c:v>
                </c:pt>
                <c:pt idx="80">
                  <c:v>1.7208110053690766E-2</c:v>
                </c:pt>
                <c:pt idx="81">
                  <c:v>1.6635418813729236E-2</c:v>
                </c:pt>
                <c:pt idx="82">
                  <c:v>1.6087280685965908E-2</c:v>
                </c:pt>
                <c:pt idx="83">
                  <c:v>1.5562424794009277E-2</c:v>
                </c:pt>
                <c:pt idx="84">
                  <c:v>1.5059656425729186E-2</c:v>
                </c:pt>
                <c:pt idx="85">
                  <c:v>1.4577851904212008E-2</c:v>
                </c:pt>
                <c:pt idx="86">
                  <c:v>1.41159538377997E-2</c:v>
                </c:pt>
                <c:pt idx="87">
                  <c:v>1.3672966719083159E-2</c:v>
                </c:pt>
                <c:pt idx="88">
                  <c:v>1.3247952845245093E-2</c:v>
                </c:pt>
                <c:pt idx="89">
                  <c:v>1.2840028534453596E-2</c:v>
                </c:pt>
                <c:pt idx="90">
                  <c:v>1.2448360615115122E-2</c:v>
                </c:pt>
                <c:pt idx="91">
                  <c:v>1.2072163166720426E-2</c:v>
                </c:pt>
                <c:pt idx="92">
                  <c:v>1.1710694492777174E-2</c:v>
                </c:pt>
                <c:pt idx="93">
                  <c:v>1.1363254307929744E-2</c:v>
                </c:pt>
                <c:pt idx="94">
                  <c:v>1.1029181122836886E-2</c:v>
                </c:pt>
                <c:pt idx="95">
                  <c:v>1.0707849811721036E-2</c:v>
                </c:pt>
                <c:pt idx="96">
                  <c:v>1.0398669348730986E-2</c:v>
                </c:pt>
                <c:pt idx="97">
                  <c:v>1.0101080700383475E-2</c:v>
                </c:pt>
                <c:pt idx="98">
                  <c:v>9.814554862376328E-3</c:v>
                </c:pt>
                <c:pt idx="99">
                  <c:v>9.5385910300061719E-3</c:v>
                </c:pt>
                <c:pt idx="100">
                  <c:v>9.2727148922846659E-3</c:v>
                </c:pt>
              </c:numCache>
            </c:numRef>
          </c:yVal>
          <c:smooth val="0"/>
        </c:ser>
        <c:ser>
          <c:idx val="1"/>
          <c:order val="5"/>
          <c:tx>
            <c:strRef>
              <c:f>'Fig 3b - t dist P value'!$D$99</c:f>
              <c:strCache>
                <c:ptCount val="1"/>
                <c:pt idx="0">
                  <c:v>df=2</c:v>
                </c:pt>
              </c:strCache>
            </c:strRef>
          </c:tx>
          <c:spPr>
            <a:ln w="25400">
              <a:solidFill>
                <a:srgbClr val="0070C0">
                  <a:alpha val="85000"/>
                </a:srgbClr>
              </a:solidFill>
            </a:ln>
          </c:spPr>
          <c:marker>
            <c:symbol val="none"/>
          </c:marker>
          <c:xVal>
            <c:numRef>
              <c:f>'Fig 3b - t dist P value'!$B$100:$B$600</c:f>
              <c:numCache>
                <c:formatCode>General</c:formatCode>
                <c:ptCount val="5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1.1399999999999999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2.2200000000000002</c:v>
                </c:pt>
                <c:pt idx="38">
                  <c:v>2.2799999999999998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4.0199999999999996</c:v>
                </c:pt>
                <c:pt idx="68">
                  <c:v>4.08</c:v>
                </c:pt>
                <c:pt idx="69">
                  <c:v>4.1399999999999997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4.4400000000000004</c:v>
                </c:pt>
                <c:pt idx="75">
                  <c:v>4.5</c:v>
                </c:pt>
                <c:pt idx="76">
                  <c:v>4.5599999999999996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4.8600000000000003</c:v>
                </c:pt>
                <c:pt idx="82">
                  <c:v>4.92</c:v>
                </c:pt>
                <c:pt idx="83">
                  <c:v>4.9800000000000004</c:v>
                </c:pt>
                <c:pt idx="84">
                  <c:v>5.04</c:v>
                </c:pt>
                <c:pt idx="85">
                  <c:v>5.0999999999999996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'Fig 3b - t dist P value'!$D$100:$D$600</c:f>
              <c:numCache>
                <c:formatCode>General</c:formatCode>
                <c:ptCount val="501"/>
                <c:pt idx="0">
                  <c:v>1</c:v>
                </c:pt>
                <c:pt idx="1">
                  <c:v>0.95761172542410655</c:v>
                </c:pt>
                <c:pt idx="2">
                  <c:v>0.91545101668366824</c:v>
                </c:pt>
                <c:pt idx="3">
                  <c:v>0.87373938162978126</c:v>
                </c:pt>
                <c:pt idx="4">
                  <c:v>0.83268658404005214</c:v>
                </c:pt>
                <c:pt idx="5">
                  <c:v>0.7924856608401778</c:v>
                </c:pt>
                <c:pt idx="6">
                  <c:v>0.75330889989092065</c:v>
                </c:pt>
                <c:pt idx="7">
                  <c:v>0.71530493973599663</c:v>
                </c:pt>
                <c:pt idx="8">
                  <c:v>0.6785970495966519</c:v>
                </c:pt>
                <c:pt idx="9">
                  <c:v>0.64328255144388979</c:v>
                </c:pt>
                <c:pt idx="10">
                  <c:v>0.60943326705752843</c:v>
                </c:pt>
                <c:pt idx="11">
                  <c:v>0.57709681801827539</c:v>
                </c:pt>
                <c:pt idx="12">
                  <c:v>0.54629857732173748</c:v>
                </c:pt>
                <c:pt idx="13">
                  <c:v>0.51704406557541827</c:v>
                </c:pt>
                <c:pt idx="14">
                  <c:v>0.48932159775991269</c:v>
                </c:pt>
                <c:pt idx="15">
                  <c:v>0.46310501235529578</c:v>
                </c:pt>
                <c:pt idx="16">
                  <c:v>0.43835634735890916</c:v>
                </c:pt>
                <c:pt idx="17">
                  <c:v>0.41502836234035945</c:v>
                </c:pt>
                <c:pt idx="18">
                  <c:v>0.39306683847655277</c:v>
                </c:pt>
                <c:pt idx="19">
                  <c:v>0.37241261712634866</c:v>
                </c:pt>
                <c:pt idx="20">
                  <c:v>0.35300336077936956</c:v>
                </c:pt>
                <c:pt idx="21">
                  <c:v>0.3347750379043819</c:v>
                </c:pt>
                <c:pt idx="22">
                  <c:v>0.31766314570612453</c:v>
                </c:pt>
                <c:pt idx="23">
                  <c:v>0.30160369280361854</c:v>
                </c:pt>
                <c:pt idx="24">
                  <c:v>0.28653396823952382</c:v>
                </c:pt>
                <c:pt idx="25">
                  <c:v>0.27239312489100109</c:v>
                </c:pt>
                <c:pt idx="26">
                  <c:v>0.25912260506413221</c:v>
                </c:pt>
                <c:pt idx="27">
                  <c:v>0.2466664344752153</c:v>
                </c:pt>
                <c:pt idx="28">
                  <c:v>0.23497140847371756</c:v>
                </c:pt>
                <c:pt idx="29">
                  <c:v>0.22398719163321557</c:v>
                </c:pt>
                <c:pt idx="30">
                  <c:v>0.21366634900506587</c:v>
                </c:pt>
                <c:pt idx="31">
                  <c:v>0.20396432457968872</c:v>
                </c:pt>
                <c:pt idx="32">
                  <c:v>0.19483937994612688</c:v>
                </c:pt>
                <c:pt idx="33">
                  <c:v>0.18625250384357894</c:v>
                </c:pt>
                <c:pt idx="34">
                  <c:v>0.17816730128370772</c:v>
                </c:pt>
                <c:pt idx="35">
                  <c:v>0.17054986918996751</c:v>
                </c:pt>
                <c:pt idx="36">
                  <c:v>0.16336866403488626</c:v>
                </c:pt>
                <c:pt idx="37">
                  <c:v>0.15659436573445884</c:v>
                </c:pt>
                <c:pt idx="38">
                  <c:v>0.1501997410528223</c:v>
                </c:pt>
                <c:pt idx="39">
                  <c:v>0.1441595089515586</c:v>
                </c:pt>
                <c:pt idx="40">
                  <c:v>0.13845020965871424</c:v>
                </c:pt>
                <c:pt idx="41">
                  <c:v>0.13305007870747676</c:v>
                </c:pt>
                <c:pt idx="42">
                  <c:v>0.1279389267806923</c:v>
                </c:pt>
                <c:pt idx="43">
                  <c:v>0.12309802587517271</c:v>
                </c:pt>
                <c:pt idx="44">
                  <c:v>0.11851000205201401</c:v>
                </c:pt>
                <c:pt idx="45">
                  <c:v>0.11415873485153794</c:v>
                </c:pt>
                <c:pt idx="46">
                  <c:v>0.11002926331196816</c:v>
                </c:pt>
                <c:pt idx="47">
                  <c:v>0.10610769842961487</c:v>
                </c:pt>
                <c:pt idx="48">
                  <c:v>0.10238114182704738</c:v>
                </c:pt>
                <c:pt idx="49">
                  <c:v>9.8837610347845106E-2</c:v>
                </c:pt>
                <c:pt idx="50">
                  <c:v>9.5465966266709223E-2</c:v>
                </c:pt>
                <c:pt idx="51">
                  <c:v>9.2255852787693438E-2</c:v>
                </c:pt>
                <c:pt idx="52">
                  <c:v>8.9197634497672151E-2</c:v>
                </c:pt>
                <c:pt idx="53">
                  <c:v>8.6282342444193971E-2</c:v>
                </c:pt>
                <c:pt idx="54">
                  <c:v>8.3501623514461776E-2</c:v>
                </c:pt>
                <c:pt idx="55">
                  <c:v>8.0847693803667964E-2</c:v>
                </c:pt>
                <c:pt idx="56">
                  <c:v>7.8313295675017103E-2</c:v>
                </c:pt>
                <c:pt idx="57">
                  <c:v>7.5891658229507608E-2</c:v>
                </c:pt>
                <c:pt idx="58">
                  <c:v>7.3576460920169895E-2</c:v>
                </c:pt>
                <c:pt idx="59">
                  <c:v>7.1361800062408443E-2</c:v>
                </c:pt>
                <c:pt idx="60">
                  <c:v>6.9242158008965493E-2</c:v>
                </c:pt>
                <c:pt idx="61">
                  <c:v>6.7212374774512029E-2</c:v>
                </c:pt>
                <c:pt idx="62">
                  <c:v>6.5267621910769402E-2</c:v>
                </c:pt>
                <c:pt idx="63">
                  <c:v>6.3403378448238623E-2</c:v>
                </c:pt>
                <c:pt idx="64">
                  <c:v>6.1615408734969401E-2</c:v>
                </c:pt>
                <c:pt idx="65">
                  <c:v>5.9899742016304325E-2</c:v>
                </c:pt>
                <c:pt idx="66">
                  <c:v>5.8252653612149263E-2</c:v>
                </c:pt>
                <c:pt idx="67">
                  <c:v>5.6670647560073117E-2</c:v>
                </c:pt>
                <c:pt idx="68">
                  <c:v>5.5150440603435213E-2</c:v>
                </c:pt>
                <c:pt idx="69">
                  <c:v>5.368894741381347E-2</c:v>
                </c:pt>
                <c:pt idx="70">
                  <c:v>5.2283266946299145E-2</c:v>
                </c:pt>
                <c:pt idx="71">
                  <c:v>5.0930669834777953E-2</c:v>
                </c:pt>
                <c:pt idx="72">
                  <c:v>4.9628586742172659E-2</c:v>
                </c:pt>
                <c:pt idx="73">
                  <c:v>4.8374597587834654E-2</c:v>
                </c:pt>
                <c:pt idx="74">
                  <c:v>4.7166421580875098E-2</c:v>
                </c:pt>
                <c:pt idx="75">
                  <c:v>4.6001907994276017E-2</c:v>
                </c:pt>
                <c:pt idx="76">
                  <c:v>4.4879027620152244E-2</c:v>
                </c:pt>
                <c:pt idx="77">
                  <c:v>4.3795864851592974E-2</c:v>
                </c:pt>
                <c:pt idx="78">
                  <c:v>4.2750610341131687E-2</c:v>
                </c:pt>
                <c:pt idx="79">
                  <c:v>4.1741554190113328E-2</c:v>
                </c:pt>
                <c:pt idx="80">
                  <c:v>4.0767079627082148E-2</c:v>
                </c:pt>
                <c:pt idx="81">
                  <c:v>3.9825657136830353E-2</c:v>
                </c:pt>
                <c:pt idx="82">
                  <c:v>3.8915839004960928E-2</c:v>
                </c:pt>
                <c:pt idx="83">
                  <c:v>3.803625424574858E-2</c:v>
                </c:pt>
                <c:pt idx="84">
                  <c:v>3.7185603883760361E-2</c:v>
                </c:pt>
                <c:pt idx="85">
                  <c:v>3.6362656562140223E-2</c:v>
                </c:pt>
                <c:pt idx="86">
                  <c:v>3.5566244452693831E-2</c:v>
                </c:pt>
                <c:pt idx="87">
                  <c:v>3.4795259444947914E-2</c:v>
                </c:pt>
                <c:pt idx="88">
                  <c:v>3.4048649593219488E-2</c:v>
                </c:pt>
                <c:pt idx="89">
                  <c:v>3.3325415802432735E-2</c:v>
                </c:pt>
                <c:pt idx="90">
                  <c:v>3.2624608734974872E-2</c:v>
                </c:pt>
                <c:pt idx="91">
                  <c:v>3.1945325922305347E-2</c:v>
                </c:pt>
                <c:pt idx="92">
                  <c:v>3.1286709066332456E-2</c:v>
                </c:pt>
                <c:pt idx="93">
                  <c:v>3.0647941516761479E-2</c:v>
                </c:pt>
                <c:pt idx="94">
                  <c:v>3.0028245911707822E-2</c:v>
                </c:pt>
                <c:pt idx="95">
                  <c:v>2.942688196986569E-2</c:v>
                </c:pt>
                <c:pt idx="96">
                  <c:v>2.8843144423436821E-2</c:v>
                </c:pt>
                <c:pt idx="97">
                  <c:v>2.8276361081860844E-2</c:v>
                </c:pt>
                <c:pt idx="98">
                  <c:v>2.7725891017156938E-2</c:v>
                </c:pt>
                <c:pt idx="99">
                  <c:v>2.7191122862390456E-2</c:v>
                </c:pt>
                <c:pt idx="100">
                  <c:v>2.6671473215424769E-2</c:v>
                </c:pt>
              </c:numCache>
            </c:numRef>
          </c:yVal>
          <c:smooth val="0"/>
        </c:ser>
        <c:ser>
          <c:idx val="6"/>
          <c:order val="6"/>
          <c:tx>
            <c:v>t*</c:v>
          </c:tx>
          <c:spPr>
            <a:ln w="25400">
              <a:solidFill>
                <a:schemeClr val="bg1">
                  <a:lumMod val="5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'Fig 3b - t dist P value'!$P$100:$P$101</c:f>
              <c:numCache>
                <c:formatCode>0.00</c:formatCode>
                <c:ptCount val="2"/>
                <c:pt idx="0">
                  <c:v>1.98</c:v>
                </c:pt>
                <c:pt idx="1">
                  <c:v>1.98</c:v>
                </c:pt>
              </c:numCache>
            </c:numRef>
          </c:xVal>
          <c:yVal>
            <c:numRef>
              <c:f>'Fig 3b - t dist P value'!$Q$100:$Q$101</c:f>
              <c:numCache>
                <c:formatCode>General</c:formatCode>
                <c:ptCount val="2"/>
                <c:pt idx="0">
                  <c:v>0</c:v>
                </c:pt>
                <c:pt idx="1">
                  <c:v>0.12</c:v>
                </c:pt>
              </c:numCache>
            </c:numRef>
          </c:yVal>
          <c:smooth val="0"/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12"/>
            <c:spPr>
              <a:solidFill>
                <a:schemeClr val="bg1"/>
              </a:solidFill>
              <a:ln>
                <a:solidFill>
                  <a:srgbClr val="0070C0"/>
                </a:solidFill>
              </a:ln>
            </c:spPr>
          </c:marker>
          <c:dPt>
            <c:idx val="0"/>
            <c:marker>
              <c:spPr>
                <a:solidFill>
                  <a:schemeClr val="bg1"/>
                </a:solidFill>
                <a:ln w="25400">
                  <a:solidFill>
                    <a:srgbClr val="0070C0"/>
                  </a:solidFill>
                </a:ln>
              </c:spPr>
            </c:marker>
            <c:bubble3D val="0"/>
          </c:dPt>
          <c:dPt>
            <c:idx val="1"/>
            <c:marker>
              <c:spPr>
                <a:solidFill>
                  <a:srgbClr val="0070C0"/>
                </a:solidFill>
                <a:ln>
                  <a:solidFill>
                    <a:srgbClr val="0070C0"/>
                  </a:solidFill>
                </a:ln>
              </c:spPr>
            </c:marker>
            <c:bubble3D val="0"/>
          </c:dPt>
          <c:dPt>
            <c:idx val="2"/>
            <c:marker>
              <c:spPr>
                <a:solidFill>
                  <a:schemeClr val="tx1"/>
                </a:solidFill>
                <a:ln>
                  <a:noFill/>
                </a:ln>
              </c:spPr>
            </c:marker>
            <c:bubble3D val="0"/>
          </c:dPt>
          <c:xVal>
            <c:numRef>
              <c:f>'Fig 3b - t dist P value'!$S$100:$S$102</c:f>
              <c:numCache>
                <c:formatCode>0.00</c:formatCode>
                <c:ptCount val="3"/>
                <c:pt idx="0">
                  <c:v>1.98</c:v>
                </c:pt>
                <c:pt idx="1">
                  <c:v>1.98</c:v>
                </c:pt>
                <c:pt idx="2">
                  <c:v>1.98</c:v>
                </c:pt>
              </c:numCache>
            </c:numRef>
          </c:xVal>
          <c:yVal>
            <c:numRef>
              <c:f>'Fig 3b - t dist P value'!$T$100:$T$102</c:f>
              <c:numCache>
                <c:formatCode>0.000</c:formatCode>
                <c:ptCount val="3"/>
                <c:pt idx="0">
                  <c:v>0.1188015972417287</c:v>
                </c:pt>
                <c:pt idx="1">
                  <c:v>5.333401650421974E-2</c:v>
                </c:pt>
                <c:pt idx="2">
                  <c:v>4.7703528683016971E-2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4384"/>
        <c:axId val="50238208"/>
      </c:scatterChart>
      <c:valAx>
        <c:axId val="50064384"/>
        <c:scaling>
          <c:orientation val="minMax"/>
          <c:max val="6"/>
          <c:min val="1.4"/>
        </c:scaling>
        <c:delete val="0"/>
        <c:axPos val="b"/>
        <c:majorGridlines>
          <c:spPr>
            <a:ln w="6350"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50238208"/>
        <c:crosses val="autoZero"/>
        <c:crossBetween val="midCat"/>
        <c:majorUnit val="0.2"/>
        <c:minorUnit val="5.000000000000001E-2"/>
      </c:valAx>
      <c:valAx>
        <c:axId val="50238208"/>
        <c:scaling>
          <c:orientation val="minMax"/>
          <c:max val="0.12000000000000001"/>
          <c:min val="0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out"/>
        <c:tickLblPos val="nextTo"/>
        <c:crossAx val="50064384"/>
        <c:crossesAt val="-4"/>
        <c:crossBetween val="midCat"/>
        <c:majorUnit val="1.0000000000000002E-2"/>
        <c:minorUnit val="1.0000000000000002E-3"/>
      </c:valAx>
    </c:plotArea>
    <c:legend>
      <c:legendPos val="r"/>
      <c:legendEntry>
        <c:idx val="7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simulated t distribution</c:v>
          </c:tx>
          <c:spPr>
            <a:solidFill>
              <a:srgbClr val="1F497D">
                <a:lumMod val="60000"/>
                <a:lumOff val="40000"/>
                <a:alpha val="25000"/>
              </a:srgbClr>
            </a:solidFill>
            <a:ln>
              <a:noFill/>
            </a:ln>
          </c:spPr>
          <c:invertIfNegative val="0"/>
          <c:cat>
            <c:numRef>
              <c:f>'Fig 4 - t dist simulation'!$F$100:$F$151</c:f>
              <c:numCache>
                <c:formatCode>General</c:formatCode>
                <c:ptCount val="52"/>
                <c:pt idx="0">
                  <c:v>-4</c:v>
                </c:pt>
                <c:pt idx="1">
                  <c:v>-3.84</c:v>
                </c:pt>
                <c:pt idx="2">
                  <c:v>-3.68</c:v>
                </c:pt>
                <c:pt idx="3">
                  <c:v>-3.52</c:v>
                </c:pt>
                <c:pt idx="4">
                  <c:v>-3.36</c:v>
                </c:pt>
                <c:pt idx="5">
                  <c:v>-3.2</c:v>
                </c:pt>
                <c:pt idx="6">
                  <c:v>-3.04</c:v>
                </c:pt>
                <c:pt idx="7">
                  <c:v>-2.88</c:v>
                </c:pt>
                <c:pt idx="8">
                  <c:v>-2.7199999999999998</c:v>
                </c:pt>
                <c:pt idx="9">
                  <c:v>-2.56</c:v>
                </c:pt>
                <c:pt idx="10">
                  <c:v>-2.4</c:v>
                </c:pt>
                <c:pt idx="11">
                  <c:v>-2.2400000000000002</c:v>
                </c:pt>
                <c:pt idx="12">
                  <c:v>-2.08</c:v>
                </c:pt>
                <c:pt idx="13">
                  <c:v>-1.92</c:v>
                </c:pt>
                <c:pt idx="14">
                  <c:v>-1.7599999999999998</c:v>
                </c:pt>
                <c:pt idx="15">
                  <c:v>-1.6</c:v>
                </c:pt>
                <c:pt idx="16">
                  <c:v>-1.44</c:v>
                </c:pt>
                <c:pt idx="17">
                  <c:v>-1.2799999999999998</c:v>
                </c:pt>
                <c:pt idx="18">
                  <c:v>-1.1200000000000001</c:v>
                </c:pt>
                <c:pt idx="19">
                  <c:v>-0.96</c:v>
                </c:pt>
                <c:pt idx="20">
                  <c:v>-0.79999999999999982</c:v>
                </c:pt>
                <c:pt idx="21">
                  <c:v>-0.64000000000000012</c:v>
                </c:pt>
                <c:pt idx="22">
                  <c:v>-0.48</c:v>
                </c:pt>
                <c:pt idx="23">
                  <c:v>-0.31999999999999984</c:v>
                </c:pt>
                <c:pt idx="24">
                  <c:v>-0.16000000000000014</c:v>
                </c:pt>
                <c:pt idx="25">
                  <c:v>0</c:v>
                </c:pt>
                <c:pt idx="26">
                  <c:v>0.16000000000000014</c:v>
                </c:pt>
                <c:pt idx="27">
                  <c:v>0.32000000000000028</c:v>
                </c:pt>
                <c:pt idx="28">
                  <c:v>0.48000000000000043</c:v>
                </c:pt>
                <c:pt idx="29">
                  <c:v>0.63999999999999968</c:v>
                </c:pt>
                <c:pt idx="30">
                  <c:v>0.79999999999999982</c:v>
                </c:pt>
                <c:pt idx="31">
                  <c:v>0.96</c:v>
                </c:pt>
                <c:pt idx="32">
                  <c:v>1.1200000000000001</c:v>
                </c:pt>
                <c:pt idx="33">
                  <c:v>1.2800000000000002</c:v>
                </c:pt>
                <c:pt idx="34">
                  <c:v>1.4400000000000004</c:v>
                </c:pt>
                <c:pt idx="35">
                  <c:v>1.5999999999999996</c:v>
                </c:pt>
                <c:pt idx="36">
                  <c:v>1.7599999999999998</c:v>
                </c:pt>
                <c:pt idx="37">
                  <c:v>1.92</c:v>
                </c:pt>
                <c:pt idx="38">
                  <c:v>2.08</c:v>
                </c:pt>
                <c:pt idx="39">
                  <c:v>2.2400000000000002</c:v>
                </c:pt>
                <c:pt idx="40">
                  <c:v>2.4000000000000004</c:v>
                </c:pt>
                <c:pt idx="41">
                  <c:v>2.5599999999999996</c:v>
                </c:pt>
                <c:pt idx="42">
                  <c:v>2.7199999999999998</c:v>
                </c:pt>
                <c:pt idx="43">
                  <c:v>2.88</c:v>
                </c:pt>
                <c:pt idx="44">
                  <c:v>3.04</c:v>
                </c:pt>
                <c:pt idx="45">
                  <c:v>3.2</c:v>
                </c:pt>
                <c:pt idx="46">
                  <c:v>3.3600000000000003</c:v>
                </c:pt>
                <c:pt idx="47">
                  <c:v>3.5199999999999996</c:v>
                </c:pt>
                <c:pt idx="48">
                  <c:v>3.6799999999999997</c:v>
                </c:pt>
                <c:pt idx="49">
                  <c:v>3.84</c:v>
                </c:pt>
                <c:pt idx="50">
                  <c:v>4</c:v>
                </c:pt>
              </c:numCache>
            </c:numRef>
          </c:cat>
          <c:val>
            <c:numRef>
              <c:f>'Fig 4 - t dist simulation'!$H$100:$H$151</c:f>
              <c:numCache>
                <c:formatCode>General</c:formatCode>
                <c:ptCount val="52"/>
                <c:pt idx="0">
                  <c:v>1.2500000000000001E-2</c:v>
                </c:pt>
                <c:pt idx="1">
                  <c:v>1.2500000000000001E-2</c:v>
                </c:pt>
                <c:pt idx="2">
                  <c:v>1.2500000000000001E-2</c:v>
                </c:pt>
                <c:pt idx="3">
                  <c:v>1.2500000000000001E-2</c:v>
                </c:pt>
                <c:pt idx="4">
                  <c:v>3.1250000000000002E-3</c:v>
                </c:pt>
                <c:pt idx="5">
                  <c:v>1.5625E-2</c:v>
                </c:pt>
                <c:pt idx="6">
                  <c:v>2.1874999999999999E-2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2.1874999999999999E-2</c:v>
                </c:pt>
                <c:pt idx="10">
                  <c:v>4.3749999999999997E-2</c:v>
                </c:pt>
                <c:pt idx="11">
                  <c:v>2.5000000000000001E-2</c:v>
                </c:pt>
                <c:pt idx="12">
                  <c:v>6.8749999999999992E-2</c:v>
                </c:pt>
                <c:pt idx="13">
                  <c:v>8.1249999999999989E-2</c:v>
                </c:pt>
                <c:pt idx="14">
                  <c:v>0.10625000000000001</c:v>
                </c:pt>
                <c:pt idx="15">
                  <c:v>0.13437499999999999</c:v>
                </c:pt>
                <c:pt idx="16">
                  <c:v>0.15312500000000001</c:v>
                </c:pt>
                <c:pt idx="17">
                  <c:v>0.19062499999999999</c:v>
                </c:pt>
                <c:pt idx="18">
                  <c:v>0.234375</c:v>
                </c:pt>
                <c:pt idx="19">
                  <c:v>0.23749999999999999</c:v>
                </c:pt>
                <c:pt idx="20">
                  <c:v>0.22187499999999999</c:v>
                </c:pt>
                <c:pt idx="21">
                  <c:v>0.31874999999999998</c:v>
                </c:pt>
                <c:pt idx="22">
                  <c:v>0.30937500000000001</c:v>
                </c:pt>
                <c:pt idx="23">
                  <c:v>0.390625</c:v>
                </c:pt>
                <c:pt idx="24">
                  <c:v>0.34375</c:v>
                </c:pt>
                <c:pt idx="25">
                  <c:v>0.35</c:v>
                </c:pt>
                <c:pt idx="26">
                  <c:v>0.35</c:v>
                </c:pt>
                <c:pt idx="27">
                  <c:v>0.33124999999999999</c:v>
                </c:pt>
                <c:pt idx="28">
                  <c:v>0.28749999999999998</c:v>
                </c:pt>
                <c:pt idx="29">
                  <c:v>0.3</c:v>
                </c:pt>
                <c:pt idx="30">
                  <c:v>0.22812499999999999</c:v>
                </c:pt>
                <c:pt idx="31">
                  <c:v>0.265625</c:v>
                </c:pt>
                <c:pt idx="32">
                  <c:v>0.14687500000000001</c:v>
                </c:pt>
                <c:pt idx="33">
                  <c:v>0.16562499999999999</c:v>
                </c:pt>
                <c:pt idx="34">
                  <c:v>0.15625</c:v>
                </c:pt>
                <c:pt idx="35">
                  <c:v>0.10312500000000001</c:v>
                </c:pt>
                <c:pt idx="36">
                  <c:v>9.375E-2</c:v>
                </c:pt>
                <c:pt idx="37">
                  <c:v>8.4374999999999992E-2</c:v>
                </c:pt>
                <c:pt idx="38">
                  <c:v>4.3749999999999997E-2</c:v>
                </c:pt>
                <c:pt idx="39">
                  <c:v>3.4374999999999996E-2</c:v>
                </c:pt>
                <c:pt idx="40">
                  <c:v>4.0624999999999994E-2</c:v>
                </c:pt>
                <c:pt idx="41">
                  <c:v>9.3749999999999997E-3</c:v>
                </c:pt>
                <c:pt idx="42">
                  <c:v>2.8124999999999997E-2</c:v>
                </c:pt>
                <c:pt idx="43">
                  <c:v>2.8124999999999997E-2</c:v>
                </c:pt>
                <c:pt idx="44">
                  <c:v>1.5625E-2</c:v>
                </c:pt>
                <c:pt idx="45">
                  <c:v>9.3749999999999997E-3</c:v>
                </c:pt>
                <c:pt idx="46">
                  <c:v>1.2500000000000001E-2</c:v>
                </c:pt>
                <c:pt idx="47">
                  <c:v>1.5625E-2</c:v>
                </c:pt>
                <c:pt idx="48">
                  <c:v>1.5625E-2</c:v>
                </c:pt>
                <c:pt idx="49">
                  <c:v>6.2500000000000003E-3</c:v>
                </c:pt>
                <c:pt idx="50">
                  <c:v>6.2500000000000003E-3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6023680"/>
        <c:axId val="56029568"/>
      </c:barChart>
      <c:lineChart>
        <c:grouping val="standard"/>
        <c:varyColors val="0"/>
        <c:ser>
          <c:idx val="1"/>
          <c:order val="1"/>
          <c:tx>
            <c:v>Student's t distribution</c:v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'Fig 4 - t dist simulation'!$F$100:$F$150</c:f>
              <c:numCache>
                <c:formatCode>General</c:formatCode>
                <c:ptCount val="51"/>
                <c:pt idx="0">
                  <c:v>-4</c:v>
                </c:pt>
                <c:pt idx="1">
                  <c:v>-3.84</c:v>
                </c:pt>
                <c:pt idx="2">
                  <c:v>-3.68</c:v>
                </c:pt>
                <c:pt idx="3">
                  <c:v>-3.52</c:v>
                </c:pt>
                <c:pt idx="4">
                  <c:v>-3.36</c:v>
                </c:pt>
                <c:pt idx="5">
                  <c:v>-3.2</c:v>
                </c:pt>
                <c:pt idx="6">
                  <c:v>-3.04</c:v>
                </c:pt>
                <c:pt idx="7">
                  <c:v>-2.88</c:v>
                </c:pt>
                <c:pt idx="8">
                  <c:v>-2.7199999999999998</c:v>
                </c:pt>
                <c:pt idx="9">
                  <c:v>-2.56</c:v>
                </c:pt>
                <c:pt idx="10">
                  <c:v>-2.4</c:v>
                </c:pt>
                <c:pt idx="11">
                  <c:v>-2.2400000000000002</c:v>
                </c:pt>
                <c:pt idx="12">
                  <c:v>-2.08</c:v>
                </c:pt>
                <c:pt idx="13">
                  <c:v>-1.92</c:v>
                </c:pt>
                <c:pt idx="14">
                  <c:v>-1.7599999999999998</c:v>
                </c:pt>
                <c:pt idx="15">
                  <c:v>-1.6</c:v>
                </c:pt>
                <c:pt idx="16">
                  <c:v>-1.44</c:v>
                </c:pt>
                <c:pt idx="17">
                  <c:v>-1.2799999999999998</c:v>
                </c:pt>
                <c:pt idx="18">
                  <c:v>-1.1200000000000001</c:v>
                </c:pt>
                <c:pt idx="19">
                  <c:v>-0.96</c:v>
                </c:pt>
                <c:pt idx="20">
                  <c:v>-0.79999999999999982</c:v>
                </c:pt>
                <c:pt idx="21">
                  <c:v>-0.64000000000000012</c:v>
                </c:pt>
                <c:pt idx="22">
                  <c:v>-0.48</c:v>
                </c:pt>
                <c:pt idx="23">
                  <c:v>-0.31999999999999984</c:v>
                </c:pt>
                <c:pt idx="24">
                  <c:v>-0.16000000000000014</c:v>
                </c:pt>
                <c:pt idx="25">
                  <c:v>0</c:v>
                </c:pt>
                <c:pt idx="26">
                  <c:v>0.16000000000000014</c:v>
                </c:pt>
                <c:pt idx="27">
                  <c:v>0.32000000000000028</c:v>
                </c:pt>
                <c:pt idx="28">
                  <c:v>0.48000000000000043</c:v>
                </c:pt>
                <c:pt idx="29">
                  <c:v>0.63999999999999968</c:v>
                </c:pt>
                <c:pt idx="30">
                  <c:v>0.79999999999999982</c:v>
                </c:pt>
                <c:pt idx="31">
                  <c:v>0.96</c:v>
                </c:pt>
                <c:pt idx="32">
                  <c:v>1.1200000000000001</c:v>
                </c:pt>
                <c:pt idx="33">
                  <c:v>1.2800000000000002</c:v>
                </c:pt>
                <c:pt idx="34">
                  <c:v>1.4400000000000004</c:v>
                </c:pt>
                <c:pt idx="35">
                  <c:v>1.5999999999999996</c:v>
                </c:pt>
                <c:pt idx="36">
                  <c:v>1.7599999999999998</c:v>
                </c:pt>
                <c:pt idx="37">
                  <c:v>1.92</c:v>
                </c:pt>
                <c:pt idx="38">
                  <c:v>2.08</c:v>
                </c:pt>
                <c:pt idx="39">
                  <c:v>2.2400000000000002</c:v>
                </c:pt>
                <c:pt idx="40">
                  <c:v>2.4000000000000004</c:v>
                </c:pt>
                <c:pt idx="41">
                  <c:v>2.5599999999999996</c:v>
                </c:pt>
                <c:pt idx="42">
                  <c:v>2.7199999999999998</c:v>
                </c:pt>
                <c:pt idx="43">
                  <c:v>2.88</c:v>
                </c:pt>
                <c:pt idx="44">
                  <c:v>3.04</c:v>
                </c:pt>
                <c:pt idx="45">
                  <c:v>3.2</c:v>
                </c:pt>
                <c:pt idx="46">
                  <c:v>3.3600000000000003</c:v>
                </c:pt>
                <c:pt idx="47">
                  <c:v>3.5199999999999996</c:v>
                </c:pt>
                <c:pt idx="48">
                  <c:v>3.6799999999999997</c:v>
                </c:pt>
                <c:pt idx="49">
                  <c:v>3.84</c:v>
                </c:pt>
                <c:pt idx="50">
                  <c:v>4</c:v>
                </c:pt>
              </c:numCache>
            </c:numRef>
          </c:cat>
          <c:val>
            <c:numRef>
              <c:f>'Fig 4 - t dist simulation'!$I$100:$I$151</c:f>
              <c:numCache>
                <c:formatCode>General</c:formatCode>
                <c:ptCount val="52"/>
                <c:pt idx="0">
                  <c:v>6.7082039324993705E-3</c:v>
                </c:pt>
                <c:pt idx="1">
                  <c:v>7.8873821251491377E-3</c:v>
                </c:pt>
                <c:pt idx="2">
                  <c:v>9.3101938200690591E-3</c:v>
                </c:pt>
                <c:pt idx="3">
                  <c:v>1.1033349233456015E-2</c:v>
                </c:pt>
                <c:pt idx="4">
                  <c:v>1.3127769319555822E-2</c:v>
                </c:pt>
                <c:pt idx="5">
                  <c:v>1.5682174165287877E-2</c:v>
                </c:pt>
                <c:pt idx="6">
                  <c:v>1.8807457297531662E-2</c:v>
                </c:pt>
                <c:pt idx="7">
                  <c:v>2.2641901614703371E-2</c:v>
                </c:pt>
                <c:pt idx="8">
                  <c:v>2.735719162189186E-2</c:v>
                </c:pt>
                <c:pt idx="9">
                  <c:v>3.3164974825615458E-2</c:v>
                </c:pt>
                <c:pt idx="10">
                  <c:v>4.0323358954948263E-2</c:v>
                </c:pt>
                <c:pt idx="11">
                  <c:v>4.914211323603631E-2</c:v>
                </c:pt>
                <c:pt idx="12">
                  <c:v>5.9984365545804962E-2</c:v>
                </c:pt>
                <c:pt idx="13">
                  <c:v>7.3261160283543431E-2</c:v>
                </c:pt>
                <c:pt idx="14">
                  <c:v>8.941336627729167E-2</c:v>
                </c:pt>
                <c:pt idx="15">
                  <c:v>0.1088733653856099</c:v>
                </c:pt>
                <c:pt idx="16">
                  <c:v>0.13199752254167912</c:v>
                </c:pt>
                <c:pt idx="17">
                  <c:v>0.1589613491353935</c:v>
                </c:pt>
                <c:pt idx="18">
                  <c:v>0.18961531780727697</c:v>
                </c:pt>
                <c:pt idx="19">
                  <c:v>0.22331374849090349</c:v>
                </c:pt>
                <c:pt idx="20">
                  <c:v>0.25875353677316615</c:v>
                </c:pt>
                <c:pt idx="21">
                  <c:v>0.29388894937742593</c:v>
                </c:pt>
                <c:pt idx="22">
                  <c:v>0.32600755328435199</c:v>
                </c:pt>
                <c:pt idx="23">
                  <c:v>0.35203531878067773</c:v>
                </c:pt>
                <c:pt idx="24">
                  <c:v>0.36906656051019793</c:v>
                </c:pt>
                <c:pt idx="25">
                  <c:v>0.37500000000000006</c:v>
                </c:pt>
                <c:pt idx="26">
                  <c:v>0.36906656051019793</c:v>
                </c:pt>
                <c:pt idx="27">
                  <c:v>0.35203531878067773</c:v>
                </c:pt>
                <c:pt idx="28">
                  <c:v>0.32600755328435199</c:v>
                </c:pt>
                <c:pt idx="29">
                  <c:v>0.29388894937742605</c:v>
                </c:pt>
                <c:pt idx="30">
                  <c:v>0.25875353677316615</c:v>
                </c:pt>
                <c:pt idx="31">
                  <c:v>0.22331374849090349</c:v>
                </c:pt>
                <c:pt idx="32">
                  <c:v>0.18961531780727697</c:v>
                </c:pt>
                <c:pt idx="33">
                  <c:v>0.15896134913539336</c:v>
                </c:pt>
                <c:pt idx="34">
                  <c:v>0.13199752254167907</c:v>
                </c:pt>
                <c:pt idx="35">
                  <c:v>0.10887336538560996</c:v>
                </c:pt>
                <c:pt idx="36">
                  <c:v>8.941336627729167E-2</c:v>
                </c:pt>
                <c:pt idx="37">
                  <c:v>7.3261160283543431E-2</c:v>
                </c:pt>
                <c:pt idx="38">
                  <c:v>5.9984365545804962E-2</c:v>
                </c:pt>
                <c:pt idx="39">
                  <c:v>4.914211323603631E-2</c:v>
                </c:pt>
                <c:pt idx="40">
                  <c:v>4.0323358954948249E-2</c:v>
                </c:pt>
                <c:pt idx="41">
                  <c:v>3.3164974825615472E-2</c:v>
                </c:pt>
                <c:pt idx="42">
                  <c:v>2.735719162189186E-2</c:v>
                </c:pt>
                <c:pt idx="43">
                  <c:v>2.2641901614703371E-2</c:v>
                </c:pt>
                <c:pt idx="44">
                  <c:v>1.8807457297531662E-2</c:v>
                </c:pt>
                <c:pt idx="45">
                  <c:v>1.5682174165287877E-2</c:v>
                </c:pt>
                <c:pt idx="46">
                  <c:v>1.3127769319555815E-2</c:v>
                </c:pt>
                <c:pt idx="47">
                  <c:v>1.1033349233456015E-2</c:v>
                </c:pt>
                <c:pt idx="48">
                  <c:v>9.3101938200690643E-3</c:v>
                </c:pt>
                <c:pt idx="49">
                  <c:v>7.8873821251491377E-3</c:v>
                </c:pt>
                <c:pt idx="50">
                  <c:v>6.7082039324993705E-3</c:v>
                </c:pt>
              </c:numCache>
            </c:numRef>
          </c:val>
          <c:smooth val="0"/>
        </c:ser>
        <c:ser>
          <c:idx val="2"/>
          <c:order val="2"/>
          <c:tx>
            <c:v>normal distribution</c:v>
          </c:tx>
          <c:spPr>
            <a:ln w="25400">
              <a:solidFill>
                <a:schemeClr val="tx1"/>
              </a:solidFill>
              <a:prstDash val="solid"/>
            </a:ln>
            <a:effectLst/>
          </c:spPr>
          <c:marker>
            <c:symbol val="none"/>
          </c:marker>
          <c:cat>
            <c:numRef>
              <c:f>'Fig 4 - t dist simulation'!$F$100:$F$150</c:f>
              <c:numCache>
                <c:formatCode>General</c:formatCode>
                <c:ptCount val="51"/>
                <c:pt idx="0">
                  <c:v>-4</c:v>
                </c:pt>
                <c:pt idx="1">
                  <c:v>-3.84</c:v>
                </c:pt>
                <c:pt idx="2">
                  <c:v>-3.68</c:v>
                </c:pt>
                <c:pt idx="3">
                  <c:v>-3.52</c:v>
                </c:pt>
                <c:pt idx="4">
                  <c:v>-3.36</c:v>
                </c:pt>
                <c:pt idx="5">
                  <c:v>-3.2</c:v>
                </c:pt>
                <c:pt idx="6">
                  <c:v>-3.04</c:v>
                </c:pt>
                <c:pt idx="7">
                  <c:v>-2.88</c:v>
                </c:pt>
                <c:pt idx="8">
                  <c:v>-2.7199999999999998</c:v>
                </c:pt>
                <c:pt idx="9">
                  <c:v>-2.56</c:v>
                </c:pt>
                <c:pt idx="10">
                  <c:v>-2.4</c:v>
                </c:pt>
                <c:pt idx="11">
                  <c:v>-2.2400000000000002</c:v>
                </c:pt>
                <c:pt idx="12">
                  <c:v>-2.08</c:v>
                </c:pt>
                <c:pt idx="13">
                  <c:v>-1.92</c:v>
                </c:pt>
                <c:pt idx="14">
                  <c:v>-1.7599999999999998</c:v>
                </c:pt>
                <c:pt idx="15">
                  <c:v>-1.6</c:v>
                </c:pt>
                <c:pt idx="16">
                  <c:v>-1.44</c:v>
                </c:pt>
                <c:pt idx="17">
                  <c:v>-1.2799999999999998</c:v>
                </c:pt>
                <c:pt idx="18">
                  <c:v>-1.1200000000000001</c:v>
                </c:pt>
                <c:pt idx="19">
                  <c:v>-0.96</c:v>
                </c:pt>
                <c:pt idx="20">
                  <c:v>-0.79999999999999982</c:v>
                </c:pt>
                <c:pt idx="21">
                  <c:v>-0.64000000000000012</c:v>
                </c:pt>
                <c:pt idx="22">
                  <c:v>-0.48</c:v>
                </c:pt>
                <c:pt idx="23">
                  <c:v>-0.31999999999999984</c:v>
                </c:pt>
                <c:pt idx="24">
                  <c:v>-0.16000000000000014</c:v>
                </c:pt>
                <c:pt idx="25">
                  <c:v>0</c:v>
                </c:pt>
                <c:pt idx="26">
                  <c:v>0.16000000000000014</c:v>
                </c:pt>
                <c:pt idx="27">
                  <c:v>0.32000000000000028</c:v>
                </c:pt>
                <c:pt idx="28">
                  <c:v>0.48000000000000043</c:v>
                </c:pt>
                <c:pt idx="29">
                  <c:v>0.63999999999999968</c:v>
                </c:pt>
                <c:pt idx="30">
                  <c:v>0.79999999999999982</c:v>
                </c:pt>
                <c:pt idx="31">
                  <c:v>0.96</c:v>
                </c:pt>
                <c:pt idx="32">
                  <c:v>1.1200000000000001</c:v>
                </c:pt>
                <c:pt idx="33">
                  <c:v>1.2800000000000002</c:v>
                </c:pt>
                <c:pt idx="34">
                  <c:v>1.4400000000000004</c:v>
                </c:pt>
                <c:pt idx="35">
                  <c:v>1.5999999999999996</c:v>
                </c:pt>
                <c:pt idx="36">
                  <c:v>1.7599999999999998</c:v>
                </c:pt>
                <c:pt idx="37">
                  <c:v>1.92</c:v>
                </c:pt>
                <c:pt idx="38">
                  <c:v>2.08</c:v>
                </c:pt>
                <c:pt idx="39">
                  <c:v>2.2400000000000002</c:v>
                </c:pt>
                <c:pt idx="40">
                  <c:v>2.4000000000000004</c:v>
                </c:pt>
                <c:pt idx="41">
                  <c:v>2.5599999999999996</c:v>
                </c:pt>
                <c:pt idx="42">
                  <c:v>2.7199999999999998</c:v>
                </c:pt>
                <c:pt idx="43">
                  <c:v>2.88</c:v>
                </c:pt>
                <c:pt idx="44">
                  <c:v>3.04</c:v>
                </c:pt>
                <c:pt idx="45">
                  <c:v>3.2</c:v>
                </c:pt>
                <c:pt idx="46">
                  <c:v>3.3600000000000003</c:v>
                </c:pt>
                <c:pt idx="47">
                  <c:v>3.5199999999999996</c:v>
                </c:pt>
                <c:pt idx="48">
                  <c:v>3.6799999999999997</c:v>
                </c:pt>
                <c:pt idx="49">
                  <c:v>3.84</c:v>
                </c:pt>
                <c:pt idx="50">
                  <c:v>4</c:v>
                </c:pt>
              </c:numCache>
            </c:numRef>
          </c:cat>
          <c:val>
            <c:numRef>
              <c:f>'Fig 4 - t dist simulation'!$J$100:$J$150</c:f>
              <c:numCache>
                <c:formatCode>General</c:formatCode>
                <c:ptCount val="51"/>
                <c:pt idx="0">
                  <c:v>1.3383022576488537E-4</c:v>
                </c:pt>
                <c:pt idx="1">
                  <c:v>2.5057844489086075E-4</c:v>
                </c:pt>
                <c:pt idx="2">
                  <c:v>4.5731481405985675E-4</c:v>
                </c:pt>
                <c:pt idx="3">
                  <c:v>8.1352123108180841E-4</c:v>
                </c:pt>
                <c:pt idx="4">
                  <c:v>1.4106022569413848E-3</c:v>
                </c:pt>
                <c:pt idx="5">
                  <c:v>2.3840882014648404E-3</c:v>
                </c:pt>
                <c:pt idx="6">
                  <c:v>3.9275536289247789E-3</c:v>
                </c:pt>
                <c:pt idx="7">
                  <c:v>6.3067263962659275E-3</c:v>
                </c:pt>
                <c:pt idx="8">
                  <c:v>9.8711537947511439E-3</c:v>
                </c:pt>
                <c:pt idx="9">
                  <c:v>1.5059616327377449E-2</c:v>
                </c:pt>
                <c:pt idx="10">
                  <c:v>2.2394530294842899E-2</c:v>
                </c:pt>
                <c:pt idx="11">
                  <c:v>3.2460265643697445E-2</c:v>
                </c:pt>
                <c:pt idx="12">
                  <c:v>4.5861076271054887E-2</c:v>
                </c:pt>
                <c:pt idx="13">
                  <c:v>6.3156561435198655E-2</c:v>
                </c:pt>
                <c:pt idx="14">
                  <c:v>8.4776361308022255E-2</c:v>
                </c:pt>
                <c:pt idx="15">
                  <c:v>0.11092083467945554</c:v>
                </c:pt>
                <c:pt idx="16">
                  <c:v>0.14145996522483878</c:v>
                </c:pt>
                <c:pt idx="17">
                  <c:v>0.17584743029766242</c:v>
                </c:pt>
                <c:pt idx="18">
                  <c:v>0.21306914677571784</c:v>
                </c:pt>
                <c:pt idx="19">
                  <c:v>0.25164434109811712</c:v>
                </c:pt>
                <c:pt idx="20">
                  <c:v>0.28969155276148278</c:v>
                </c:pt>
                <c:pt idx="21">
                  <c:v>0.32506226408408212</c:v>
                </c:pt>
                <c:pt idx="22">
                  <c:v>0.35553252850599709</c:v>
                </c:pt>
                <c:pt idx="23">
                  <c:v>0.37903052615270172</c:v>
                </c:pt>
                <c:pt idx="24">
                  <c:v>0.39386836156854083</c:v>
                </c:pt>
                <c:pt idx="25">
                  <c:v>0.3989422804014327</c:v>
                </c:pt>
                <c:pt idx="26">
                  <c:v>0.39386836156854083</c:v>
                </c:pt>
                <c:pt idx="27">
                  <c:v>0.37903052615270166</c:v>
                </c:pt>
                <c:pt idx="28">
                  <c:v>0.35553252850599704</c:v>
                </c:pt>
                <c:pt idx="29">
                  <c:v>0.32506226408408218</c:v>
                </c:pt>
                <c:pt idx="30">
                  <c:v>0.28969155276148278</c:v>
                </c:pt>
                <c:pt idx="31">
                  <c:v>0.25164434109811712</c:v>
                </c:pt>
                <c:pt idx="32">
                  <c:v>0.21306914677571784</c:v>
                </c:pt>
                <c:pt idx="33">
                  <c:v>0.17584743029766231</c:v>
                </c:pt>
                <c:pt idx="34">
                  <c:v>0.1414599652248387</c:v>
                </c:pt>
                <c:pt idx="35">
                  <c:v>0.11092083467945563</c:v>
                </c:pt>
                <c:pt idx="36">
                  <c:v>8.4776361308022255E-2</c:v>
                </c:pt>
                <c:pt idx="37">
                  <c:v>6.3156561435198655E-2</c:v>
                </c:pt>
                <c:pt idx="38">
                  <c:v>4.5861076271054887E-2</c:v>
                </c:pt>
                <c:pt idx="39">
                  <c:v>3.2460265643697445E-2</c:v>
                </c:pt>
                <c:pt idx="40">
                  <c:v>2.2394530294842882E-2</c:v>
                </c:pt>
                <c:pt idx="41">
                  <c:v>1.5059616327377472E-2</c:v>
                </c:pt>
                <c:pt idx="42">
                  <c:v>9.8711537947511439E-3</c:v>
                </c:pt>
                <c:pt idx="43">
                  <c:v>6.3067263962659275E-3</c:v>
                </c:pt>
                <c:pt idx="44">
                  <c:v>3.9275536289247789E-3</c:v>
                </c:pt>
                <c:pt idx="45">
                  <c:v>2.3840882014648404E-3</c:v>
                </c:pt>
                <c:pt idx="46">
                  <c:v>1.4106022569413824E-3</c:v>
                </c:pt>
                <c:pt idx="47">
                  <c:v>8.1352123108180917E-4</c:v>
                </c:pt>
                <c:pt idx="48">
                  <c:v>4.5731481405985762E-4</c:v>
                </c:pt>
                <c:pt idx="49">
                  <c:v>2.5057844489086075E-4</c:v>
                </c:pt>
                <c:pt idx="50">
                  <c:v>1.3383022576488537E-4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3680"/>
        <c:axId val="56029568"/>
      </c:lineChart>
      <c:catAx>
        <c:axId val="56023680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crossAx val="56029568"/>
        <c:crosses val="autoZero"/>
        <c:auto val="1"/>
        <c:lblAlgn val="ctr"/>
        <c:lblOffset val="100"/>
        <c:tickLblSkip val="5"/>
        <c:noMultiLvlLbl val="0"/>
      </c:catAx>
      <c:valAx>
        <c:axId val="5602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236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13</xdr:row>
      <xdr:rowOff>0</xdr:rowOff>
    </xdr:from>
    <xdr:to>
      <xdr:col>7</xdr:col>
      <xdr:colOff>495300</xdr:colOff>
      <xdr:row>17</xdr:row>
      <xdr:rowOff>50800</xdr:rowOff>
    </xdr:to>
    <xdr:sp macro="" textlink="">
      <xdr:nvSpPr>
        <xdr:cNvPr id="2" name="TextBox 1"/>
        <xdr:cNvSpPr txBox="1"/>
      </xdr:nvSpPr>
      <xdr:spPr>
        <a:xfrm>
          <a:off x="1209675" y="2495550"/>
          <a:ext cx="4467225" cy="812800"/>
        </a:xfrm>
        <a:prstGeom prst="rect">
          <a:avLst/>
        </a:prstGeom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en-US" sz="1200">
              <a:latin typeface="Arial"/>
              <a:cs typeface="Arial"/>
            </a:rPr>
            <a:t>Adjust the value in these cells to change example</a:t>
          </a:r>
          <a:r>
            <a:rPr lang="en-US" sz="1200" baseline="0">
              <a:latin typeface="Arial"/>
              <a:cs typeface="Arial"/>
            </a:rPr>
            <a:t> parameters</a:t>
          </a:r>
          <a:r>
            <a:rPr lang="en-US" sz="1200">
              <a:latin typeface="Arial"/>
              <a:cs typeface="Arial"/>
            </a:rPr>
            <a:t>.</a:t>
          </a:r>
        </a:p>
      </xdr:txBody>
    </xdr:sp>
    <xdr:clientData/>
  </xdr:twoCellAnchor>
  <xdr:twoCellAnchor>
    <xdr:from>
      <xdr:col>1</xdr:col>
      <xdr:colOff>7879</xdr:colOff>
      <xdr:row>14</xdr:row>
      <xdr:rowOff>165100</xdr:rowOff>
    </xdr:from>
    <xdr:to>
      <xdr:col>7</xdr:col>
      <xdr:colOff>673100</xdr:colOff>
      <xdr:row>21</xdr:row>
      <xdr:rowOff>101600</xdr:rowOff>
    </xdr:to>
    <xdr:sp macro="" textlink="">
      <xdr:nvSpPr>
        <xdr:cNvPr id="3" name="TextBox 2"/>
        <xdr:cNvSpPr txBox="1"/>
      </xdr:nvSpPr>
      <xdr:spPr>
        <a:xfrm>
          <a:off x="769879" y="2844800"/>
          <a:ext cx="5237221" cy="1270000"/>
        </a:xfrm>
        <a:prstGeom prst="rect">
          <a:avLst/>
        </a:prstGeom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en-US" sz="1200">
              <a:latin typeface="Arial"/>
              <a:cs typeface="Arial"/>
            </a:rPr>
            <a:t>Please</a:t>
          </a:r>
          <a:r>
            <a:rPr lang="en-US" sz="1200" baseline="0">
              <a:latin typeface="Arial"/>
              <a:cs typeface="Arial"/>
            </a:rPr>
            <a:t> </a:t>
          </a:r>
          <a:r>
            <a:rPr lang="en-US" sz="1200" b="1" baseline="0">
              <a:latin typeface="Arial"/>
              <a:cs typeface="Arial"/>
            </a:rPr>
            <a:t>enable macros </a:t>
          </a:r>
          <a:r>
            <a:rPr lang="en-US" sz="1200" baseline="0">
              <a:latin typeface="Arial"/>
              <a:cs typeface="Arial"/>
            </a:rPr>
            <a:t>when loading this spreadsheet.</a:t>
          </a:r>
        </a:p>
        <a:p>
          <a:pPr algn="l"/>
          <a:endParaRPr lang="en-US" sz="1200" baseline="0">
            <a:latin typeface="Arial"/>
            <a:cs typeface="Arial"/>
          </a:endParaRPr>
        </a:p>
        <a:p>
          <a:pPr algn="l"/>
          <a:r>
            <a:rPr lang="en-US" sz="1200" baseline="0">
              <a:latin typeface="Arial"/>
              <a:cs typeface="Arial"/>
            </a:rPr>
            <a:t>This spreadsheet may run </a:t>
          </a:r>
          <a:r>
            <a:rPr lang="en-US" sz="1200" b="1" baseline="0">
              <a:latin typeface="Arial"/>
              <a:cs typeface="Arial"/>
            </a:rPr>
            <a:t>extremely slowly on Mac versions of Excel</a:t>
          </a:r>
          <a:r>
            <a:rPr lang="en-US" sz="1200" baseline="0">
              <a:latin typeface="Arial"/>
              <a:cs typeface="Arial"/>
            </a:rPr>
            <a:t>. Slow performance of VBA code is a known issue on the Mac. Mac users are encouraged to run a virtual machine with Windows guest operating system and use the Windows version of Excel.</a:t>
          </a:r>
          <a:endParaRPr lang="en-US" sz="1200"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30</xdr:row>
          <xdr:rowOff>161925</xdr:rowOff>
        </xdr:from>
        <xdr:to>
          <xdr:col>2</xdr:col>
          <xdr:colOff>628650</xdr:colOff>
          <xdr:row>32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example 2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33</xdr:row>
          <xdr:rowOff>161925</xdr:rowOff>
        </xdr:from>
        <xdr:to>
          <xdr:col>2</xdr:col>
          <xdr:colOff>628650</xdr:colOff>
          <xdr:row>35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example 3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37</xdr:row>
          <xdr:rowOff>9525</xdr:rowOff>
        </xdr:from>
        <xdr:to>
          <xdr:col>2</xdr:col>
          <xdr:colOff>628650</xdr:colOff>
          <xdr:row>38</xdr:row>
          <xdr:rowOff>47625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example 4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27</xdr:row>
          <xdr:rowOff>180975</xdr:rowOff>
        </xdr:from>
        <xdr:to>
          <xdr:col>2</xdr:col>
          <xdr:colOff>638175</xdr:colOff>
          <xdr:row>29</xdr:row>
          <xdr:rowOff>28575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example 1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40</xdr:row>
          <xdr:rowOff>0</xdr:rowOff>
        </xdr:from>
        <xdr:to>
          <xdr:col>2</xdr:col>
          <xdr:colOff>628650</xdr:colOff>
          <xdr:row>41</xdr:row>
          <xdr:rowOff>38100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example 5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43</xdr:row>
          <xdr:rowOff>9525</xdr:rowOff>
        </xdr:from>
        <xdr:to>
          <xdr:col>2</xdr:col>
          <xdr:colOff>628650</xdr:colOff>
          <xdr:row>44</xdr:row>
          <xdr:rowOff>47625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example 6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46</xdr:row>
          <xdr:rowOff>9525</xdr:rowOff>
        </xdr:from>
        <xdr:to>
          <xdr:col>2</xdr:col>
          <xdr:colOff>628650</xdr:colOff>
          <xdr:row>47</xdr:row>
          <xdr:rowOff>47625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example 7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749300</xdr:colOff>
      <xdr:row>2</xdr:row>
      <xdr:rowOff>38100</xdr:rowOff>
    </xdr:from>
    <xdr:to>
      <xdr:col>18</xdr:col>
      <xdr:colOff>114300</xdr:colOff>
      <xdr:row>22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177800</xdr:rowOff>
    </xdr:from>
    <xdr:to>
      <xdr:col>6</xdr:col>
      <xdr:colOff>0</xdr:colOff>
      <xdr:row>23</xdr:row>
      <xdr:rowOff>152400</xdr:rowOff>
    </xdr:to>
    <xdr:sp macro="" textlink="">
      <xdr:nvSpPr>
        <xdr:cNvPr id="4" name="TextBox 3"/>
        <xdr:cNvSpPr txBox="1"/>
      </xdr:nvSpPr>
      <xdr:spPr>
        <a:xfrm>
          <a:off x="762000" y="2882900"/>
          <a:ext cx="4064000" cy="168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To calculate this probability of sampling a</a:t>
          </a:r>
          <a:r>
            <a:rPr lang="en-US" sz="1200" baseline="0">
              <a:latin typeface="Arial" pitchFamily="34" charset="0"/>
              <a:cs typeface="Arial" pitchFamily="34" charset="0"/>
            </a:rPr>
            <a:t> larger value,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X</a:t>
          </a:r>
          <a:r>
            <a:rPr lang="en-US" sz="1200" baseline="0">
              <a:latin typeface="Arial" pitchFamily="34" charset="0"/>
              <a:cs typeface="Arial" pitchFamily="34" charset="0"/>
            </a:rPr>
            <a:t>≥</a:t>
          </a:r>
          <a:r>
            <a:rPr lang="en-US" sz="1200" i="1" baseline="0">
              <a:latin typeface="Arial" pitchFamily="34" charset="0"/>
              <a:cs typeface="Arial" pitchFamily="34" charset="0"/>
            </a:rPr>
            <a:t>x</a:t>
          </a:r>
          <a:r>
            <a:rPr lang="en-US" sz="1200" baseline="0">
              <a:latin typeface="Arial" pitchFamily="34" charset="0"/>
              <a:cs typeface="Arial" pitchFamily="34" charset="0"/>
            </a:rPr>
            <a:t>, we need to find the area under the curve of the probability distribution function (PDF) in the region beyond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x</a:t>
          </a:r>
          <a:r>
            <a:rPr lang="en-US" sz="1200" baseline="0">
              <a:latin typeface="Arial" pitchFamily="34" charset="0"/>
              <a:cs typeface="Arial" pitchFamily="34" charset="0"/>
            </a:rPr>
            <a:t>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These probabilities are tabulated in many statistics texts. One-sided tables report the probability of drawing a value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X</a:t>
          </a:r>
          <a:r>
            <a:rPr lang="en-US" sz="1200" i="0" baseline="0">
              <a:latin typeface="Arial" pitchFamily="34" charset="0"/>
              <a:cs typeface="Arial" pitchFamily="34" charset="0"/>
            </a:rPr>
            <a:t>≥</a:t>
          </a:r>
          <a:r>
            <a:rPr lang="en-US" sz="1200" i="1" baseline="0">
              <a:latin typeface="Arial" pitchFamily="34" charset="0"/>
              <a:cs typeface="Arial" pitchFamily="34" charset="0"/>
            </a:rPr>
            <a:t>x </a:t>
          </a:r>
          <a:r>
            <a:rPr lang="en-US" sz="1200" i="0" baseline="0">
              <a:latin typeface="Arial" pitchFamily="34" charset="0"/>
              <a:cs typeface="Arial" pitchFamily="34" charset="0"/>
            </a:rPr>
            <a:t>(or </a:t>
          </a:r>
          <a:r>
            <a:rPr lang="en-US" sz="1200" i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X</a:t>
          </a:r>
          <a:r>
            <a:rPr lang="en-US" sz="120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≤</a:t>
          </a:r>
          <a:r>
            <a:rPr lang="en-US" sz="1200" i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x</a:t>
          </a:r>
          <a:r>
            <a:rPr lang="en-US" sz="120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)</a:t>
          </a:r>
          <a:r>
            <a:rPr lang="en-US" sz="1200" i="1" baseline="0">
              <a:latin typeface="Arial" pitchFamily="34" charset="0"/>
              <a:cs typeface="Arial" pitchFamily="34" charset="0"/>
            </a:rPr>
            <a:t>. </a:t>
          </a:r>
          <a:r>
            <a:rPr lang="en-US" sz="1200" i="0" baseline="0">
              <a:latin typeface="Arial" pitchFamily="34" charset="0"/>
              <a:cs typeface="Arial" pitchFamily="34" charset="0"/>
            </a:rPr>
            <a:t>Two-sided tables report the </a:t>
          </a:r>
          <a:r>
            <a:rPr lang="en-US" sz="1200" baseline="0">
              <a:latin typeface="Arial" pitchFamily="34" charset="0"/>
              <a:cs typeface="Arial" pitchFamily="34" charset="0"/>
            </a:rPr>
            <a:t>probability of drawing a value |</a:t>
          </a:r>
          <a:r>
            <a:rPr lang="en-US" sz="1200" i="1" baseline="0">
              <a:latin typeface="Arial" pitchFamily="34" charset="0"/>
              <a:cs typeface="Arial" pitchFamily="34" charset="0"/>
            </a:rPr>
            <a:t>X</a:t>
          </a:r>
          <a:r>
            <a:rPr lang="en-US" sz="1200" baseline="0">
              <a:latin typeface="Arial" pitchFamily="34" charset="0"/>
              <a:cs typeface="Arial" pitchFamily="34" charset="0"/>
            </a:rPr>
            <a:t>|≥|</a:t>
          </a:r>
          <a:r>
            <a:rPr lang="en-US" sz="1200" i="1" baseline="0">
              <a:latin typeface="Arial" pitchFamily="34" charset="0"/>
              <a:cs typeface="Arial" pitchFamily="34" charset="0"/>
            </a:rPr>
            <a:t>x|</a:t>
          </a:r>
          <a:r>
            <a:rPr lang="en-US" sz="1200" baseline="0">
              <a:latin typeface="Arial" pitchFamily="34" charset="0"/>
              <a:cs typeface="Arial" pitchFamily="34" charset="0"/>
            </a:rPr>
            <a:t>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180975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resample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736600</xdr:colOff>
      <xdr:row>3</xdr:row>
      <xdr:rowOff>25400</xdr:rowOff>
    </xdr:from>
    <xdr:to>
      <xdr:col>6</xdr:col>
      <xdr:colOff>292100</xdr:colOff>
      <xdr:row>5</xdr:row>
      <xdr:rowOff>63500</xdr:rowOff>
    </xdr:to>
    <xdr:sp macro="" textlink="">
      <xdr:nvSpPr>
        <xdr:cNvPr id="8" name="TextBox 7"/>
        <xdr:cNvSpPr txBox="1"/>
      </xdr:nvSpPr>
      <xdr:spPr>
        <a:xfrm>
          <a:off x="736600" y="635000"/>
          <a:ext cx="412750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Assume the value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x</a:t>
          </a:r>
          <a:r>
            <a:rPr lang="en-US" sz="1200" baseline="0">
              <a:latin typeface="Arial" pitchFamily="34" charset="0"/>
              <a:cs typeface="Arial" pitchFamily="34" charset="0"/>
            </a:rPr>
            <a:t> is sampled from a normal distribution,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H</a:t>
          </a:r>
          <a:r>
            <a:rPr lang="en-US" sz="1200" baseline="0">
              <a:latin typeface="Arial" pitchFamily="34" charset="0"/>
              <a:cs typeface="Arial" pitchFamily="34" charset="0"/>
            </a:rPr>
            <a:t>0, with mean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μ</a:t>
          </a:r>
          <a:r>
            <a:rPr lang="en-US" sz="1200" baseline="0">
              <a:latin typeface="Arial" pitchFamily="34" charset="0"/>
              <a:cs typeface="Arial" pitchFamily="34" charset="0"/>
            </a:rPr>
            <a:t> and s.d.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σ</a:t>
          </a:r>
          <a:r>
            <a:rPr lang="en-US" sz="1200" baseline="0">
              <a:latin typeface="Arial" pitchFamily="34" charset="0"/>
              <a:cs typeface="Arial" pitchFamily="34" charset="0"/>
            </a:rPr>
            <a:t>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752475</xdr:colOff>
          <xdr:row>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  <a:endParaRPr lang="en-US"/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749185</xdr:colOff>
      <xdr:row>2</xdr:row>
      <xdr:rowOff>127000</xdr:rowOff>
    </xdr:from>
    <xdr:ext cx="2237728" cy="446404"/>
    <xdr:sp macro="" textlink="">
      <xdr:nvSpPr>
        <xdr:cNvPr id="15" name="TextBox 14"/>
        <xdr:cNvSpPr txBox="1"/>
      </xdr:nvSpPr>
      <xdr:spPr>
        <a:xfrm>
          <a:off x="11988685" y="546100"/>
          <a:ext cx="2237728" cy="4464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pPr algn="r"/>
          <a:r>
            <a:rPr lang="en-US" sz="1200">
              <a:latin typeface="Arial" pitchFamily="34" charset="0"/>
              <a:cs typeface="Arial" pitchFamily="34" charset="0"/>
            </a:rPr>
            <a:t>null probability</a:t>
          </a:r>
          <a:r>
            <a:rPr lang="en-US" sz="1200" baseline="0">
              <a:latin typeface="Arial" pitchFamily="34" charset="0"/>
              <a:cs typeface="Arial" pitchFamily="34" charset="0"/>
            </a:rPr>
            <a:t> distribution,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H</a:t>
          </a:r>
          <a:r>
            <a:rPr lang="en-US" sz="1200" baseline="0">
              <a:latin typeface="Arial" pitchFamily="34" charset="0"/>
              <a:cs typeface="Arial" pitchFamily="34" charset="0"/>
            </a:rPr>
            <a:t>0</a:t>
          </a:r>
        </a:p>
        <a:p>
          <a:pPr algn="r"/>
          <a:r>
            <a:rPr lang="en-US" sz="1200" i="1" baseline="0">
              <a:latin typeface="Arial" pitchFamily="34" charset="0"/>
              <a:cs typeface="Arial" pitchFamily="34" charset="0"/>
            </a:rPr>
            <a:t>N</a:t>
          </a:r>
          <a:r>
            <a:rPr lang="en-US" sz="1200" baseline="0">
              <a:latin typeface="Arial" pitchFamily="34" charset="0"/>
              <a:cs typeface="Arial" pitchFamily="34" charset="0"/>
            </a:rPr>
            <a:t>(</a:t>
          </a:r>
          <a:r>
            <a:rPr lang="el-GR" sz="1200" b="0" i="1" u="none" strike="noStrike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200" b="0" i="0" u="none" strike="noStrike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,</a:t>
          </a:r>
          <a:r>
            <a:rPr lang="el-GR" sz="1200" b="0" i="1" u="none" strike="noStrike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σ</a:t>
          </a:r>
          <a:r>
            <a:rPr lang="en-US" sz="1200">
              <a:latin typeface="Arial" pitchFamily="34" charset="0"/>
              <a:cs typeface="Arial" pitchFamily="34" charset="0"/>
            </a:rPr>
            <a:t>)</a:t>
          </a:r>
        </a:p>
      </xdr:txBody>
    </xdr:sp>
    <xdr:clientData/>
  </xdr:oneCellAnchor>
  <xdr:twoCellAnchor>
    <xdr:from>
      <xdr:col>1</xdr:col>
      <xdr:colOff>12700</xdr:colOff>
      <xdr:row>38</xdr:row>
      <xdr:rowOff>0</xdr:rowOff>
    </xdr:from>
    <xdr:to>
      <xdr:col>6</xdr:col>
      <xdr:colOff>330200</xdr:colOff>
      <xdr:row>40</xdr:row>
      <xdr:rowOff>38100</xdr:rowOff>
    </xdr:to>
    <xdr:sp macro="" textlink="">
      <xdr:nvSpPr>
        <xdr:cNvPr id="10" name="TextBox 9"/>
        <xdr:cNvSpPr txBox="1"/>
      </xdr:nvSpPr>
      <xdr:spPr>
        <a:xfrm>
          <a:off x="774700" y="7886700"/>
          <a:ext cx="438150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When using a normal distribution, the test statistic is commonly assigned the symbol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z</a:t>
          </a:r>
          <a:r>
            <a:rPr lang="en-US" sz="1200" baseline="0">
              <a:latin typeface="Arial" pitchFamily="34" charset="0"/>
              <a:cs typeface="Arial" pitchFamily="34" charset="0"/>
            </a:rPr>
            <a:t>.</a:t>
          </a:r>
        </a:p>
      </xdr:txBody>
    </xdr:sp>
    <xdr:clientData/>
  </xdr:twoCellAnchor>
  <xdr:twoCellAnchor>
    <xdr:from>
      <xdr:col>7</xdr:col>
      <xdr:colOff>0</xdr:colOff>
      <xdr:row>27</xdr:row>
      <xdr:rowOff>114300</xdr:rowOff>
    </xdr:from>
    <xdr:to>
      <xdr:col>10</xdr:col>
      <xdr:colOff>457200</xdr:colOff>
      <xdr:row>39</xdr:row>
      <xdr:rowOff>177800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3175</xdr:colOff>
      <xdr:row>27</xdr:row>
      <xdr:rowOff>127000</xdr:rowOff>
    </xdr:from>
    <xdr:to>
      <xdr:col>14</xdr:col>
      <xdr:colOff>406400</xdr:colOff>
      <xdr:row>40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27</xdr:row>
      <xdr:rowOff>127000</xdr:rowOff>
    </xdr:from>
    <xdr:to>
      <xdr:col>18</xdr:col>
      <xdr:colOff>444500</xdr:colOff>
      <xdr:row>40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15</xdr:row>
      <xdr:rowOff>44449</xdr:rowOff>
    </xdr:from>
    <xdr:to>
      <xdr:col>16</xdr:col>
      <xdr:colOff>38100</xdr:colOff>
      <xdr:row>27</xdr:row>
      <xdr:rowOff>38101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533400</xdr:colOff>
      <xdr:row>15</xdr:row>
      <xdr:rowOff>101600</xdr:rowOff>
    </xdr:from>
    <xdr:ext cx="1758430" cy="269369"/>
    <xdr:sp macro="" textlink="">
      <xdr:nvSpPr>
        <xdr:cNvPr id="4" name="TextBox 3"/>
        <xdr:cNvSpPr txBox="1"/>
      </xdr:nvSpPr>
      <xdr:spPr>
        <a:xfrm>
          <a:off x="10769600" y="2997200"/>
          <a:ext cx="1758430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200">
              <a:latin typeface="Arial" pitchFamily="34" charset="0"/>
              <a:cs typeface="Arial" pitchFamily="34" charset="0"/>
            </a:rPr>
            <a:t>sample</a:t>
          </a:r>
          <a:r>
            <a:rPr lang="en-US" sz="1200" baseline="0">
              <a:latin typeface="Arial" pitchFamily="34" charset="0"/>
              <a:cs typeface="Arial" pitchFamily="34" charset="0"/>
            </a:rPr>
            <a:t> values from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H</a:t>
          </a:r>
          <a:r>
            <a:rPr lang="en-US" sz="1200" baseline="0">
              <a:latin typeface="Arial" pitchFamily="34" charset="0"/>
              <a:cs typeface="Arial" pitchFamily="34" charset="0"/>
            </a:rPr>
            <a:t>0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oneCellAnchor>
  <xdr:oneCellAnchor>
    <xdr:from>
      <xdr:col>14</xdr:col>
      <xdr:colOff>127000</xdr:colOff>
      <xdr:row>24</xdr:row>
      <xdr:rowOff>76200</xdr:rowOff>
    </xdr:from>
    <xdr:ext cx="1369221" cy="446404"/>
    <xdr:sp macro="" textlink="">
      <xdr:nvSpPr>
        <xdr:cNvPr id="5" name="TextBox 4"/>
        <xdr:cNvSpPr txBox="1"/>
      </xdr:nvSpPr>
      <xdr:spPr>
        <a:xfrm>
          <a:off x="11125200" y="4686300"/>
          <a:ext cx="1369221" cy="4464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pPr algn="r"/>
          <a:r>
            <a:rPr lang="en-US" sz="1200">
              <a:latin typeface="Arial" pitchFamily="34" charset="0"/>
              <a:cs typeface="Arial" pitchFamily="34" charset="0"/>
            </a:rPr>
            <a:t>sample mean</a:t>
          </a:r>
        </a:p>
        <a:p>
          <a:pPr algn="r"/>
          <a:r>
            <a:rPr lang="en-US" sz="1200" baseline="0">
              <a:latin typeface="Arial" pitchFamily="34" charset="0"/>
              <a:cs typeface="Arial" pitchFamily="34" charset="0"/>
            </a:rPr>
            <a:t>error bar = s.e.m.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oneCellAnchor>
  <xdr:twoCellAnchor>
    <xdr:from>
      <xdr:col>1</xdr:col>
      <xdr:colOff>0</xdr:colOff>
      <xdr:row>24</xdr:row>
      <xdr:rowOff>25400</xdr:rowOff>
    </xdr:from>
    <xdr:to>
      <xdr:col>6</xdr:col>
      <xdr:colOff>76200</xdr:colOff>
      <xdr:row>31</xdr:row>
      <xdr:rowOff>63500</xdr:rowOff>
    </xdr:to>
    <xdr:sp macro="" textlink="">
      <xdr:nvSpPr>
        <xdr:cNvPr id="8" name="TextBox 7"/>
        <xdr:cNvSpPr txBox="1"/>
      </xdr:nvSpPr>
      <xdr:spPr>
        <a:xfrm>
          <a:off x="762000" y="4648200"/>
          <a:ext cx="4216400" cy="1371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For samples drawn from a normal</a:t>
          </a:r>
          <a:r>
            <a:rPr lang="en-US" sz="1200" baseline="0">
              <a:latin typeface="Arial" pitchFamily="34" charset="0"/>
              <a:cs typeface="Arial" pitchFamily="34" charset="0"/>
            </a:rPr>
            <a:t> distribution with mean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μ</a:t>
          </a:r>
          <a:r>
            <a:rPr lang="en-US" sz="1200" baseline="0">
              <a:latin typeface="Arial" pitchFamily="34" charset="0"/>
              <a:cs typeface="Arial" pitchFamily="34" charset="0"/>
            </a:rPr>
            <a:t> and standard deviation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σ</a:t>
          </a:r>
          <a:r>
            <a:rPr lang="en-US" sz="1200" baseline="0">
              <a:latin typeface="Arial" pitchFamily="34" charset="0"/>
              <a:cs typeface="Arial" pitchFamily="34" charset="0"/>
            </a:rPr>
            <a:t> the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statistic is distributed according to the Student's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distribution.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The Student's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distribution allows us to calculate the probability of obtaining a sample whose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statistic is more extreme than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(</a:t>
          </a:r>
          <a:r>
            <a:rPr lang="en-US" sz="1200" i="1" baseline="0">
              <a:latin typeface="Arial" pitchFamily="34" charset="0"/>
              <a:cs typeface="Arial" pitchFamily="34" charset="0"/>
            </a:rPr>
            <a:t>x</a:t>
          </a:r>
          <a:r>
            <a:rPr lang="en-US" sz="1200" baseline="0">
              <a:latin typeface="Arial" pitchFamily="34" charset="0"/>
              <a:cs typeface="Arial" pitchFamily="34" charset="0"/>
            </a:rPr>
            <a:t>).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0</xdr:colOff>
      <xdr:row>34</xdr:row>
      <xdr:rowOff>12700</xdr:rowOff>
    </xdr:from>
    <xdr:to>
      <xdr:col>6</xdr:col>
      <xdr:colOff>12700</xdr:colOff>
      <xdr:row>37</xdr:row>
      <xdr:rowOff>127000</xdr:rowOff>
    </xdr:to>
    <xdr:sp macro="" textlink="">
      <xdr:nvSpPr>
        <xdr:cNvPr id="11" name="TextBox 10"/>
        <xdr:cNvSpPr txBox="1"/>
      </xdr:nvSpPr>
      <xdr:spPr>
        <a:xfrm>
          <a:off x="762000" y="6540500"/>
          <a:ext cx="4152900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When this value is small</a:t>
          </a:r>
          <a:r>
            <a:rPr lang="en-US" sz="1200" baseline="0">
              <a:latin typeface="Arial" pitchFamily="34" charset="0"/>
              <a:cs typeface="Arial" pitchFamily="34" charset="0"/>
            </a:rPr>
            <a:t> (e.g. 0.05), the interpretation is that it is unlikely that the sample came from the null distribution.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0</xdr:colOff>
      <xdr:row>27</xdr:row>
      <xdr:rowOff>152400</xdr:rowOff>
    </xdr:from>
    <xdr:to>
      <xdr:col>16</xdr:col>
      <xdr:colOff>50800</xdr:colOff>
      <xdr:row>55</xdr:row>
      <xdr:rowOff>114300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88900</xdr:rowOff>
    </xdr:from>
    <xdr:to>
      <xdr:col>16</xdr:col>
      <xdr:colOff>38100</xdr:colOff>
      <xdr:row>14</xdr:row>
      <xdr:rowOff>38100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9525</xdr:colOff>
          <xdr:row>10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resample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</xdr:row>
      <xdr:rowOff>177800</xdr:rowOff>
    </xdr:from>
    <xdr:to>
      <xdr:col>6</xdr:col>
      <xdr:colOff>76200</xdr:colOff>
      <xdr:row>5</xdr:row>
      <xdr:rowOff>25400</xdr:rowOff>
    </xdr:to>
    <xdr:sp macro="" textlink="">
      <xdr:nvSpPr>
        <xdr:cNvPr id="12" name="TextBox 11"/>
        <xdr:cNvSpPr txBox="1"/>
      </xdr:nvSpPr>
      <xdr:spPr>
        <a:xfrm>
          <a:off x="762000" y="596900"/>
          <a:ext cx="412750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Assume sample is drawn f</a:t>
          </a:r>
          <a:r>
            <a:rPr lang="en-US" sz="1200" baseline="0">
              <a:latin typeface="Arial" pitchFamily="34" charset="0"/>
              <a:cs typeface="Arial" pitchFamily="34" charset="0"/>
            </a:rPr>
            <a:t>rom a normal distribution,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H</a:t>
          </a:r>
          <a:r>
            <a:rPr lang="en-US" sz="1200" i="0" baseline="0">
              <a:latin typeface="Arial" pitchFamily="34" charset="0"/>
              <a:cs typeface="Arial" pitchFamily="34" charset="0"/>
            </a:rPr>
            <a:t>0, with mean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μ</a:t>
          </a:r>
          <a:r>
            <a:rPr lang="el-GR" sz="1200" i="0" baseline="0">
              <a:latin typeface="Arial" pitchFamily="34" charset="0"/>
              <a:cs typeface="Arial" pitchFamily="34" charset="0"/>
            </a:rPr>
            <a:t> </a:t>
          </a:r>
          <a:r>
            <a:rPr lang="en-US" sz="1200" i="0" baseline="0">
              <a:latin typeface="Arial" pitchFamily="34" charset="0"/>
              <a:cs typeface="Arial" pitchFamily="34" charset="0"/>
            </a:rPr>
            <a:t>and s.d.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σ</a:t>
          </a:r>
          <a:r>
            <a:rPr lang="el-GR" sz="1200" i="0" baseline="0">
              <a:latin typeface="Arial" pitchFamily="34" charset="0"/>
              <a:cs typeface="Arial" pitchFamily="34" charset="0"/>
            </a:rPr>
            <a:t>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6</xdr:col>
      <xdr:colOff>76200</xdr:colOff>
      <xdr:row>21</xdr:row>
      <xdr:rowOff>38100</xdr:rowOff>
    </xdr:to>
    <xdr:sp macro="" textlink="">
      <xdr:nvSpPr>
        <xdr:cNvPr id="15" name="TextBox 14"/>
        <xdr:cNvSpPr txBox="1"/>
      </xdr:nvSpPr>
      <xdr:spPr>
        <a:xfrm>
          <a:off x="762000" y="2908300"/>
          <a:ext cx="4216400" cy="1181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How representative is this sample of the null distribution</a:t>
          </a:r>
          <a:r>
            <a:rPr lang="en-US" sz="1200" baseline="0">
              <a:latin typeface="Arial" pitchFamily="34" charset="0"/>
              <a:cs typeface="Arial" pitchFamily="34" charset="0"/>
            </a:rPr>
            <a:t> from which it is drawn? The distance between the sample mean and distribution mean is used to measure this, relative to the precision in the sample mean.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This quantity is the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statistic.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  <xdr:oneCellAnchor>
    <xdr:from>
      <xdr:col>13</xdr:col>
      <xdr:colOff>747775</xdr:colOff>
      <xdr:row>1</xdr:row>
      <xdr:rowOff>215900</xdr:rowOff>
    </xdr:from>
    <xdr:ext cx="1493486" cy="446404"/>
    <xdr:sp macro="" textlink="">
      <xdr:nvSpPr>
        <xdr:cNvPr id="16" name="TextBox 15"/>
        <xdr:cNvSpPr txBox="1"/>
      </xdr:nvSpPr>
      <xdr:spPr>
        <a:xfrm>
          <a:off x="10983975" y="406400"/>
          <a:ext cx="1493486" cy="4464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pPr algn="r"/>
          <a:r>
            <a:rPr lang="en-US" sz="1200">
              <a:latin typeface="Arial" pitchFamily="34" charset="0"/>
              <a:cs typeface="Arial" pitchFamily="34" charset="0"/>
            </a:rPr>
            <a:t>null distribution,</a:t>
          </a:r>
          <a:r>
            <a:rPr lang="en-US" sz="1200" baseline="0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en-US" sz="1200" i="1" baseline="0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H</a:t>
          </a:r>
          <a:r>
            <a:rPr lang="en-US" sz="1200" baseline="0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0</a:t>
          </a:r>
          <a:endParaRPr lang="en-US" sz="1200">
            <a:effectLst/>
            <a:latin typeface="Arial" pitchFamily="34" charset="0"/>
            <a:cs typeface="Arial" pitchFamily="34" charset="0"/>
          </a:endParaRPr>
        </a:p>
        <a:p>
          <a:pPr algn="r"/>
          <a:r>
            <a:rPr lang="en-US" sz="1200" i="1" baseline="0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N</a:t>
          </a:r>
          <a:r>
            <a:rPr lang="en-US" sz="1200" baseline="0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</a:t>
          </a:r>
          <a:r>
            <a:rPr lang="el-GR" sz="1200" b="0" i="1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200" b="0" i="0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,</a:t>
          </a:r>
          <a:r>
            <a:rPr lang="el-GR" sz="1200" b="0" i="1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σ</a:t>
          </a:r>
          <a:r>
            <a:rPr lang="en-US" sz="1200">
              <a:solidFill>
                <a:schemeClr val="tx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)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0</xdr:col>
          <xdr:colOff>742950</xdr:colOff>
          <xdr:row>0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24</xdr:row>
      <xdr:rowOff>25400</xdr:rowOff>
    </xdr:from>
    <xdr:to>
      <xdr:col>6</xdr:col>
      <xdr:colOff>76200</xdr:colOff>
      <xdr:row>31</xdr:row>
      <xdr:rowOff>63500</xdr:rowOff>
    </xdr:to>
    <xdr:sp macro="" textlink="">
      <xdr:nvSpPr>
        <xdr:cNvPr id="17" name="TextBox 16"/>
        <xdr:cNvSpPr txBox="1"/>
      </xdr:nvSpPr>
      <xdr:spPr>
        <a:xfrm>
          <a:off x="762000" y="4645025"/>
          <a:ext cx="4210050" cy="1371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For samples drawn from a normal</a:t>
          </a:r>
          <a:r>
            <a:rPr lang="en-US" sz="1200" baseline="0">
              <a:latin typeface="Arial" pitchFamily="34" charset="0"/>
              <a:cs typeface="Arial" pitchFamily="34" charset="0"/>
            </a:rPr>
            <a:t> distribution with mean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μ</a:t>
          </a:r>
          <a:r>
            <a:rPr lang="en-US" sz="1200" baseline="0">
              <a:latin typeface="Arial" pitchFamily="34" charset="0"/>
              <a:cs typeface="Arial" pitchFamily="34" charset="0"/>
            </a:rPr>
            <a:t> and standard deviation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σ</a:t>
          </a:r>
          <a:r>
            <a:rPr lang="en-US" sz="1200" baseline="0">
              <a:latin typeface="Arial" pitchFamily="34" charset="0"/>
              <a:cs typeface="Arial" pitchFamily="34" charset="0"/>
            </a:rPr>
            <a:t> the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statistic is distributed according to the Student's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distribution.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The Student's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distribution allows us to calculate the probability of obtaining a sample whose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statistic is more extreme than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(</a:t>
          </a:r>
          <a:r>
            <a:rPr lang="en-US" sz="1200" i="1" baseline="0">
              <a:latin typeface="Arial" pitchFamily="34" charset="0"/>
              <a:cs typeface="Arial" pitchFamily="34" charset="0"/>
            </a:rPr>
            <a:t>x</a:t>
          </a:r>
          <a:r>
            <a:rPr lang="en-US" sz="1200" baseline="0">
              <a:latin typeface="Arial" pitchFamily="34" charset="0"/>
              <a:cs typeface="Arial" pitchFamily="34" charset="0"/>
            </a:rPr>
            <a:t>).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0</xdr:colOff>
      <xdr:row>34</xdr:row>
      <xdr:rowOff>12700</xdr:rowOff>
    </xdr:from>
    <xdr:to>
      <xdr:col>6</xdr:col>
      <xdr:colOff>12700</xdr:colOff>
      <xdr:row>37</xdr:row>
      <xdr:rowOff>127000</xdr:rowOff>
    </xdr:to>
    <xdr:sp macro="" textlink="">
      <xdr:nvSpPr>
        <xdr:cNvPr id="18" name="TextBox 17"/>
        <xdr:cNvSpPr txBox="1"/>
      </xdr:nvSpPr>
      <xdr:spPr>
        <a:xfrm>
          <a:off x="762000" y="6537325"/>
          <a:ext cx="4146550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When this value is small</a:t>
          </a:r>
          <a:r>
            <a:rPr lang="en-US" sz="1200" baseline="0">
              <a:latin typeface="Arial" pitchFamily="34" charset="0"/>
              <a:cs typeface="Arial" pitchFamily="34" charset="0"/>
            </a:rPr>
            <a:t> (e.g. 0.05), the interpretation is that it is unlikely that the sample came from the null distribution.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9525</xdr:colOff>
          <xdr:row>10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resample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15</xdr:row>
      <xdr:rowOff>0</xdr:rowOff>
    </xdr:from>
    <xdr:to>
      <xdr:col>6</xdr:col>
      <xdr:colOff>76200</xdr:colOff>
      <xdr:row>21</xdr:row>
      <xdr:rowOff>38100</xdr:rowOff>
    </xdr:to>
    <xdr:sp macro="" textlink="">
      <xdr:nvSpPr>
        <xdr:cNvPr id="19" name="TextBox 18"/>
        <xdr:cNvSpPr txBox="1"/>
      </xdr:nvSpPr>
      <xdr:spPr>
        <a:xfrm>
          <a:off x="762000" y="2905125"/>
          <a:ext cx="4210050" cy="1181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How representative is this sample of the null distribution</a:t>
          </a:r>
          <a:r>
            <a:rPr lang="en-US" sz="1200" baseline="0">
              <a:latin typeface="Arial" pitchFamily="34" charset="0"/>
              <a:cs typeface="Arial" pitchFamily="34" charset="0"/>
            </a:rPr>
            <a:t> from which it is drawn? The distance between the sample mean and distribution mean is used to measure this, relative to the precision in the sample mean.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This quantity is the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statistic.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3</xdr:row>
      <xdr:rowOff>0</xdr:rowOff>
    </xdr:from>
    <xdr:to>
      <xdr:col>11</xdr:col>
      <xdr:colOff>723900</xdr:colOff>
      <xdr:row>8</xdr:row>
      <xdr:rowOff>38100</xdr:rowOff>
    </xdr:to>
    <xdr:sp macro="" textlink="">
      <xdr:nvSpPr>
        <xdr:cNvPr id="2" name="TextBox 1"/>
        <xdr:cNvSpPr txBox="1"/>
      </xdr:nvSpPr>
      <xdr:spPr>
        <a:xfrm>
          <a:off x="774700" y="622300"/>
          <a:ext cx="8331200" cy="990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This example shows</a:t>
          </a:r>
          <a:r>
            <a:rPr lang="en-US" sz="1200" baseline="0">
              <a:latin typeface="Arial" pitchFamily="34" charset="0"/>
              <a:cs typeface="Arial" pitchFamily="34" charset="0"/>
            </a:rPr>
            <a:t> the detailed calculations for the one-sample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-test for the example in Figure 2 in the column.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You can adjust the assumed population mean and sample values. The default values are those used in Figure 2 column.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736600</xdr:colOff>
      <xdr:row>37</xdr:row>
      <xdr:rowOff>25400</xdr:rowOff>
    </xdr:from>
    <xdr:to>
      <xdr:col>12</xdr:col>
      <xdr:colOff>25400</xdr:colOff>
      <xdr:row>46</xdr:row>
      <xdr:rowOff>0</xdr:rowOff>
    </xdr:to>
    <xdr:sp macro="" textlink="">
      <xdr:nvSpPr>
        <xdr:cNvPr id="3" name="TextBox 2"/>
        <xdr:cNvSpPr txBox="1"/>
      </xdr:nvSpPr>
      <xdr:spPr>
        <a:xfrm>
          <a:off x="3784600" y="5257800"/>
          <a:ext cx="4622800" cy="1714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Using the </a:t>
          </a:r>
          <a:r>
            <a:rPr lang="en-US" sz="1200" i="1">
              <a:latin typeface="Arial" pitchFamily="34" charset="0"/>
              <a:cs typeface="Arial" pitchFamily="34" charset="0"/>
            </a:rPr>
            <a:t>t</a:t>
          </a:r>
          <a:r>
            <a:rPr lang="en-US" sz="1200">
              <a:latin typeface="Arial" pitchFamily="34" charset="0"/>
              <a:cs typeface="Arial" pitchFamily="34" charset="0"/>
            </a:rPr>
            <a:t> distribution correctly accounts for population variance underestimation.</a:t>
          </a:r>
          <a:r>
            <a:rPr lang="en-US" sz="1200" baseline="0">
              <a:latin typeface="Arial" pitchFamily="34" charset="0"/>
              <a:cs typeface="Arial" pitchFamily="34" charset="0"/>
            </a:rPr>
            <a:t> When the normal distribution is used the P value is underestimated (0.048 vs 0.119 for default example values)</a:t>
          </a:r>
          <a:endParaRPr lang="en-US" sz="120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The 2-tailed test corresponds to the likelihood of</a:t>
          </a:r>
          <a:r>
            <a:rPr lang="en-US" sz="1200" baseline="0">
              <a:latin typeface="Arial" pitchFamily="34" charset="0"/>
              <a:cs typeface="Arial" pitchFamily="34" charset="0"/>
            </a:rPr>
            <a:t> a sample whose test statistic is more extreme.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The 1-tailed test corresponds to the likelihood of a sample whose test statistic is smaller (or larger) than the test statistic.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752475</xdr:colOff>
          <xdr:row>0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9</xdr:row>
          <xdr:rowOff>114300</xdr:rowOff>
        </xdr:from>
        <xdr:to>
          <xdr:col>2</xdr:col>
          <xdr:colOff>685800</xdr:colOff>
          <xdr:row>10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values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19</xdr:col>
      <xdr:colOff>25400</xdr:colOff>
      <xdr:row>37</xdr:row>
      <xdr:rowOff>50800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177800</xdr:rowOff>
    </xdr:from>
    <xdr:to>
      <xdr:col>5</xdr:col>
      <xdr:colOff>444500</xdr:colOff>
      <xdr:row>18</xdr:row>
      <xdr:rowOff>76200</xdr:rowOff>
    </xdr:to>
    <xdr:sp macro="" textlink="">
      <xdr:nvSpPr>
        <xdr:cNvPr id="3" name="TextBox 2"/>
        <xdr:cNvSpPr txBox="1"/>
      </xdr:nvSpPr>
      <xdr:spPr>
        <a:xfrm>
          <a:off x="762000" y="609600"/>
          <a:ext cx="3492500" cy="2946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The </a:t>
          </a:r>
          <a:r>
            <a:rPr lang="en-US" sz="1200" i="1">
              <a:latin typeface="Arial" pitchFamily="34" charset="0"/>
              <a:cs typeface="Arial" pitchFamily="34" charset="0"/>
            </a:rPr>
            <a:t>t</a:t>
          </a:r>
          <a:r>
            <a:rPr lang="en-US" sz="1200">
              <a:latin typeface="Arial" pitchFamily="34" charset="0"/>
              <a:cs typeface="Arial" pitchFamily="34" charset="0"/>
            </a:rPr>
            <a:t> distribution is parametrized</a:t>
          </a:r>
          <a:r>
            <a:rPr lang="en-US" sz="1200" baseline="0">
              <a:latin typeface="Arial" pitchFamily="34" charset="0"/>
              <a:cs typeface="Arial" pitchFamily="34" charset="0"/>
            </a:rPr>
            <a:t> by the degrees of freedom,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d.f</a:t>
          </a:r>
          <a:r>
            <a:rPr lang="en-US" sz="1200" baseline="0">
              <a:latin typeface="Arial" pitchFamily="34" charset="0"/>
              <a:cs typeface="Arial" pitchFamily="34" charset="0"/>
            </a:rPr>
            <a:t>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In the one-sample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-test for a sample of size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n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i="1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i="1" baseline="0">
              <a:latin typeface="Arial" pitchFamily="34" charset="0"/>
              <a:cs typeface="Arial" pitchFamily="34" charset="0"/>
            </a:rPr>
            <a:t>d.f.</a:t>
          </a:r>
          <a:r>
            <a:rPr lang="en-US" sz="1200" baseline="0">
              <a:latin typeface="Arial" pitchFamily="34" charset="0"/>
              <a:cs typeface="Arial" pitchFamily="34" charset="0"/>
            </a:rPr>
            <a:t> =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n</a:t>
          </a:r>
          <a:r>
            <a:rPr lang="en-US" sz="1200" baseline="0">
              <a:latin typeface="Arial" pitchFamily="34" charset="0"/>
              <a:cs typeface="Arial" pitchFamily="34" charset="0"/>
            </a:rPr>
            <a:t>-1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The distribution accounts for the fact that most samples</a:t>
          </a:r>
          <a:r>
            <a:rPr lang="en-US" sz="1200" baseline="0">
              <a:latin typeface="Arial" pitchFamily="34" charset="0"/>
              <a:cs typeface="Arial" pitchFamily="34" charset="0"/>
            </a:rPr>
            <a:t> underestimate the population variance. The distribution has higher tails as a result, which reflect the higher chance of observing a more extreme test statistic when compared to the normal distribution.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For large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n</a:t>
          </a:r>
          <a:r>
            <a:rPr lang="en-US" sz="1200" baseline="0">
              <a:latin typeface="Arial" pitchFamily="34" charset="0"/>
              <a:cs typeface="Arial" pitchFamily="34" charset="0"/>
            </a:rPr>
            <a:t>, the distribution approaches normal.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752475</xdr:colOff>
          <xdr:row>0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19</xdr:col>
      <xdr:colOff>254000</xdr:colOff>
      <xdr:row>36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5</xdr:col>
      <xdr:colOff>393700</xdr:colOff>
      <xdr:row>25</xdr:row>
      <xdr:rowOff>12700</xdr:rowOff>
    </xdr:to>
    <xdr:sp macro="" textlink="">
      <xdr:nvSpPr>
        <xdr:cNvPr id="3" name="TextBox 2"/>
        <xdr:cNvSpPr txBox="1"/>
      </xdr:nvSpPr>
      <xdr:spPr>
        <a:xfrm>
          <a:off x="762000" y="3289300"/>
          <a:ext cx="3670300" cy="153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The higher</a:t>
          </a:r>
          <a:r>
            <a:rPr lang="en-US" sz="1200" baseline="0">
              <a:latin typeface="Arial" pitchFamily="34" charset="0"/>
              <a:cs typeface="Arial" pitchFamily="34" charset="0"/>
            </a:rPr>
            <a:t> tails of the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distribution translate to higher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P</a:t>
          </a:r>
          <a:r>
            <a:rPr lang="en-US" sz="1200" baseline="0">
              <a:latin typeface="Arial" pitchFamily="34" charset="0"/>
              <a:cs typeface="Arial" pitchFamily="34" charset="0"/>
            </a:rPr>
            <a:t> values for a given value of the test statistic, when compared to the normal distribution.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By using the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distribution, we avoid overestimating significance.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The correction required is smaller for large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n</a:t>
          </a:r>
          <a:r>
            <a:rPr lang="en-US" sz="1200" baseline="0">
              <a:latin typeface="Arial" pitchFamily="34" charset="0"/>
              <a:cs typeface="Arial" pitchFamily="34" charset="0"/>
            </a:rPr>
            <a:t>.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431800</xdr:colOff>
      <xdr:row>9</xdr:row>
      <xdr:rowOff>50800</xdr:rowOff>
    </xdr:to>
    <xdr:sp macro="" textlink="">
      <xdr:nvSpPr>
        <xdr:cNvPr id="4" name="TextBox 3"/>
        <xdr:cNvSpPr txBox="1"/>
      </xdr:nvSpPr>
      <xdr:spPr>
        <a:xfrm>
          <a:off x="762000" y="622300"/>
          <a:ext cx="3708400" cy="1193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The </a:t>
          </a:r>
          <a:r>
            <a:rPr lang="en-US" sz="1200" i="1">
              <a:latin typeface="Arial" pitchFamily="34" charset="0"/>
              <a:cs typeface="Arial" pitchFamily="34" charset="0"/>
            </a:rPr>
            <a:t>P</a:t>
          </a:r>
          <a:r>
            <a:rPr lang="en-US" sz="1200">
              <a:latin typeface="Arial" pitchFamily="34" charset="0"/>
              <a:cs typeface="Arial" pitchFamily="34" charset="0"/>
            </a:rPr>
            <a:t> value of a one-sample </a:t>
          </a:r>
          <a:r>
            <a:rPr lang="en-US" sz="1200" i="1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 test is the probability of observing a sample with a more extreme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value.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Samples with a small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P</a:t>
          </a:r>
          <a:r>
            <a:rPr lang="en-US" sz="1200" baseline="0">
              <a:latin typeface="Arial" pitchFamily="34" charset="0"/>
              <a:cs typeface="Arial" pitchFamily="34" charset="0"/>
            </a:rPr>
            <a:t> value are interpreted as unlikely to be drawn from the assumed null distribution.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752475</xdr:colOff>
          <xdr:row>0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279400</xdr:colOff>
      <xdr:row>40</xdr:row>
      <xdr:rowOff>50800</xdr:rowOff>
    </xdr:from>
    <xdr:to>
      <xdr:col>3</xdr:col>
      <xdr:colOff>381000</xdr:colOff>
      <xdr:row>40</xdr:row>
      <xdr:rowOff>152400</xdr:rowOff>
    </xdr:to>
    <xdr:sp macro="" textlink="">
      <xdr:nvSpPr>
        <xdr:cNvPr id="5" name="Oval 4"/>
        <xdr:cNvSpPr/>
      </xdr:nvSpPr>
      <xdr:spPr>
        <a:xfrm>
          <a:off x="2565400" y="6007100"/>
          <a:ext cx="101600" cy="10160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647700</xdr:colOff>
      <xdr:row>39</xdr:row>
      <xdr:rowOff>63500</xdr:rowOff>
    </xdr:from>
    <xdr:to>
      <xdr:col>2</xdr:col>
      <xdr:colOff>749300</xdr:colOff>
      <xdr:row>39</xdr:row>
      <xdr:rowOff>165100</xdr:rowOff>
    </xdr:to>
    <xdr:sp macro="" textlink="">
      <xdr:nvSpPr>
        <xdr:cNvPr id="7" name="Oval 6"/>
        <xdr:cNvSpPr/>
      </xdr:nvSpPr>
      <xdr:spPr>
        <a:xfrm>
          <a:off x="2171700" y="5829300"/>
          <a:ext cx="101600" cy="101600"/>
        </a:xfrm>
        <a:prstGeom prst="ellipse">
          <a:avLst/>
        </a:prstGeom>
        <a:solidFill>
          <a:schemeClr val="bg1"/>
        </a:solidFill>
        <a:ln>
          <a:solidFill>
            <a:srgbClr val="0070C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635000</xdr:colOff>
      <xdr:row>39</xdr:row>
      <xdr:rowOff>63500</xdr:rowOff>
    </xdr:from>
    <xdr:to>
      <xdr:col>3</xdr:col>
      <xdr:colOff>736600</xdr:colOff>
      <xdr:row>39</xdr:row>
      <xdr:rowOff>165100</xdr:rowOff>
    </xdr:to>
    <xdr:sp macro="" textlink="">
      <xdr:nvSpPr>
        <xdr:cNvPr id="8" name="Oval 7"/>
        <xdr:cNvSpPr/>
      </xdr:nvSpPr>
      <xdr:spPr>
        <a:xfrm>
          <a:off x="2921000" y="5829300"/>
          <a:ext cx="101600" cy="101600"/>
        </a:xfrm>
        <a:prstGeom prst="ellipse">
          <a:avLst/>
        </a:prstGeom>
        <a:solidFill>
          <a:srgbClr val="0070C0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28</xdr:row>
      <xdr:rowOff>0</xdr:rowOff>
    </xdr:from>
    <xdr:to>
      <xdr:col>5</xdr:col>
      <xdr:colOff>533400</xdr:colOff>
      <xdr:row>33</xdr:row>
      <xdr:rowOff>177800</xdr:rowOff>
    </xdr:to>
    <xdr:sp macro="" textlink="">
      <xdr:nvSpPr>
        <xdr:cNvPr id="9" name="TextBox 8"/>
        <xdr:cNvSpPr txBox="1"/>
      </xdr:nvSpPr>
      <xdr:spPr>
        <a:xfrm>
          <a:off x="762000" y="5435600"/>
          <a:ext cx="3810000" cy="1130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With thet able below, compare</a:t>
          </a:r>
          <a:r>
            <a:rPr lang="en-US" sz="1200" baseline="0">
              <a:latin typeface="Arial" pitchFamily="34" charset="0"/>
              <a:cs typeface="Arial" pitchFamily="34" charset="0"/>
            </a:rPr>
            <a:t> the two-tailed P value for a one-sample t-test for two different sample sizes. The critical statistic t* and corresponding P value are plotted on the graph, along with the P value calculated from the normal distribution using the same value of the test statistic.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0</xdr:colOff>
          <xdr:row>0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0</xdr:row>
      <xdr:rowOff>165100</xdr:rowOff>
    </xdr:from>
    <xdr:to>
      <xdr:col>18</xdr:col>
      <xdr:colOff>12700</xdr:colOff>
      <xdr:row>32</xdr:row>
      <xdr:rowOff>139700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</xdr:colOff>
      <xdr:row>13</xdr:row>
      <xdr:rowOff>0</xdr:rowOff>
    </xdr:from>
    <xdr:to>
      <xdr:col>7</xdr:col>
      <xdr:colOff>0</xdr:colOff>
      <xdr:row>16</xdr:row>
      <xdr:rowOff>25400</xdr:rowOff>
    </xdr:to>
    <xdr:sp macro="" textlink="">
      <xdr:nvSpPr>
        <xdr:cNvPr id="4" name="TextBox 3"/>
        <xdr:cNvSpPr txBox="1"/>
      </xdr:nvSpPr>
      <xdr:spPr>
        <a:xfrm>
          <a:off x="774700" y="2527300"/>
          <a:ext cx="4914900" cy="596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will be normally distributed.</a:t>
          </a:r>
          <a:r>
            <a:rPr lang="en-US" sz="1200" baseline="0">
              <a:latin typeface="Arial" pitchFamily="34" charset="0"/>
              <a:cs typeface="Arial" pitchFamily="34" charset="0"/>
            </a:rPr>
            <a:t> Unfortunately, we usually do not know the population s.d.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σ</a:t>
          </a:r>
          <a:r>
            <a:rPr lang="en-US" sz="1200" baseline="0">
              <a:latin typeface="Arial" pitchFamily="34" charset="0"/>
              <a:cs typeface="Arial" pitchFamily="34" charset="0"/>
            </a:rPr>
            <a:t>. In its place, we use use the sample s.d. (</a:t>
          </a:r>
          <a:r>
            <a:rPr lang="en-US" sz="1200" i="1" baseline="0">
              <a:latin typeface="Arial" pitchFamily="34" charset="0"/>
              <a:cs typeface="Arial" pitchFamily="34" charset="0"/>
            </a:rPr>
            <a:t>s</a:t>
          </a:r>
          <a:r>
            <a:rPr lang="en-US" sz="1200" baseline="0">
              <a:latin typeface="Arial" pitchFamily="34" charset="0"/>
              <a:cs typeface="Arial" pitchFamily="34" charset="0"/>
            </a:rPr>
            <a:t>) to estimate it. When this is done, the test statistic becomes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0</xdr:rowOff>
        </xdr:from>
        <xdr:to>
          <xdr:col>7</xdr:col>
          <xdr:colOff>19050</xdr:colOff>
          <xdr:row>27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resample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34</xdr:row>
          <xdr:rowOff>76200</xdr:rowOff>
        </xdr:from>
        <xdr:to>
          <xdr:col>3</xdr:col>
          <xdr:colOff>485775</xdr:colOff>
          <xdr:row>36</xdr:row>
          <xdr:rowOff>0</xdr:rowOff>
        </xdr:to>
        <xdr:sp macro="" textlink="">
          <xdr:nvSpPr>
            <xdr:cNvPr id="5133" name="button1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32</xdr:row>
          <xdr:rowOff>142875</xdr:rowOff>
        </xdr:from>
        <xdr:to>
          <xdr:col>3</xdr:col>
          <xdr:colOff>495300</xdr:colOff>
          <xdr:row>34</xdr:row>
          <xdr:rowOff>66675</xdr:rowOff>
        </xdr:to>
        <xdr:sp macro="" textlink="">
          <xdr:nvSpPr>
            <xdr:cNvPr id="5135" name="button2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7</xdr:col>
      <xdr:colOff>12700</xdr:colOff>
      <xdr:row>10</xdr:row>
      <xdr:rowOff>76200</xdr:rowOff>
    </xdr:to>
    <xdr:sp macro="" textlink="">
      <xdr:nvSpPr>
        <xdr:cNvPr id="9" name="TextBox 8"/>
        <xdr:cNvSpPr txBox="1"/>
      </xdr:nvSpPr>
      <xdr:spPr>
        <a:xfrm>
          <a:off x="762000" y="622300"/>
          <a:ext cx="4940300" cy="1409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A demonstration of the distribution fo sample means and </a:t>
          </a:r>
          <a:r>
            <a:rPr lang="en-US" sz="1200" baseline="0">
              <a:latin typeface="Arial" pitchFamily="34" charset="0"/>
              <a:cs typeface="Arial" pitchFamily="34" charset="0"/>
            </a:rPr>
            <a:t>the consequences of using the sample variance as an estimate of the population variance.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If we sample from a normal distribution, we expect sample means to be distributed normally with a mean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μ</a:t>
          </a:r>
          <a:r>
            <a:rPr lang="en-US" sz="1200" baseline="0">
              <a:latin typeface="Arial" pitchFamily="34" charset="0"/>
              <a:cs typeface="Arial" pitchFamily="34" charset="0"/>
            </a:rPr>
            <a:t> and s.d. of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σ</a:t>
          </a:r>
          <a:r>
            <a:rPr lang="el-GR" sz="1200" baseline="0">
              <a:latin typeface="Arial" pitchFamily="34" charset="0"/>
              <a:cs typeface="Arial" pitchFamily="34" charset="0"/>
            </a:rPr>
            <a:t>/√</a:t>
          </a:r>
          <a:r>
            <a:rPr lang="en-US" sz="1200" i="1" baseline="0">
              <a:latin typeface="Arial" pitchFamily="34" charset="0"/>
              <a:cs typeface="Arial" pitchFamily="34" charset="0"/>
            </a:rPr>
            <a:t>n</a:t>
          </a:r>
          <a:r>
            <a:rPr lang="en-US" sz="1200" baseline="0">
              <a:latin typeface="Arial" pitchFamily="34" charset="0"/>
              <a:cs typeface="Arial" pitchFamily="34" charset="0"/>
            </a:rPr>
            <a:t>. In other words, the test statistic given by 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12700</xdr:colOff>
      <xdr:row>19</xdr:row>
      <xdr:rowOff>0</xdr:rowOff>
    </xdr:from>
    <xdr:to>
      <xdr:col>7</xdr:col>
      <xdr:colOff>0</xdr:colOff>
      <xdr:row>25</xdr:row>
      <xdr:rowOff>88900</xdr:rowOff>
    </xdr:to>
    <xdr:sp macro="" textlink="">
      <xdr:nvSpPr>
        <xdr:cNvPr id="10" name="TextBox 9"/>
        <xdr:cNvSpPr txBox="1"/>
      </xdr:nvSpPr>
      <xdr:spPr>
        <a:xfrm>
          <a:off x="774700" y="3670300"/>
          <a:ext cx="4914900" cy="1231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This value</a:t>
          </a:r>
          <a:r>
            <a:rPr lang="en-US" sz="1200" baseline="0">
              <a:latin typeface="Arial" pitchFamily="34" charset="0"/>
              <a:cs typeface="Arial" pitchFamily="34" charset="0"/>
            </a:rPr>
            <a:t> is distributed according to the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distribution, which corrects for the underestimate of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σ</a:t>
          </a:r>
          <a:r>
            <a:rPr lang="en-US" sz="1200" baseline="0">
              <a:latin typeface="Arial" pitchFamily="34" charset="0"/>
              <a:cs typeface="Arial" pitchFamily="34" charset="0"/>
            </a:rPr>
            <a:t>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Below you can generate samples and histogram the test statistic using either the actual population s.d. </a:t>
          </a:r>
          <a:r>
            <a:rPr lang="el-GR" sz="1200" i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σ</a:t>
          </a:r>
          <a:r>
            <a:rPr lang="en-US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aseline="0">
              <a:latin typeface="Arial" pitchFamily="34" charset="0"/>
              <a:cs typeface="Arial" pitchFamily="34" charset="0"/>
            </a:rPr>
            <a:t>or the sample's s.d.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s.</a:t>
          </a:r>
          <a:r>
            <a:rPr lang="en-US" sz="1200" baseline="0">
              <a:latin typeface="Arial" pitchFamily="34" charset="0"/>
              <a:cs typeface="Arial" pitchFamily="34" charset="0"/>
            </a:rPr>
            <a:t> In practise, we always do the latter because we don't know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σ</a:t>
          </a:r>
          <a:r>
            <a:rPr lang="en-US" sz="1200" baseline="0">
              <a:latin typeface="Arial" pitchFamily="34" charset="0"/>
              <a:cs typeface="Arial" pitchFamily="34" charset="0"/>
            </a:rPr>
            <a:t>. 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749300</xdr:colOff>
      <xdr:row>36</xdr:row>
      <xdr:rowOff>114300</xdr:rowOff>
    </xdr:from>
    <xdr:to>
      <xdr:col>6</xdr:col>
      <xdr:colOff>736600</xdr:colOff>
      <xdr:row>45</xdr:row>
      <xdr:rowOff>127000</xdr:rowOff>
    </xdr:to>
    <xdr:sp macro="" textlink="">
      <xdr:nvSpPr>
        <xdr:cNvPr id="11" name="TextBox 10"/>
        <xdr:cNvSpPr txBox="1"/>
      </xdr:nvSpPr>
      <xdr:spPr>
        <a:xfrm>
          <a:off x="749300" y="7023100"/>
          <a:ext cx="4914900" cy="1727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latin typeface="Arial" pitchFamily="34" charset="0"/>
              <a:cs typeface="Arial" pitchFamily="34" charset="0"/>
            </a:rPr>
            <a:t>When you select "sample s.d." the distribution has</a:t>
          </a:r>
          <a:r>
            <a:rPr lang="en-US" sz="1200" baseline="0">
              <a:latin typeface="Arial" pitchFamily="34" charset="0"/>
              <a:cs typeface="Arial" pitchFamily="34" charset="0"/>
            </a:rPr>
            <a:t> higher tails (because large values of the test statistic are more likely due to the underestimation of </a:t>
          </a:r>
          <a:r>
            <a:rPr lang="el-GR" sz="1200" i="1" baseline="0">
              <a:latin typeface="Arial" pitchFamily="34" charset="0"/>
              <a:cs typeface="Arial" pitchFamily="34" charset="0"/>
            </a:rPr>
            <a:t>σ</a:t>
          </a:r>
          <a:r>
            <a:rPr lang="en-US" sz="1200" baseline="0">
              <a:latin typeface="Arial" pitchFamily="34" charset="0"/>
              <a:cs typeface="Arial" pitchFamily="34" charset="0"/>
            </a:rPr>
            <a:t>). This is modeled by the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t</a:t>
          </a:r>
          <a:r>
            <a:rPr lang="en-US" sz="1200" baseline="0">
              <a:latin typeface="Arial" pitchFamily="34" charset="0"/>
              <a:cs typeface="Arial" pitchFamily="34" charset="0"/>
            </a:rPr>
            <a:t> distribution.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When you select "population s.d." the distribution is normal.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latin typeface="Arial" pitchFamily="34" charset="0"/>
            <a:cs typeface="Arial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latin typeface="Arial" pitchFamily="34" charset="0"/>
              <a:cs typeface="Arial" pitchFamily="34" charset="0"/>
            </a:rPr>
            <a:t>When </a:t>
          </a:r>
          <a:r>
            <a:rPr lang="en-US" sz="1200" i="1" baseline="0">
              <a:latin typeface="Arial" pitchFamily="34" charset="0"/>
              <a:cs typeface="Arial" pitchFamily="34" charset="0"/>
            </a:rPr>
            <a:t>n</a:t>
          </a:r>
          <a:r>
            <a:rPr lang="en-US" sz="1200" baseline="0">
              <a:latin typeface="Arial" pitchFamily="34" charset="0"/>
              <a:cs typeface="Arial" pitchFamily="34" charset="0"/>
            </a:rPr>
            <a:t> is large, the difference between the two choices decreases because the sample variance becomes a better estimate of the population variance.</a:t>
          </a:r>
          <a:endParaRPr lang="en-US" sz="1200"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752475</xdr:colOff>
          <xdr:row>0</xdr:row>
          <xdr:rowOff>171450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.nawy/AppData/Local/Microsoft/Windows/Temporary%20Internet%20Files/Content.Outlook/4PFGUT9F/pos-ttest-v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g 1 - single value test"/>
      <sheetName val="Fig 2 - 1-sample t test"/>
      <sheetName val="Table 1 - One-sample t test"/>
      <sheetName val="Fig 3a - t dist"/>
      <sheetName val="Fig 3b - t dist P value"/>
      <sheetName val="Table 2 - t vs z P value"/>
      <sheetName val="Fig 4 - t dist simulation"/>
      <sheetName val="pos-ttest-v20"/>
    </sheetNames>
    <definedNames>
      <definedName name="resample2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nature.com/nmeth/journal/v10/n11/abs/nmeth.2698.html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autoPageBreaks="0"/>
  </sheetPr>
  <dimension ref="A1:O60"/>
  <sheetViews>
    <sheetView showGridLines="0" showRowColHeaders="0" tabSelected="1" zoomScale="75" zoomScaleNormal="75" workbookViewId="0">
      <selection activeCell="B14" sqref="B14"/>
    </sheetView>
  </sheetViews>
  <sheetFormatPr defaultRowHeight="15" x14ac:dyDescent="0.2"/>
  <sheetData>
    <row r="1" spans="1:15" x14ac:dyDescent="0.2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x14ac:dyDescent="0.2">
      <c r="A2" s="8"/>
      <c r="B2" s="9" t="s">
        <v>25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</row>
    <row r="3" spans="1:15" x14ac:dyDescent="0.2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15" x14ac:dyDescent="0.2">
      <c r="A4" s="8"/>
      <c r="B4" s="8" t="s">
        <v>26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spans="1:15" ht="15.75" x14ac:dyDescent="0.25">
      <c r="A5" s="8"/>
      <c r="B5" s="10" t="s">
        <v>105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</row>
    <row r="6" spans="1:15" x14ac:dyDescent="0.2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</row>
    <row r="7" spans="1:15" x14ac:dyDescent="0.2">
      <c r="A7" s="8"/>
      <c r="B7" s="8" t="s">
        <v>27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spans="1:15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15" x14ac:dyDescent="0.2">
      <c r="A9" s="8"/>
      <c r="B9" s="13" t="s">
        <v>85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1:15" x14ac:dyDescent="0.2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spans="1:15" x14ac:dyDescent="0.2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spans="1:15" x14ac:dyDescent="0.2">
      <c r="A12" s="8"/>
      <c r="B12" s="11" t="s">
        <v>28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1:15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spans="1:15" x14ac:dyDescent="0.2">
      <c r="A14" s="8"/>
      <c r="B14" s="12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</row>
    <row r="15" spans="1:15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</row>
    <row r="16" spans="1:15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</row>
    <row r="17" spans="1:15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</row>
    <row r="18" spans="1:15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spans="1:15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spans="1:15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1:15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</row>
    <row r="22" spans="1:15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</row>
    <row r="23" spans="1:15" x14ac:dyDescent="0.2">
      <c r="A23" s="8"/>
      <c r="B23" s="11" t="s">
        <v>29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</row>
    <row r="24" spans="1:15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</row>
    <row r="25" spans="1:15" x14ac:dyDescent="0.2">
      <c r="A25" s="8"/>
      <c r="B25" s="8" t="s">
        <v>30</v>
      </c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</row>
    <row r="26" spans="1:15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5" x14ac:dyDescent="0.2">
      <c r="A27" s="8"/>
      <c r="B27" s="55" t="s">
        <v>31</v>
      </c>
      <c r="C27" s="55"/>
      <c r="D27" s="9" t="s">
        <v>32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</row>
    <row r="28" spans="1:15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</row>
    <row r="29" spans="1:15" x14ac:dyDescent="0.2">
      <c r="A29" s="8"/>
      <c r="B29" s="8"/>
      <c r="C29" s="8"/>
      <c r="D29" s="34" t="s">
        <v>58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</row>
    <row r="30" spans="1:15" x14ac:dyDescent="0.2">
      <c r="A30" s="8"/>
      <c r="B30" s="8"/>
      <c r="C30" s="8"/>
      <c r="D30" s="9" t="s">
        <v>57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</row>
    <row r="31" spans="1:15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</row>
    <row r="32" spans="1:15" x14ac:dyDescent="0.2">
      <c r="A32" s="8"/>
      <c r="B32" s="8"/>
      <c r="C32" s="8"/>
      <c r="D32" s="38" t="s">
        <v>66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</row>
    <row r="33" spans="1:15" x14ac:dyDescent="0.2">
      <c r="A33" s="8"/>
      <c r="B33" s="8"/>
      <c r="C33" s="8"/>
      <c r="D33" s="9" t="s">
        <v>60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</row>
    <row r="34" spans="1:15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</row>
    <row r="35" spans="1:15" x14ac:dyDescent="0.2">
      <c r="A35" s="8"/>
      <c r="B35" s="8"/>
      <c r="C35" s="8"/>
      <c r="D35" s="38" t="s">
        <v>66</v>
      </c>
      <c r="J35" s="8"/>
      <c r="K35" s="8"/>
      <c r="L35" s="8"/>
      <c r="M35" s="8"/>
      <c r="N35" s="8"/>
      <c r="O35" s="8"/>
    </row>
    <row r="36" spans="1:15" x14ac:dyDescent="0.2">
      <c r="A36" s="8"/>
      <c r="B36" s="8"/>
      <c r="C36" s="8"/>
      <c r="D36" s="16" t="s">
        <v>72</v>
      </c>
      <c r="J36" s="8"/>
      <c r="K36" s="8"/>
      <c r="L36" s="8"/>
      <c r="M36" s="8"/>
      <c r="N36" s="8"/>
      <c r="O36" s="8"/>
    </row>
    <row r="37" spans="1:15" x14ac:dyDescent="0.2">
      <c r="A37" s="8"/>
      <c r="B37" s="8"/>
      <c r="C37" s="8"/>
      <c r="J37" s="8"/>
      <c r="K37" s="8"/>
      <c r="L37" s="8"/>
      <c r="M37" s="8"/>
      <c r="N37" s="8"/>
      <c r="O37" s="8"/>
    </row>
    <row r="38" spans="1:15" x14ac:dyDescent="0.2">
      <c r="A38" s="8"/>
      <c r="B38" s="8"/>
      <c r="C38" s="8"/>
      <c r="D38" s="38" t="s">
        <v>103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</row>
    <row r="39" spans="1:15" x14ac:dyDescent="0.2">
      <c r="A39" s="8"/>
      <c r="B39" s="8"/>
      <c r="C39" s="8"/>
      <c r="D39" s="9" t="s">
        <v>64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</row>
    <row r="40" spans="1:15" x14ac:dyDescent="0.2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</row>
    <row r="41" spans="1:15" x14ac:dyDescent="0.2">
      <c r="A41" s="8"/>
      <c r="B41" s="8"/>
      <c r="C41" s="8"/>
      <c r="D41" s="38" t="s">
        <v>102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</row>
    <row r="42" spans="1:15" x14ac:dyDescent="0.2">
      <c r="A42" s="8"/>
      <c r="B42" s="8"/>
      <c r="C42" s="8"/>
      <c r="D42" s="9" t="s">
        <v>65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</row>
    <row r="43" spans="1:15" x14ac:dyDescent="0.2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</row>
    <row r="44" spans="1:15" x14ac:dyDescent="0.2">
      <c r="A44" s="8"/>
      <c r="B44" s="8"/>
      <c r="C44" s="8"/>
      <c r="D44" s="38" t="s">
        <v>104</v>
      </c>
      <c r="G44" s="8"/>
      <c r="H44" s="8"/>
      <c r="I44" s="8"/>
      <c r="J44" s="8"/>
      <c r="K44" s="8"/>
      <c r="L44" s="8"/>
      <c r="M44" s="8"/>
      <c r="N44" s="8"/>
      <c r="O44" s="8"/>
    </row>
    <row r="45" spans="1:15" x14ac:dyDescent="0.2">
      <c r="A45" s="8"/>
      <c r="B45" s="8"/>
      <c r="C45" s="8"/>
      <c r="D45" s="16" t="s">
        <v>73</v>
      </c>
      <c r="G45" s="8"/>
      <c r="H45" s="8"/>
      <c r="I45" s="8"/>
      <c r="J45" s="8"/>
      <c r="K45" s="8"/>
      <c r="L45" s="8"/>
      <c r="M45" s="8"/>
      <c r="N45" s="8"/>
      <c r="O45" s="8"/>
    </row>
    <row r="46" spans="1:15" x14ac:dyDescent="0.2">
      <c r="A46" s="8"/>
      <c r="B46" s="8"/>
      <c r="C46" s="8"/>
      <c r="G46" s="8"/>
      <c r="H46" s="8"/>
      <c r="I46" s="8"/>
      <c r="J46" s="8"/>
      <c r="K46" s="8"/>
      <c r="L46" s="8"/>
      <c r="M46" s="8"/>
      <c r="N46" s="8"/>
      <c r="O46" s="8"/>
    </row>
    <row r="47" spans="1:15" x14ac:dyDescent="0.2">
      <c r="A47" s="8"/>
      <c r="B47" s="8"/>
      <c r="C47" s="8"/>
      <c r="D47" s="38" t="s">
        <v>71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</row>
    <row r="48" spans="1:15" x14ac:dyDescent="0.2">
      <c r="A48" s="8"/>
      <c r="B48" s="8"/>
      <c r="C48" s="8"/>
      <c r="D48" s="9" t="s">
        <v>70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</row>
    <row r="49" spans="1:15" x14ac:dyDescent="0.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</row>
    <row r="50" spans="1:15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</row>
    <row r="51" spans="1:15" x14ac:dyDescent="0.2">
      <c r="A51" s="8"/>
      <c r="B51" s="8"/>
      <c r="C51" s="8"/>
      <c r="D51" s="9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</row>
    <row r="52" spans="1:15" x14ac:dyDescent="0.2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</row>
    <row r="53" spans="1:15" x14ac:dyDescent="0.2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</row>
    <row r="54" spans="1:15" x14ac:dyDescent="0.2">
      <c r="A54" s="8"/>
      <c r="B54" s="8"/>
      <c r="C54" s="8"/>
      <c r="D54" s="9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</row>
    <row r="55" spans="1:15" x14ac:dyDescent="0.2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</row>
    <row r="56" spans="1:15" x14ac:dyDescent="0.2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</row>
    <row r="57" spans="1:15" x14ac:dyDescent="0.2">
      <c r="A57" s="8"/>
      <c r="B57" s="11"/>
      <c r="C57" s="8"/>
      <c r="D57" s="9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</row>
    <row r="58" spans="1:15" x14ac:dyDescent="0.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5" x14ac:dyDescent="0.2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</row>
    <row r="60" spans="1:15" x14ac:dyDescent="0.2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</row>
  </sheetData>
  <mergeCells count="1">
    <mergeCell ref="B27:C27"/>
  </mergeCells>
  <hyperlinks>
    <hyperlink ref="B9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Sheet4.s3">
                <anchor moveWithCells="1" sizeWithCells="1">
                  <from>
                    <xdr:col>1</xdr:col>
                    <xdr:colOff>190500</xdr:colOff>
                    <xdr:row>30</xdr:row>
                    <xdr:rowOff>161925</xdr:rowOff>
                  </from>
                  <to>
                    <xdr:col>2</xdr:col>
                    <xdr:colOff>628650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Sheet4.s4">
                <anchor moveWithCells="1" sizeWithCells="1">
                  <from>
                    <xdr:col>1</xdr:col>
                    <xdr:colOff>190500</xdr:colOff>
                    <xdr:row>33</xdr:row>
                    <xdr:rowOff>161925</xdr:rowOff>
                  </from>
                  <to>
                    <xdr:col>2</xdr:col>
                    <xdr:colOff>628650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Sheet4.s5">
                <anchor moveWithCells="1" sizeWithCells="1">
                  <from>
                    <xdr:col>1</xdr:col>
                    <xdr:colOff>190500</xdr:colOff>
                    <xdr:row>37</xdr:row>
                    <xdr:rowOff>9525</xdr:rowOff>
                  </from>
                  <to>
                    <xdr:col>2</xdr:col>
                    <xdr:colOff>628650</xdr:colOff>
                    <xdr:row>38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8" name="Button 4">
              <controlPr defaultSize="0" print="0" autoFill="0" autoPict="0" macro="[0]!Sheet4.s2">
                <anchor moveWithCells="1" sizeWithCells="1">
                  <from>
                    <xdr:col>1</xdr:col>
                    <xdr:colOff>180975</xdr:colOff>
                    <xdr:row>27</xdr:row>
                    <xdr:rowOff>180975</xdr:rowOff>
                  </from>
                  <to>
                    <xdr:col>2</xdr:col>
                    <xdr:colOff>638175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9" name="Button 5">
              <controlPr defaultSize="0" print="0" autoFill="0" autoPict="0" macro="[0]!Sheet4.s6">
                <anchor moveWithCells="1" sizeWithCells="1">
                  <from>
                    <xdr:col>1</xdr:col>
                    <xdr:colOff>190500</xdr:colOff>
                    <xdr:row>40</xdr:row>
                    <xdr:rowOff>0</xdr:rowOff>
                  </from>
                  <to>
                    <xdr:col>2</xdr:col>
                    <xdr:colOff>628650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Button 8">
              <controlPr defaultSize="0" print="0" autoFill="0" autoPict="0" macro="[0]!Sheet4.s7">
                <anchor moveWithCells="1" sizeWithCells="1">
                  <from>
                    <xdr:col>1</xdr:col>
                    <xdr:colOff>190500</xdr:colOff>
                    <xdr:row>43</xdr:row>
                    <xdr:rowOff>9525</xdr:rowOff>
                  </from>
                  <to>
                    <xdr:col>2</xdr:col>
                    <xdr:colOff>628650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4.s8">
                <anchor moveWithCells="1" sizeWithCells="1">
                  <from>
                    <xdr:col>1</xdr:col>
                    <xdr:colOff>190500</xdr:colOff>
                    <xdr:row>46</xdr:row>
                    <xdr:rowOff>9525</xdr:rowOff>
                  </from>
                  <to>
                    <xdr:col>2</xdr:col>
                    <xdr:colOff>628650</xdr:colOff>
                    <xdr:row>47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2:Q601"/>
  <sheetViews>
    <sheetView showGridLines="0" showRowColHeaders="0" zoomScale="75" zoomScaleNormal="75" workbookViewId="0">
      <selection activeCell="B42" sqref="B42"/>
    </sheetView>
  </sheetViews>
  <sheetFormatPr defaultRowHeight="15" x14ac:dyDescent="0.2"/>
  <cols>
    <col min="3" max="3" width="11.77734375" customWidth="1"/>
    <col min="8" max="20" width="8.77734375" customWidth="1"/>
  </cols>
  <sheetData>
    <row r="2" spans="2:3" ht="18" x14ac:dyDescent="0.25">
      <c r="B2" s="36" t="s">
        <v>59</v>
      </c>
    </row>
    <row r="7" spans="2:3" x14ac:dyDescent="0.2">
      <c r="B7" s="37" t="s">
        <v>23</v>
      </c>
      <c r="C7" s="15">
        <v>0</v>
      </c>
    </row>
    <row r="8" spans="2:3" x14ac:dyDescent="0.2">
      <c r="B8" s="37" t="s">
        <v>24</v>
      </c>
      <c r="C8" s="2">
        <v>1</v>
      </c>
    </row>
    <row r="9" spans="2:3" x14ac:dyDescent="0.2">
      <c r="C9" s="3"/>
    </row>
    <row r="10" spans="2:3" x14ac:dyDescent="0.2">
      <c r="B10" s="1" t="s">
        <v>0</v>
      </c>
      <c r="C10" s="4">
        <v>8.387985011316984E-2</v>
      </c>
    </row>
    <row r="12" spans="2:3" x14ac:dyDescent="0.2">
      <c r="B12" t="s">
        <v>87</v>
      </c>
    </row>
    <row r="14" spans="2:3" x14ac:dyDescent="0.2">
      <c r="B14" s="1" t="s">
        <v>81</v>
      </c>
      <c r="C14" s="5">
        <f>1-NORMDIST(onevalue,mu,sigma,1)</f>
        <v>0.4665759801864624</v>
      </c>
    </row>
    <row r="26" spans="2:17" ht="18" x14ac:dyDescent="0.25">
      <c r="B26" s="36" t="s">
        <v>88</v>
      </c>
      <c r="H26" t="s">
        <v>110</v>
      </c>
      <c r="L26" t="s">
        <v>111</v>
      </c>
      <c r="P26" t="s">
        <v>112</v>
      </c>
    </row>
    <row r="27" spans="2:17" x14ac:dyDescent="0.2">
      <c r="H27" s="31" t="s">
        <v>109</v>
      </c>
      <c r="I27" s="5">
        <f>C31</f>
        <v>0.4665759801864624</v>
      </c>
      <c r="L27" s="31" t="s">
        <v>109</v>
      </c>
      <c r="M27" s="5">
        <f>C32</f>
        <v>0.5334240198135376</v>
      </c>
      <c r="P27" s="31" t="s">
        <v>109</v>
      </c>
      <c r="Q27" s="5">
        <f>C33</f>
        <v>0.9331519603729248</v>
      </c>
    </row>
    <row r="28" spans="2:17" x14ac:dyDescent="0.2">
      <c r="B28" t="s">
        <v>82</v>
      </c>
    </row>
    <row r="30" spans="2:17" x14ac:dyDescent="0.2">
      <c r="B30" s="31" t="s">
        <v>0</v>
      </c>
      <c r="C30" s="27">
        <f>onevalue</f>
        <v>8.387985011316984E-2</v>
      </c>
    </row>
    <row r="31" spans="2:17" x14ac:dyDescent="0.2">
      <c r="B31" s="1" t="s">
        <v>86</v>
      </c>
      <c r="C31" s="5">
        <f>1-NORMDIST(C30,mu,sigma,1)</f>
        <v>0.4665759801864624</v>
      </c>
      <c r="D31" s="45" t="s">
        <v>99</v>
      </c>
    </row>
    <row r="32" spans="2:17" x14ac:dyDescent="0.2">
      <c r="B32" s="1" t="s">
        <v>106</v>
      </c>
      <c r="C32" s="5">
        <f>NORMDIST(C30,mu,sigma,1)</f>
        <v>0.5334240198135376</v>
      </c>
      <c r="D32" t="s">
        <v>98</v>
      </c>
    </row>
    <row r="33" spans="2:6" x14ac:dyDescent="0.2">
      <c r="B33" s="1" t="s">
        <v>97</v>
      </c>
      <c r="C33" s="5">
        <f>2*(1-NORMDIST(ABS(C30),mu,sigma,1))</f>
        <v>0.9331519603729248</v>
      </c>
      <c r="D33" s="45" t="s">
        <v>100</v>
      </c>
      <c r="F33" s="3"/>
    </row>
    <row r="34" spans="2:6" x14ac:dyDescent="0.2">
      <c r="B34" s="1"/>
      <c r="E34" s="17"/>
      <c r="F34" s="17"/>
    </row>
    <row r="35" spans="2:6" x14ac:dyDescent="0.2">
      <c r="B35" s="31" t="s">
        <v>95</v>
      </c>
      <c r="C35" s="46">
        <v>0.05</v>
      </c>
      <c r="D35" s="17"/>
      <c r="E35" s="17"/>
      <c r="F35" s="17"/>
    </row>
    <row r="36" spans="2:6" x14ac:dyDescent="0.2">
      <c r="B36" s="45"/>
      <c r="C36" s="4">
        <f>NORMINV(1-C35,mu,sigma)</f>
        <v>1.6448536269514715</v>
      </c>
      <c r="D36" s="44" t="str">
        <f>"X for which P(X≥x) = "&amp;C35</f>
        <v>X for which P(X≥x) = 0.05</v>
      </c>
      <c r="E36" s="17"/>
      <c r="F36" s="17"/>
    </row>
    <row r="37" spans="2:6" x14ac:dyDescent="0.2">
      <c r="B37" s="3"/>
      <c r="C37" s="4">
        <f>NORMINV(1-C35/2,mu,sigma)</f>
        <v>1.9599639845400536</v>
      </c>
      <c r="D37" s="44" t="str">
        <f>"X for which P(|X|≥|x|) = "&amp;C35</f>
        <v>X for which P(|X|≥|x|) = 0.05</v>
      </c>
      <c r="E37" s="43"/>
      <c r="F37" s="17"/>
    </row>
    <row r="42" spans="2:6" ht="18" x14ac:dyDescent="0.25">
      <c r="B42" s="36"/>
    </row>
    <row r="46" spans="2:6" x14ac:dyDescent="0.2">
      <c r="B46" s="3"/>
      <c r="D46" s="4"/>
      <c r="E46" s="30"/>
      <c r="F46" s="4"/>
    </row>
    <row r="47" spans="2:6" x14ac:dyDescent="0.2">
      <c r="B47" s="3"/>
      <c r="C47" s="4"/>
      <c r="D47" s="4"/>
      <c r="E47" s="30"/>
      <c r="F47" s="4"/>
    </row>
    <row r="48" spans="2:6" x14ac:dyDescent="0.2">
      <c r="B48" s="3"/>
      <c r="C48" s="4"/>
      <c r="D48" s="4"/>
      <c r="E48" s="4"/>
      <c r="F48" s="4"/>
    </row>
    <row r="49" spans="2:6" x14ac:dyDescent="0.2">
      <c r="B49" s="3"/>
      <c r="C49" s="4"/>
      <c r="D49" s="4"/>
      <c r="E49" s="4"/>
      <c r="F49" s="4"/>
    </row>
    <row r="50" spans="2:6" x14ac:dyDescent="0.2">
      <c r="B50" s="3"/>
      <c r="C50" s="4"/>
      <c r="D50" s="4"/>
      <c r="E50" s="4"/>
      <c r="F50" s="4"/>
    </row>
    <row r="51" spans="2:6" x14ac:dyDescent="0.2">
      <c r="B51" s="3"/>
      <c r="C51" s="4"/>
      <c r="D51" s="4"/>
      <c r="E51" s="4"/>
      <c r="F51" s="4"/>
    </row>
    <row r="52" spans="2:6" x14ac:dyDescent="0.2">
      <c r="B52" s="3"/>
      <c r="C52" s="4"/>
      <c r="D52" s="4"/>
      <c r="E52" s="4"/>
      <c r="F52" s="4"/>
    </row>
    <row r="53" spans="2:6" x14ac:dyDescent="0.2">
      <c r="B53" s="3"/>
      <c r="C53" s="4"/>
      <c r="D53" s="4"/>
      <c r="E53" s="4"/>
      <c r="F53" s="4"/>
    </row>
    <row r="54" spans="2:6" x14ac:dyDescent="0.2">
      <c r="B54" s="3"/>
      <c r="C54" s="4"/>
      <c r="D54" s="4"/>
      <c r="E54" s="4"/>
      <c r="F54" s="4"/>
    </row>
    <row r="55" spans="2:6" x14ac:dyDescent="0.2">
      <c r="B55" s="3"/>
      <c r="C55" s="4"/>
      <c r="D55" s="4"/>
      <c r="E55" s="4"/>
      <c r="F55" s="4"/>
    </row>
    <row r="100" spans="1:14" x14ac:dyDescent="0.2">
      <c r="A100" t="s">
        <v>10</v>
      </c>
      <c r="B100">
        <v>-6</v>
      </c>
      <c r="C100" t="s">
        <v>9</v>
      </c>
      <c r="D100" t="s">
        <v>0</v>
      </c>
      <c r="E100" t="s">
        <v>8</v>
      </c>
      <c r="F100" t="s">
        <v>13</v>
      </c>
      <c r="H100" t="s">
        <v>14</v>
      </c>
      <c r="I100">
        <f>onevalue</f>
        <v>8.387985011316984E-2</v>
      </c>
      <c r="K100" t="s">
        <v>43</v>
      </c>
      <c r="M100" t="s">
        <v>107</v>
      </c>
      <c r="N100" t="s">
        <v>108</v>
      </c>
    </row>
    <row r="101" spans="1:14" x14ac:dyDescent="0.2">
      <c r="A101" t="s">
        <v>11</v>
      </c>
      <c r="B101">
        <v>6</v>
      </c>
      <c r="C101">
        <f>ROW(C101)-101</f>
        <v>0</v>
      </c>
      <c r="D101">
        <f>$B$100+($B$101-$B$100)*C101/$B$102</f>
        <v>-6</v>
      </c>
      <c r="E101">
        <f t="shared" ref="E101:E164" si="0">NORMDIST(D101,mu,sigma,0)</f>
        <v>6.0758828498232861E-9</v>
      </c>
      <c r="F101" t="str">
        <f>IF($D101&gt;onevalue,$E101,"")</f>
        <v/>
      </c>
      <c r="H101" t="s">
        <v>15</v>
      </c>
      <c r="I101">
        <v>0</v>
      </c>
      <c r="K101">
        <f t="shared" ref="K101:K164" si="1">1-NORMDIST(D101,mu,sigma,1)</f>
        <v>0.9999999990134123</v>
      </c>
      <c r="M101">
        <f t="shared" ref="M101:M164" si="2">IF($D101&lt;onevalue,$E101,"")</f>
        <v>6.0758828498232861E-9</v>
      </c>
      <c r="N101">
        <f t="shared" ref="N101:N164" si="3">IF(ABS($D101)&gt;=ABS(onevalue),$E101,"")</f>
        <v>6.0758828498232861E-9</v>
      </c>
    </row>
    <row r="102" spans="1:14" x14ac:dyDescent="0.2">
      <c r="A102" t="s">
        <v>12</v>
      </c>
      <c r="B102">
        <v>500</v>
      </c>
      <c r="C102">
        <f t="shared" ref="C102:C165" si="4">ROW(C102)-101</f>
        <v>1</v>
      </c>
      <c r="D102">
        <f t="shared" ref="D102:D165" si="5">$B$100+($B$101-$B$100)*C102/$B$102</f>
        <v>-5.976</v>
      </c>
      <c r="E102">
        <f t="shared" si="0"/>
        <v>7.014919960620633E-9</v>
      </c>
      <c r="F102" t="str">
        <f t="shared" ref="F102:F164" si="6">IF(D102&gt;onevalue,E102,"")</f>
        <v/>
      </c>
      <c r="K102">
        <f t="shared" si="1"/>
        <v>0.99999999885658497</v>
      </c>
      <c r="M102">
        <f t="shared" si="2"/>
        <v>7.014919960620633E-9</v>
      </c>
      <c r="N102">
        <f t="shared" si="3"/>
        <v>7.014919960620633E-9</v>
      </c>
    </row>
    <row r="103" spans="1:14" x14ac:dyDescent="0.2">
      <c r="C103">
        <f t="shared" si="4"/>
        <v>2</v>
      </c>
      <c r="D103">
        <f t="shared" si="5"/>
        <v>-5.952</v>
      </c>
      <c r="E103">
        <f t="shared" si="0"/>
        <v>8.094422981541427E-9</v>
      </c>
      <c r="F103" t="str">
        <f t="shared" si="6"/>
        <v/>
      </c>
      <c r="H103" t="s">
        <v>44</v>
      </c>
      <c r="I103">
        <f>1-NORMDIST(I100,mu,sigma,1)</f>
        <v>0.4665759801864624</v>
      </c>
      <c r="K103">
        <f t="shared" si="1"/>
        <v>0.9999999986755731</v>
      </c>
      <c r="M103">
        <f t="shared" si="2"/>
        <v>8.094422981541427E-9</v>
      </c>
      <c r="N103">
        <f t="shared" si="3"/>
        <v>8.094422981541427E-9</v>
      </c>
    </row>
    <row r="104" spans="1:14" x14ac:dyDescent="0.2">
      <c r="C104">
        <f t="shared" si="4"/>
        <v>3</v>
      </c>
      <c r="D104">
        <f t="shared" si="5"/>
        <v>-5.9279999999999999</v>
      </c>
      <c r="E104">
        <f t="shared" si="0"/>
        <v>9.3346688630663452E-9</v>
      </c>
      <c r="F104" t="str">
        <f t="shared" si="6"/>
        <v/>
      </c>
      <c r="K104">
        <f t="shared" si="1"/>
        <v>0.99999999846676746</v>
      </c>
      <c r="M104">
        <f t="shared" si="2"/>
        <v>9.3346688630663452E-9</v>
      </c>
      <c r="N104">
        <f t="shared" si="3"/>
        <v>9.3346688630663452E-9</v>
      </c>
    </row>
    <row r="105" spans="1:14" x14ac:dyDescent="0.2">
      <c r="C105">
        <f t="shared" si="4"/>
        <v>4</v>
      </c>
      <c r="D105">
        <f t="shared" si="5"/>
        <v>-5.9039999999999999</v>
      </c>
      <c r="E105">
        <f t="shared" si="0"/>
        <v>1.0758749212031231E-8</v>
      </c>
      <c r="F105" t="str">
        <f t="shared" si="6"/>
        <v/>
      </c>
      <c r="K105">
        <f t="shared" si="1"/>
        <v>0.99999999822603924</v>
      </c>
      <c r="M105">
        <f t="shared" si="2"/>
        <v>1.0758749212031231E-8</v>
      </c>
      <c r="N105">
        <f t="shared" si="3"/>
        <v>1.0758749212031231E-8</v>
      </c>
    </row>
    <row r="106" spans="1:14" x14ac:dyDescent="0.2">
      <c r="C106">
        <f t="shared" si="4"/>
        <v>5</v>
      </c>
      <c r="D106">
        <f t="shared" si="5"/>
        <v>-5.88</v>
      </c>
      <c r="E106">
        <f t="shared" si="0"/>
        <v>1.239294431415013E-8</v>
      </c>
      <c r="F106" t="str">
        <f t="shared" si="6"/>
        <v/>
      </c>
      <c r="K106">
        <f t="shared" si="1"/>
        <v>0.99999999794866756</v>
      </c>
      <c r="M106">
        <f t="shared" si="2"/>
        <v>1.239294431415013E-8</v>
      </c>
      <c r="N106">
        <f t="shared" si="3"/>
        <v>1.239294431415013E-8</v>
      </c>
    </row>
    <row r="107" spans="1:14" x14ac:dyDescent="0.2">
      <c r="C107">
        <f t="shared" si="4"/>
        <v>6</v>
      </c>
      <c r="D107">
        <f t="shared" si="5"/>
        <v>-5.8559999999999999</v>
      </c>
      <c r="E107">
        <f t="shared" si="0"/>
        <v>1.4267144462795874E-8</v>
      </c>
      <c r="F107" t="str">
        <f t="shared" si="6"/>
        <v/>
      </c>
      <c r="K107">
        <f t="shared" si="1"/>
        <v>0.99999999762925895</v>
      </c>
      <c r="M107">
        <f t="shared" si="2"/>
        <v>1.4267144462795874E-8</v>
      </c>
      <c r="N107">
        <f t="shared" si="3"/>
        <v>1.4267144462795874E-8</v>
      </c>
    </row>
    <row r="108" spans="1:14" x14ac:dyDescent="0.2">
      <c r="C108">
        <f t="shared" si="4"/>
        <v>7</v>
      </c>
      <c r="D108">
        <f t="shared" si="5"/>
        <v>-5.8319999999999999</v>
      </c>
      <c r="E108">
        <f t="shared" si="0"/>
        <v>1.6415324245220411E-8</v>
      </c>
      <c r="F108" t="str">
        <f t="shared" si="6"/>
        <v/>
      </c>
      <c r="K108">
        <f t="shared" si="1"/>
        <v>0.99999999726165401</v>
      </c>
      <c r="M108">
        <f t="shared" si="2"/>
        <v>1.6415324245220411E-8</v>
      </c>
      <c r="N108">
        <f t="shared" si="3"/>
        <v>1.6415324245220411E-8</v>
      </c>
    </row>
    <row r="109" spans="1:14" x14ac:dyDescent="0.2">
      <c r="C109">
        <f t="shared" si="4"/>
        <v>8</v>
      </c>
      <c r="D109">
        <f t="shared" si="5"/>
        <v>-5.8079999999999998</v>
      </c>
      <c r="E109">
        <f t="shared" si="0"/>
        <v>1.8876076068122808E-8</v>
      </c>
      <c r="F109" t="str">
        <f t="shared" si="6"/>
        <v/>
      </c>
      <c r="K109">
        <f t="shared" si="1"/>
        <v>0.99999999683882412</v>
      </c>
      <c r="M109">
        <f t="shared" si="2"/>
        <v>1.8876076068122808E-8</v>
      </c>
      <c r="N109">
        <f t="shared" si="3"/>
        <v>1.8876076068122808E-8</v>
      </c>
    </row>
    <row r="110" spans="1:14" x14ac:dyDescent="0.2">
      <c r="C110">
        <f t="shared" si="4"/>
        <v>9</v>
      </c>
      <c r="D110">
        <f t="shared" si="5"/>
        <v>-5.7839999999999998</v>
      </c>
      <c r="E110">
        <f t="shared" si="0"/>
        <v>2.1693209899897982E-8</v>
      </c>
      <c r="F110" t="str">
        <f t="shared" si="6"/>
        <v/>
      </c>
      <c r="K110">
        <f t="shared" si="1"/>
        <v>0.99999999635275294</v>
      </c>
      <c r="M110">
        <f t="shared" si="2"/>
        <v>2.1693209899897982E-8</v>
      </c>
      <c r="N110">
        <f t="shared" si="3"/>
        <v>2.1693209899897982E-8</v>
      </c>
    </row>
    <row r="111" spans="1:14" x14ac:dyDescent="0.2">
      <c r="C111">
        <f t="shared" si="4"/>
        <v>10</v>
      </c>
      <c r="D111">
        <f t="shared" si="5"/>
        <v>-5.76</v>
      </c>
      <c r="E111">
        <f t="shared" si="0"/>
        <v>2.4916426972950989E-8</v>
      </c>
      <c r="F111" t="str">
        <f t="shared" si="6"/>
        <v/>
      </c>
      <c r="K111">
        <f t="shared" si="1"/>
        <v>0.99999999579430321</v>
      </c>
      <c r="M111">
        <f t="shared" si="2"/>
        <v>2.4916426972950989E-8</v>
      </c>
      <c r="N111">
        <f t="shared" si="3"/>
        <v>2.4916426972950989E-8</v>
      </c>
    </row>
    <row r="112" spans="1:14" x14ac:dyDescent="0.2">
      <c r="C112">
        <f t="shared" si="4"/>
        <v>11</v>
      </c>
      <c r="D112">
        <f t="shared" si="5"/>
        <v>-5.7359999999999998</v>
      </c>
      <c r="E112">
        <f t="shared" si="0"/>
        <v>2.8602076032540175E-8</v>
      </c>
      <c r="F112" t="str">
        <f t="shared" si="6"/>
        <v/>
      </c>
      <c r="K112">
        <f t="shared" si="1"/>
        <v>0.99999999515306692</v>
      </c>
      <c r="M112">
        <f t="shared" si="2"/>
        <v>2.8602076032540175E-8</v>
      </c>
      <c r="N112">
        <f t="shared" si="3"/>
        <v>2.8602076032540175E-8</v>
      </c>
    </row>
    <row r="113" spans="3:14" x14ac:dyDescent="0.2">
      <c r="C113">
        <f t="shared" si="4"/>
        <v>12</v>
      </c>
      <c r="D113">
        <f t="shared" si="5"/>
        <v>-5.7119999999999997</v>
      </c>
      <c r="E113">
        <f t="shared" si="0"/>
        <v>3.2814001645590985E-8</v>
      </c>
      <c r="F113" t="str">
        <f t="shared" si="6"/>
        <v/>
      </c>
      <c r="K113">
        <f t="shared" si="1"/>
        <v>0.99999999441719556</v>
      </c>
      <c r="M113">
        <f t="shared" si="2"/>
        <v>3.2814001645590985E-8</v>
      </c>
      <c r="N113">
        <f t="shared" si="3"/>
        <v>3.2814001645590985E-8</v>
      </c>
    </row>
    <row r="114" spans="3:14" x14ac:dyDescent="0.2">
      <c r="C114">
        <f t="shared" si="4"/>
        <v>13</v>
      </c>
      <c r="D114">
        <f t="shared" si="5"/>
        <v>-5.6879999999999997</v>
      </c>
      <c r="E114">
        <f t="shared" si="0"/>
        <v>3.7624495101197993E-8</v>
      </c>
      <c r="F114" t="str">
        <f t="shared" si="6"/>
        <v/>
      </c>
      <c r="K114">
        <f t="shared" si="1"/>
        <v>0.9999999935732089</v>
      </c>
      <c r="M114">
        <f t="shared" si="2"/>
        <v>3.7624495101197993E-8</v>
      </c>
      <c r="N114">
        <f t="shared" si="3"/>
        <v>3.7624495101197993E-8</v>
      </c>
    </row>
    <row r="115" spans="3:14" x14ac:dyDescent="0.2">
      <c r="C115">
        <f t="shared" si="4"/>
        <v>14</v>
      </c>
      <c r="D115">
        <f t="shared" si="5"/>
        <v>-5.6639999999999997</v>
      </c>
      <c r="E115">
        <f t="shared" si="0"/>
        <v>4.3115359552033492E-8</v>
      </c>
      <c r="F115" t="str">
        <f t="shared" si="6"/>
        <v/>
      </c>
      <c r="K115">
        <f t="shared" si="1"/>
        <v>0.99999999260577965</v>
      </c>
      <c r="M115">
        <f t="shared" si="2"/>
        <v>4.3115359552033492E-8</v>
      </c>
      <c r="N115">
        <f t="shared" si="3"/>
        <v>4.3115359552033492E-8</v>
      </c>
    </row>
    <row r="116" spans="3:14" x14ac:dyDescent="0.2">
      <c r="C116">
        <f t="shared" si="4"/>
        <v>15</v>
      </c>
      <c r="D116">
        <f t="shared" si="5"/>
        <v>-5.64</v>
      </c>
      <c r="E116">
        <f t="shared" si="0"/>
        <v>4.937910227110449E-8</v>
      </c>
      <c r="F116" t="str">
        <f t="shared" si="6"/>
        <v/>
      </c>
      <c r="K116">
        <f t="shared" si="1"/>
        <v>0.99999999149749175</v>
      </c>
      <c r="M116">
        <f t="shared" si="2"/>
        <v>4.937910227110449E-8</v>
      </c>
      <c r="N116">
        <f t="shared" si="3"/>
        <v>4.937910227110449E-8</v>
      </c>
    </row>
    <row r="117" spans="3:14" x14ac:dyDescent="0.2">
      <c r="C117">
        <f t="shared" si="4"/>
        <v>16</v>
      </c>
      <c r="D117">
        <f t="shared" si="5"/>
        <v>-5.6159999999999997</v>
      </c>
      <c r="E117">
        <f t="shared" si="0"/>
        <v>5.6520268240340859E-8</v>
      </c>
      <c r="F117" t="str">
        <f t="shared" si="6"/>
        <v/>
      </c>
      <c r="K117">
        <f t="shared" si="1"/>
        <v>0.999999990228567</v>
      </c>
      <c r="M117">
        <f t="shared" si="2"/>
        <v>5.6520268240340859E-8</v>
      </c>
      <c r="N117">
        <f t="shared" si="3"/>
        <v>5.6520268240340859E-8</v>
      </c>
    </row>
    <row r="118" spans="3:14" x14ac:dyDescent="0.2">
      <c r="C118">
        <f t="shared" si="4"/>
        <v>17</v>
      </c>
      <c r="D118">
        <f t="shared" si="5"/>
        <v>-5.5919999999999996</v>
      </c>
      <c r="E118">
        <f t="shared" si="0"/>
        <v>6.465693075604519E-8</v>
      </c>
      <c r="F118" t="str">
        <f t="shared" si="6"/>
        <v/>
      </c>
      <c r="K118">
        <f t="shared" si="1"/>
        <v>0.99999998877655893</v>
      </c>
      <c r="M118">
        <f t="shared" si="2"/>
        <v>6.465693075604519E-8</v>
      </c>
      <c r="N118">
        <f t="shared" si="3"/>
        <v>6.465693075604519E-8</v>
      </c>
    </row>
    <row r="119" spans="3:14" x14ac:dyDescent="0.2">
      <c r="C119">
        <f t="shared" si="4"/>
        <v>18</v>
      </c>
      <c r="D119">
        <f t="shared" si="5"/>
        <v>-5.5679999999999996</v>
      </c>
      <c r="E119">
        <f t="shared" si="0"/>
        <v>7.3922356341658018E-8</v>
      </c>
      <c r="F119" t="str">
        <f t="shared" si="6"/>
        <v/>
      </c>
      <c r="K119">
        <f t="shared" si="1"/>
        <v>0.99999998711600879</v>
      </c>
      <c r="M119">
        <f t="shared" si="2"/>
        <v>7.3922356341658018E-8</v>
      </c>
      <c r="N119">
        <f t="shared" si="3"/>
        <v>7.3922356341658018E-8</v>
      </c>
    </row>
    <row r="120" spans="3:14" x14ac:dyDescent="0.2">
      <c r="C120">
        <f t="shared" si="4"/>
        <v>19</v>
      </c>
      <c r="D120">
        <f t="shared" si="5"/>
        <v>-5.5439999999999996</v>
      </c>
      <c r="E120">
        <f t="shared" si="0"/>
        <v>8.4466863011588381E-8</v>
      </c>
      <c r="F120" t="str">
        <f t="shared" si="6"/>
        <v/>
      </c>
      <c r="K120">
        <f t="shared" si="1"/>
        <v>0.99999998521805833</v>
      </c>
      <c r="M120">
        <f t="shared" si="2"/>
        <v>8.4466863011588381E-8</v>
      </c>
      <c r="N120">
        <f t="shared" si="3"/>
        <v>8.4466863011588381E-8</v>
      </c>
    </row>
    <row r="121" spans="3:14" x14ac:dyDescent="0.2">
      <c r="C121">
        <f t="shared" si="4"/>
        <v>20</v>
      </c>
      <c r="D121">
        <f t="shared" si="5"/>
        <v>-5.52</v>
      </c>
      <c r="E121">
        <f t="shared" si="0"/>
        <v>9.6459892842733842E-8</v>
      </c>
      <c r="F121" t="str">
        <f t="shared" si="6"/>
        <v/>
      </c>
      <c r="K121">
        <f t="shared" si="1"/>
        <v>0.99999998305001692</v>
      </c>
      <c r="M121">
        <f t="shared" si="2"/>
        <v>9.6459892842733842E-8</v>
      </c>
      <c r="N121">
        <f t="shared" si="3"/>
        <v>9.6459892842733842E-8</v>
      </c>
    </row>
    <row r="122" spans="3:14" x14ac:dyDescent="0.2">
      <c r="C122">
        <f t="shared" si="4"/>
        <v>21</v>
      </c>
      <c r="D122">
        <f t="shared" si="5"/>
        <v>-5.4960000000000004</v>
      </c>
      <c r="E122">
        <f t="shared" si="0"/>
        <v>1.1009232189518106E-7</v>
      </c>
      <c r="F122" t="str">
        <f t="shared" si="6"/>
        <v/>
      </c>
      <c r="K122">
        <f t="shared" si="1"/>
        <v>0.99999998057487471</v>
      </c>
      <c r="M122">
        <f t="shared" si="2"/>
        <v>1.1009232189518106E-7</v>
      </c>
      <c r="N122">
        <f t="shared" si="3"/>
        <v>1.1009232189518106E-7</v>
      </c>
    </row>
    <row r="123" spans="3:14" x14ac:dyDescent="0.2">
      <c r="C123">
        <f t="shared" si="4"/>
        <v>22</v>
      </c>
      <c r="D123">
        <f t="shared" si="5"/>
        <v>-5.4719999999999995</v>
      </c>
      <c r="E123">
        <f t="shared" si="0"/>
        <v>1.2557903279356918E-7</v>
      </c>
      <c r="F123" t="str">
        <f t="shared" si="6"/>
        <v/>
      </c>
      <c r="K123">
        <f t="shared" si="1"/>
        <v>0.99999997775075833</v>
      </c>
      <c r="M123">
        <f t="shared" si="2"/>
        <v>1.2557903279356918E-7</v>
      </c>
      <c r="N123">
        <f t="shared" si="3"/>
        <v>1.2557903279356918E-7</v>
      </c>
    </row>
    <row r="124" spans="3:14" x14ac:dyDescent="0.2">
      <c r="C124">
        <f t="shared" si="4"/>
        <v>23</v>
      </c>
      <c r="D124">
        <f t="shared" si="5"/>
        <v>-5.4480000000000004</v>
      </c>
      <c r="E124">
        <f t="shared" si="0"/>
        <v>1.4316177774957213E-7</v>
      </c>
      <c r="F124" t="str">
        <f t="shared" si="6"/>
        <v/>
      </c>
      <c r="K124">
        <f t="shared" si="1"/>
        <v>0.99999997453032086</v>
      </c>
      <c r="M124">
        <f t="shared" si="2"/>
        <v>1.4316177774957213E-7</v>
      </c>
      <c r="N124">
        <f t="shared" si="3"/>
        <v>1.4316177774957213E-7</v>
      </c>
    </row>
    <row r="125" spans="3:14" x14ac:dyDescent="0.2">
      <c r="C125">
        <f t="shared" si="4"/>
        <v>24</v>
      </c>
      <c r="D125">
        <f t="shared" si="5"/>
        <v>-5.4240000000000004</v>
      </c>
      <c r="E125">
        <f t="shared" si="0"/>
        <v>1.6311236248861487E-7</v>
      </c>
      <c r="F125" t="str">
        <f t="shared" si="6"/>
        <v/>
      </c>
      <c r="K125">
        <f t="shared" si="1"/>
        <v>0.99999997086005921</v>
      </c>
      <c r="M125">
        <f t="shared" si="2"/>
        <v>1.6311236248861487E-7</v>
      </c>
      <c r="N125">
        <f t="shared" si="3"/>
        <v>1.6311236248861487E-7</v>
      </c>
    </row>
    <row r="126" spans="3:14" x14ac:dyDescent="0.2">
      <c r="C126">
        <f t="shared" si="4"/>
        <v>25</v>
      </c>
      <c r="D126">
        <f t="shared" si="5"/>
        <v>-5.4</v>
      </c>
      <c r="E126">
        <f t="shared" si="0"/>
        <v>1.8573618445552897E-7</v>
      </c>
      <c r="F126" t="str">
        <f t="shared" si="6"/>
        <v/>
      </c>
      <c r="K126">
        <f t="shared" si="1"/>
        <v>0.99999996667955149</v>
      </c>
      <c r="M126">
        <f t="shared" si="2"/>
        <v>1.8573618445552897E-7</v>
      </c>
      <c r="N126">
        <f t="shared" si="3"/>
        <v>1.8573618445552897E-7</v>
      </c>
    </row>
    <row r="127" spans="3:14" x14ac:dyDescent="0.2">
      <c r="C127">
        <f t="shared" si="4"/>
        <v>26</v>
      </c>
      <c r="D127">
        <f t="shared" si="5"/>
        <v>-5.3760000000000003</v>
      </c>
      <c r="E127">
        <f t="shared" si="0"/>
        <v>2.1137616183074064E-7</v>
      </c>
      <c r="F127" t="str">
        <f t="shared" si="6"/>
        <v/>
      </c>
      <c r="K127">
        <f t="shared" si="1"/>
        <v>0.99999996192060425</v>
      </c>
      <c r="M127">
        <f t="shared" si="2"/>
        <v>2.1137616183074064E-7</v>
      </c>
      <c r="N127">
        <f t="shared" si="3"/>
        <v>2.1137616183074064E-7</v>
      </c>
    </row>
    <row r="128" spans="3:14" x14ac:dyDescent="0.2">
      <c r="C128">
        <f t="shared" si="4"/>
        <v>27</v>
      </c>
      <c r="D128">
        <f t="shared" si="5"/>
        <v>-5.3520000000000003</v>
      </c>
      <c r="E128">
        <f t="shared" si="0"/>
        <v>2.4041709330746573E-7</v>
      </c>
      <c r="F128" t="str">
        <f t="shared" si="6"/>
        <v/>
      </c>
      <c r="K128">
        <f t="shared" si="1"/>
        <v>0.99999995650630058</v>
      </c>
      <c r="M128">
        <f t="shared" si="2"/>
        <v>2.4041709330746573E-7</v>
      </c>
      <c r="N128">
        <f t="shared" si="3"/>
        <v>2.4041709330746573E-7</v>
      </c>
    </row>
    <row r="129" spans="3:14" x14ac:dyDescent="0.2">
      <c r="C129">
        <f t="shared" si="4"/>
        <v>28</v>
      </c>
      <c r="D129">
        <f t="shared" si="5"/>
        <v>-5.3280000000000003</v>
      </c>
      <c r="E129">
        <f t="shared" si="0"/>
        <v>2.7329049227913221E-7</v>
      </c>
      <c r="F129" t="str">
        <f t="shared" si="6"/>
        <v/>
      </c>
      <c r="K129">
        <f t="shared" si="1"/>
        <v>0.99999995034993794</v>
      </c>
      <c r="M129">
        <f t="shared" si="2"/>
        <v>2.7329049227913221E-7</v>
      </c>
      <c r="N129">
        <f t="shared" si="3"/>
        <v>2.7329049227913221E-7</v>
      </c>
    </row>
    <row r="130" spans="3:14" x14ac:dyDescent="0.2">
      <c r="C130">
        <f t="shared" si="4"/>
        <v>29</v>
      </c>
      <c r="D130">
        <f t="shared" si="5"/>
        <v>-5.3040000000000003</v>
      </c>
      <c r="E130">
        <f t="shared" si="0"/>
        <v>3.104799430831489E-7</v>
      </c>
      <c r="F130" t="str">
        <f t="shared" si="6"/>
        <v/>
      </c>
      <c r="K130">
        <f t="shared" si="1"/>
        <v>0.99999994335384401</v>
      </c>
      <c r="M130">
        <f t="shared" si="2"/>
        <v>3.104799430831489E-7</v>
      </c>
      <c r="N130">
        <f t="shared" si="3"/>
        <v>3.104799430831489E-7</v>
      </c>
    </row>
    <row r="131" spans="3:14" x14ac:dyDescent="0.2">
      <c r="C131">
        <f t="shared" si="4"/>
        <v>30</v>
      </c>
      <c r="D131">
        <f t="shared" si="5"/>
        <v>-5.28</v>
      </c>
      <c r="E131">
        <f t="shared" si="0"/>
        <v>3.5252703126140381E-7</v>
      </c>
      <c r="F131" t="str">
        <f t="shared" si="6"/>
        <v/>
      </c>
      <c r="K131">
        <f t="shared" si="1"/>
        <v>0.99999993540805676</v>
      </c>
      <c r="M131">
        <f t="shared" si="2"/>
        <v>3.5252703126140381E-7</v>
      </c>
      <c r="N131">
        <f t="shared" si="3"/>
        <v>3.5252703126140381E-7</v>
      </c>
    </row>
    <row r="132" spans="3:14" x14ac:dyDescent="0.2">
      <c r="C132">
        <f t="shared" si="4"/>
        <v>31</v>
      </c>
      <c r="D132">
        <f t="shared" si="5"/>
        <v>-5.2560000000000002</v>
      </c>
      <c r="E132">
        <f t="shared" si="0"/>
        <v>4.0003790444932249E-7</v>
      </c>
      <c r="F132" t="str">
        <f t="shared" si="6"/>
        <v/>
      </c>
      <c r="K132">
        <f t="shared" si="1"/>
        <v>0.99999992638885526</v>
      </c>
      <c r="M132">
        <f t="shared" si="2"/>
        <v>4.0003790444932249E-7</v>
      </c>
      <c r="N132">
        <f t="shared" si="3"/>
        <v>4.0003790444932249E-7</v>
      </c>
    </row>
    <row r="133" spans="3:14" x14ac:dyDescent="0.2">
      <c r="C133">
        <f t="shared" si="4"/>
        <v>32</v>
      </c>
      <c r="D133">
        <f t="shared" si="5"/>
        <v>-5.2320000000000002</v>
      </c>
      <c r="E133">
        <f t="shared" si="0"/>
        <v>4.5369052551441214E-7</v>
      </c>
      <c r="F133" t="str">
        <f t="shared" si="6"/>
        <v/>
      </c>
      <c r="K133">
        <f t="shared" si="1"/>
        <v>0.99999991615712458</v>
      </c>
      <c r="M133">
        <f t="shared" si="2"/>
        <v>4.5369052551441214E-7</v>
      </c>
      <c r="N133">
        <f t="shared" si="3"/>
        <v>4.5369052551441214E-7</v>
      </c>
    </row>
    <row r="134" spans="3:14" x14ac:dyDescent="0.2">
      <c r="C134">
        <f t="shared" si="4"/>
        <v>33</v>
      </c>
      <c r="D134">
        <f t="shared" si="5"/>
        <v>-5.2080000000000002</v>
      </c>
      <c r="E134">
        <f t="shared" si="0"/>
        <v>5.1424268495308647E-7</v>
      </c>
      <c r="F134" t="str">
        <f t="shared" si="6"/>
        <v/>
      </c>
      <c r="K134">
        <f t="shared" si="1"/>
        <v>0.99999990455653742</v>
      </c>
      <c r="M134">
        <f t="shared" si="2"/>
        <v>5.1424268495308647E-7</v>
      </c>
      <c r="N134">
        <f t="shared" si="3"/>
        <v>5.1424268495308647E-7</v>
      </c>
    </row>
    <row r="135" spans="3:14" x14ac:dyDescent="0.2">
      <c r="C135">
        <f t="shared" si="4"/>
        <v>34</v>
      </c>
      <c r="D135">
        <f t="shared" si="5"/>
        <v>-5.1840000000000002</v>
      </c>
      <c r="E135">
        <f t="shared" si="0"/>
        <v>5.8254084534283306E-7</v>
      </c>
      <c r="F135" t="str">
        <f t="shared" si="6"/>
        <v/>
      </c>
      <c r="K135">
        <f t="shared" si="1"/>
        <v>0.99999989141153389</v>
      </c>
      <c r="M135">
        <f t="shared" si="2"/>
        <v>5.8254084534283306E-7</v>
      </c>
      <c r="N135">
        <f t="shared" si="3"/>
        <v>5.8254084534283306E-7</v>
      </c>
    </row>
    <row r="136" spans="3:14" x14ac:dyDescent="0.2">
      <c r="C136">
        <f t="shared" si="4"/>
        <v>35</v>
      </c>
      <c r="D136">
        <f t="shared" si="5"/>
        <v>-5.16</v>
      </c>
      <c r="E136">
        <f t="shared" si="0"/>
        <v>6.5952989685752167E-7</v>
      </c>
      <c r="F136" t="str">
        <f t="shared" si="6"/>
        <v/>
      </c>
      <c r="K136">
        <f t="shared" si="1"/>
        <v>0.99999987652507871</v>
      </c>
      <c r="M136">
        <f t="shared" si="2"/>
        <v>6.5952989685752167E-7</v>
      </c>
      <c r="N136">
        <f t="shared" si="3"/>
        <v>6.5952989685752167E-7</v>
      </c>
    </row>
    <row r="137" spans="3:14" x14ac:dyDescent="0.2">
      <c r="C137">
        <f t="shared" si="4"/>
        <v>36</v>
      </c>
      <c r="D137">
        <f t="shared" si="5"/>
        <v>-5.1360000000000001</v>
      </c>
      <c r="E137">
        <f t="shared" si="0"/>
        <v>7.4626390950944278E-7</v>
      </c>
      <c r="F137" t="str">
        <f t="shared" si="6"/>
        <v/>
      </c>
      <c r="K137">
        <f t="shared" si="1"/>
        <v>0.99999985967617144</v>
      </c>
      <c r="M137">
        <f t="shared" si="2"/>
        <v>7.4626390950944278E-7</v>
      </c>
      <c r="N137">
        <f t="shared" si="3"/>
        <v>7.4626390950944278E-7</v>
      </c>
    </row>
    <row r="138" spans="3:14" x14ac:dyDescent="0.2">
      <c r="C138">
        <f t="shared" si="4"/>
        <v>37</v>
      </c>
      <c r="D138">
        <f t="shared" si="5"/>
        <v>-5.1120000000000001</v>
      </c>
      <c r="E138">
        <f t="shared" si="0"/>
        <v>8.4391797490514879E-7</v>
      </c>
      <c r="F138" t="str">
        <f t="shared" si="6"/>
        <v/>
      </c>
      <c r="K138">
        <f t="shared" si="1"/>
        <v>0.99999984061708636</v>
      </c>
      <c r="M138">
        <f t="shared" si="2"/>
        <v>8.4391797490514879E-7</v>
      </c>
      <c r="N138">
        <f t="shared" si="3"/>
        <v>8.4391797490514879E-7</v>
      </c>
    </row>
    <row r="139" spans="3:14" x14ac:dyDescent="0.2">
      <c r="C139">
        <f t="shared" si="4"/>
        <v>38</v>
      </c>
      <c r="D139">
        <f t="shared" si="5"/>
        <v>-5.0880000000000001</v>
      </c>
      <c r="E139">
        <f t="shared" si="0"/>
        <v>9.5380123791647124E-7</v>
      </c>
      <c r="F139" t="str">
        <f t="shared" si="6"/>
        <v/>
      </c>
      <c r="K139">
        <f t="shared" si="1"/>
        <v>0.99999981907031454</v>
      </c>
      <c r="M139">
        <f t="shared" si="2"/>
        <v>9.5380123791647124E-7</v>
      </c>
      <c r="N139">
        <f t="shared" si="3"/>
        <v>9.5380123791647124E-7</v>
      </c>
    </row>
    <row r="140" spans="3:14" x14ac:dyDescent="0.2">
      <c r="C140">
        <f t="shared" si="4"/>
        <v>39</v>
      </c>
      <c r="D140">
        <f t="shared" si="5"/>
        <v>-5.0640000000000001</v>
      </c>
      <c r="E140">
        <f t="shared" si="0"/>
        <v>1.0773712267960586E-6</v>
      </c>
      <c r="F140" t="str">
        <f t="shared" si="6"/>
        <v/>
      </c>
      <c r="K140">
        <f t="shared" si="1"/>
        <v>0.99999979472517686</v>
      </c>
      <c r="M140">
        <f t="shared" si="2"/>
        <v>1.0773712267960586E-6</v>
      </c>
      <c r="N140">
        <f t="shared" si="3"/>
        <v>1.0773712267960586E-6</v>
      </c>
    </row>
    <row r="141" spans="3:14" x14ac:dyDescent="0.2">
      <c r="C141">
        <f t="shared" si="4"/>
        <v>40</v>
      </c>
      <c r="D141">
        <f t="shared" si="5"/>
        <v>-5.04</v>
      </c>
      <c r="E141">
        <f t="shared" si="0"/>
        <v>1.216249598931318E-6</v>
      </c>
      <c r="F141" t="str">
        <f t="shared" si="6"/>
        <v/>
      </c>
      <c r="K141">
        <f t="shared" si="1"/>
        <v>0.99999976723407691</v>
      </c>
      <c r="M141">
        <f t="shared" si="2"/>
        <v>1.216249598931318E-6</v>
      </c>
      <c r="N141">
        <f t="shared" si="3"/>
        <v>1.216249598931318E-6</v>
      </c>
    </row>
    <row r="142" spans="3:14" x14ac:dyDescent="0.2">
      <c r="C142">
        <f t="shared" si="4"/>
        <v>41</v>
      </c>
      <c r="D142">
        <f t="shared" si="5"/>
        <v>-5.016</v>
      </c>
      <c r="E142">
        <f t="shared" si="0"/>
        <v>1.3722394286545041E-6</v>
      </c>
      <c r="F142" t="str">
        <f t="shared" si="6"/>
        <v/>
      </c>
      <c r="K142">
        <f t="shared" si="1"/>
        <v>0.9999997362083578</v>
      </c>
      <c r="M142">
        <f t="shared" si="2"/>
        <v>1.3722394286545041E-6</v>
      </c>
      <c r="N142">
        <f t="shared" si="3"/>
        <v>1.3722394286545041E-6</v>
      </c>
    </row>
    <row r="143" spans="3:14" x14ac:dyDescent="0.2">
      <c r="C143">
        <f t="shared" si="4"/>
        <v>42</v>
      </c>
      <c r="D143">
        <f t="shared" si="5"/>
        <v>-4.992</v>
      </c>
      <c r="E143">
        <f t="shared" si="0"/>
        <v>1.5473441733317411E-6</v>
      </c>
      <c r="F143" t="str">
        <f t="shared" si="6"/>
        <v/>
      </c>
      <c r="K143">
        <f t="shared" si="1"/>
        <v>0.99999970121372395</v>
      </c>
      <c r="M143">
        <f t="shared" si="2"/>
        <v>1.5473441733317411E-6</v>
      </c>
      <c r="N143">
        <f t="shared" si="3"/>
        <v>1.5473441733317411E-6</v>
      </c>
    </row>
    <row r="144" spans="3:14" x14ac:dyDescent="0.2">
      <c r="C144">
        <f t="shared" si="4"/>
        <v>43</v>
      </c>
      <c r="D144">
        <f t="shared" si="5"/>
        <v>-4.968</v>
      </c>
      <c r="E144">
        <f t="shared" si="0"/>
        <v>1.7437884643617589E-6</v>
      </c>
      <c r="F144" t="str">
        <f t="shared" si="6"/>
        <v/>
      </c>
      <c r="K144">
        <f t="shared" si="1"/>
        <v>0.99999966176518618</v>
      </c>
      <c r="M144">
        <f t="shared" si="2"/>
        <v>1.7437884643617589E-6</v>
      </c>
      <c r="N144">
        <f t="shared" si="3"/>
        <v>1.7437884643617589E-6</v>
      </c>
    </row>
    <row r="145" spans="3:14" x14ac:dyDescent="0.2">
      <c r="C145">
        <f t="shared" si="4"/>
        <v>44</v>
      </c>
      <c r="D145">
        <f t="shared" si="5"/>
        <v>-4.944</v>
      </c>
      <c r="E145">
        <f t="shared" si="0"/>
        <v>1.9640408807463332E-6</v>
      </c>
      <c r="F145" t="str">
        <f t="shared" si="6"/>
        <v/>
      </c>
      <c r="K145">
        <f t="shared" si="1"/>
        <v>0.99999961732148435</v>
      </c>
      <c r="M145">
        <f t="shared" si="2"/>
        <v>1.9640408807463332E-6</v>
      </c>
      <c r="N145">
        <f t="shared" si="3"/>
        <v>1.9640408807463332E-6</v>
      </c>
    </row>
    <row r="146" spans="3:14" x14ac:dyDescent="0.2">
      <c r="C146">
        <f t="shared" si="4"/>
        <v>45</v>
      </c>
      <c r="D146">
        <f t="shared" si="5"/>
        <v>-4.92</v>
      </c>
      <c r="E146">
        <f t="shared" si="0"/>
        <v>2.2108388745684212E-6</v>
      </c>
      <c r="F146" t="str">
        <f t="shared" si="6"/>
        <v/>
      </c>
      <c r="K146">
        <f t="shared" si="1"/>
        <v>0.99999956727893813</v>
      </c>
      <c r="M146">
        <f t="shared" si="2"/>
        <v>2.2108388745684212E-6</v>
      </c>
      <c r="N146">
        <f t="shared" si="3"/>
        <v>2.2108388745684212E-6</v>
      </c>
    </row>
    <row r="147" spans="3:14" x14ac:dyDescent="0.2">
      <c r="C147">
        <f t="shared" si="4"/>
        <v>46</v>
      </c>
      <c r="D147">
        <f t="shared" si="5"/>
        <v>-4.8959999999999999</v>
      </c>
      <c r="E147">
        <f t="shared" si="0"/>
        <v>2.4872160300486798E-6</v>
      </c>
      <c r="F147" t="str">
        <f t="shared" si="6"/>
        <v/>
      </c>
      <c r="K147">
        <f t="shared" si="1"/>
        <v>0.99999951096467188</v>
      </c>
      <c r="M147">
        <f t="shared" si="2"/>
        <v>2.4872160300486798E-6</v>
      </c>
      <c r="N147">
        <f t="shared" si="3"/>
        <v>2.4872160300486798E-6</v>
      </c>
    </row>
    <row r="148" spans="3:14" x14ac:dyDescent="0.2">
      <c r="C148">
        <f t="shared" si="4"/>
        <v>47</v>
      </c>
      <c r="D148">
        <f t="shared" si="5"/>
        <v>-4.8719999999999999</v>
      </c>
      <c r="E148">
        <f t="shared" si="0"/>
        <v>2.7965318508624735E-6</v>
      </c>
      <c r="F148" t="str">
        <f t="shared" si="6"/>
        <v/>
      </c>
      <c r="K148">
        <f t="shared" si="1"/>
        <v>0.99999944762915483</v>
      </c>
      <c r="M148">
        <f t="shared" si="2"/>
        <v>2.7965318508624735E-6</v>
      </c>
      <c r="N148">
        <f t="shared" si="3"/>
        <v>2.7965318508624735E-6</v>
      </c>
    </row>
    <row r="149" spans="3:14" x14ac:dyDescent="0.2">
      <c r="C149">
        <f t="shared" si="4"/>
        <v>48</v>
      </c>
      <c r="D149">
        <f t="shared" si="5"/>
        <v>-4.8479999999999999</v>
      </c>
      <c r="E149">
        <f t="shared" si="0"/>
        <v>3.1425042841019479E-6</v>
      </c>
      <c r="F149" t="str">
        <f t="shared" si="6"/>
        <v/>
      </c>
      <c r="K149">
        <f t="shared" si="1"/>
        <v>0.99999937643799508</v>
      </c>
      <c r="M149">
        <f t="shared" si="2"/>
        <v>3.1425042841019479E-6</v>
      </c>
      <c r="N149">
        <f t="shared" si="3"/>
        <v>3.1425042841019479E-6</v>
      </c>
    </row>
    <row r="150" spans="3:14" x14ac:dyDescent="0.2">
      <c r="C150">
        <f t="shared" si="4"/>
        <v>49</v>
      </c>
      <c r="D150">
        <f t="shared" si="5"/>
        <v>-4.8239999999999998</v>
      </c>
      <c r="E150">
        <f t="shared" si="0"/>
        <v>3.5292452036728565E-6</v>
      </c>
      <c r="F150" t="str">
        <f t="shared" si="6"/>
        <v/>
      </c>
      <c r="K150">
        <f t="shared" si="1"/>
        <v>0.99999929646291663</v>
      </c>
      <c r="M150">
        <f t="shared" si="2"/>
        <v>3.5292452036728565E-6</v>
      </c>
      <c r="N150">
        <f t="shared" si="3"/>
        <v>3.5292452036728565E-6</v>
      </c>
    </row>
    <row r="151" spans="3:14" x14ac:dyDescent="0.2">
      <c r="C151">
        <f t="shared" si="4"/>
        <v>50</v>
      </c>
      <c r="D151">
        <f t="shared" si="5"/>
        <v>-4.8</v>
      </c>
      <c r="E151">
        <f t="shared" si="0"/>
        <v>3.9612990910320753E-6</v>
      </c>
      <c r="F151" t="str">
        <f t="shared" si="6"/>
        <v/>
      </c>
      <c r="K151">
        <f t="shared" si="1"/>
        <v>0.99999920667184805</v>
      </c>
      <c r="M151">
        <f t="shared" si="2"/>
        <v>3.9612990910320753E-6</v>
      </c>
      <c r="N151">
        <f t="shared" si="3"/>
        <v>3.9612990910320753E-6</v>
      </c>
    </row>
    <row r="152" spans="3:14" x14ac:dyDescent="0.2">
      <c r="C152">
        <f t="shared" si="4"/>
        <v>51</v>
      </c>
      <c r="D152">
        <f t="shared" si="5"/>
        <v>-4.7759999999999998</v>
      </c>
      <c r="E152">
        <f t="shared" si="0"/>
        <v>4.443685167005601E-6</v>
      </c>
      <c r="F152" t="str">
        <f t="shared" si="6"/>
        <v/>
      </c>
      <c r="K152">
        <f t="shared" si="1"/>
        <v>0.99999910591804142</v>
      </c>
      <c r="M152">
        <f t="shared" si="2"/>
        <v>4.443685167005601E-6</v>
      </c>
      <c r="N152">
        <f t="shared" si="3"/>
        <v>4.443685167005601E-6</v>
      </c>
    </row>
    <row r="153" spans="3:14" x14ac:dyDescent="0.2">
      <c r="C153">
        <f t="shared" si="4"/>
        <v>52</v>
      </c>
      <c r="D153">
        <f t="shared" si="5"/>
        <v>-4.7519999999999998</v>
      </c>
      <c r="E153">
        <f t="shared" si="0"/>
        <v>4.9819432449787926E-6</v>
      </c>
      <c r="F153" t="str">
        <f t="shared" si="6"/>
        <v/>
      </c>
      <c r="K153">
        <f t="shared" si="1"/>
        <v>0.99999899292813599</v>
      </c>
      <c r="M153">
        <f t="shared" si="2"/>
        <v>4.9819432449787926E-6</v>
      </c>
      <c r="N153">
        <f t="shared" si="3"/>
        <v>4.9819432449787926E-6</v>
      </c>
    </row>
    <row r="154" spans="3:14" x14ac:dyDescent="0.2">
      <c r="C154">
        <f t="shared" si="4"/>
        <v>53</v>
      </c>
      <c r="D154">
        <f t="shared" si="5"/>
        <v>-4.7279999999999998</v>
      </c>
      <c r="E154">
        <f t="shared" si="0"/>
        <v>5.5821835930201659E-6</v>
      </c>
      <c r="F154" t="str">
        <f t="shared" si="6"/>
        <v/>
      </c>
      <c r="K154">
        <f t="shared" si="1"/>
        <v>0.99999886628907386</v>
      </c>
      <c r="M154">
        <f t="shared" si="2"/>
        <v>5.5821835930201659E-6</v>
      </c>
      <c r="N154">
        <f t="shared" si="3"/>
        <v>5.5821835930201659E-6</v>
      </c>
    </row>
    <row r="155" spans="3:14" x14ac:dyDescent="0.2">
      <c r="C155">
        <f t="shared" si="4"/>
        <v>54</v>
      </c>
      <c r="D155">
        <f t="shared" si="5"/>
        <v>-4.7039999999999997</v>
      </c>
      <c r="E155">
        <f t="shared" si="0"/>
        <v>6.2511411104785546E-6</v>
      </c>
      <c r="F155" t="str">
        <f t="shared" si="6"/>
        <v/>
      </c>
      <c r="K155">
        <f t="shared" si="1"/>
        <v>0.99999872443376825</v>
      </c>
      <c r="M155">
        <f t="shared" si="2"/>
        <v>6.2511411104785546E-6</v>
      </c>
      <c r="N155">
        <f t="shared" si="3"/>
        <v>6.2511411104785546E-6</v>
      </c>
    </row>
    <row r="156" spans="3:14" x14ac:dyDescent="0.2">
      <c r="C156">
        <f t="shared" si="4"/>
        <v>55</v>
      </c>
      <c r="D156">
        <f t="shared" si="5"/>
        <v>-4.68</v>
      </c>
      <c r="E156">
        <f t="shared" si="0"/>
        <v>6.996234143270405E-6</v>
      </c>
      <c r="F156" t="str">
        <f t="shared" si="6"/>
        <v/>
      </c>
      <c r="K156">
        <f t="shared" si="1"/>
        <v>0.99999856562541556</v>
      </c>
      <c r="M156">
        <f t="shared" si="2"/>
        <v>6.996234143270405E-6</v>
      </c>
      <c r="N156">
        <f t="shared" si="3"/>
        <v>6.996234143270405E-6</v>
      </c>
    </row>
    <row r="157" spans="3:14" x14ac:dyDescent="0.2">
      <c r="C157">
        <f t="shared" si="4"/>
        <v>56</v>
      </c>
      <c r="D157">
        <f t="shared" si="5"/>
        <v>-4.6559999999999997</v>
      </c>
      <c r="E157">
        <f t="shared" si="0"/>
        <v>7.825628281430239E-6</v>
      </c>
      <c r="F157" t="str">
        <f t="shared" si="6"/>
        <v/>
      </c>
      <c r="K157">
        <f t="shared" si="1"/>
        <v>0.99999838794033802</v>
      </c>
      <c r="M157">
        <f t="shared" si="2"/>
        <v>7.825628281430239E-6</v>
      </c>
      <c r="N157">
        <f t="shared" si="3"/>
        <v>7.825628281430239E-6</v>
      </c>
    </row>
    <row r="158" spans="3:14" x14ac:dyDescent="0.2">
      <c r="C158">
        <f t="shared" si="4"/>
        <v>57</v>
      </c>
      <c r="D158">
        <f t="shared" si="5"/>
        <v>-4.6319999999999997</v>
      </c>
      <c r="E158">
        <f t="shared" si="0"/>
        <v>8.7483055025099134E-6</v>
      </c>
      <c r="F158" t="str">
        <f t="shared" si="6"/>
        <v/>
      </c>
      <c r="K158">
        <f t="shared" si="1"/>
        <v>0.9999981892492309</v>
      </c>
      <c r="M158">
        <f t="shared" si="2"/>
        <v>8.7483055025099134E-6</v>
      </c>
      <c r="N158">
        <f t="shared" si="3"/>
        <v>8.7483055025099134E-6</v>
      </c>
    </row>
    <row r="159" spans="3:14" x14ac:dyDescent="0.2">
      <c r="C159">
        <f t="shared" si="4"/>
        <v>58</v>
      </c>
      <c r="D159">
        <f t="shared" si="5"/>
        <v>-4.6080000000000005</v>
      </c>
      <c r="E159">
        <f t="shared" si="0"/>
        <v>9.7741390450493509E-6</v>
      </c>
      <c r="F159" t="str">
        <f t="shared" si="6"/>
        <v/>
      </c>
      <c r="K159">
        <f t="shared" si="1"/>
        <v>0.99999796719668244</v>
      </c>
      <c r="M159">
        <f t="shared" si="2"/>
        <v>9.7741390450493509E-6</v>
      </c>
      <c r="N159">
        <f t="shared" si="3"/>
        <v>9.7741390450493509E-6</v>
      </c>
    </row>
    <row r="160" spans="3:14" x14ac:dyDescent="0.2">
      <c r="C160">
        <f t="shared" si="4"/>
        <v>59</v>
      </c>
      <c r="D160">
        <f t="shared" si="5"/>
        <v>-4.5839999999999996</v>
      </c>
      <c r="E160">
        <f t="shared" si="0"/>
        <v>1.0913974417565564E-5</v>
      </c>
      <c r="F160" t="str">
        <f t="shared" si="6"/>
        <v/>
      </c>
      <c r="K160">
        <f t="shared" si="1"/>
        <v>0.99999771917882452</v>
      </c>
      <c r="M160">
        <f t="shared" si="2"/>
        <v>1.0913974417565564E-5</v>
      </c>
      <c r="N160">
        <f t="shared" si="3"/>
        <v>1.0913974417565564E-5</v>
      </c>
    </row>
    <row r="161" spans="3:14" x14ac:dyDescent="0.2">
      <c r="C161">
        <f t="shared" si="4"/>
        <v>60</v>
      </c>
      <c r="D161">
        <f t="shared" si="5"/>
        <v>-4.5600000000000005</v>
      </c>
      <c r="E161">
        <f t="shared" si="0"/>
        <v>1.2179716970268655E-5</v>
      </c>
      <c r="F161" t="str">
        <f t="shared" si="6"/>
        <v/>
      </c>
      <c r="K161">
        <f t="shared" si="1"/>
        <v>0.99999744231896059</v>
      </c>
      <c r="M161">
        <f t="shared" si="2"/>
        <v>1.2179716970268655E-5</v>
      </c>
      <c r="N161">
        <f t="shared" si="3"/>
        <v>1.2179716970268655E-5</v>
      </c>
    </row>
    <row r="162" spans="3:14" x14ac:dyDescent="0.2">
      <c r="C162">
        <f t="shared" si="4"/>
        <v>61</v>
      </c>
      <c r="D162">
        <f t="shared" si="5"/>
        <v>-4.5359999999999996</v>
      </c>
      <c r="E162">
        <f t="shared" si="0"/>
        <v>1.3584426478963919E-5</v>
      </c>
      <c r="F162" t="str">
        <f t="shared" si="6"/>
        <v/>
      </c>
      <c r="K162">
        <f t="shared" si="1"/>
        <v>0.99999713344100905</v>
      </c>
      <c r="M162">
        <f t="shared" si="2"/>
        <v>1.3584426478963919E-5</v>
      </c>
      <c r="N162">
        <f t="shared" si="3"/>
        <v>1.3584426478963919E-5</v>
      </c>
    </row>
    <row r="163" spans="3:14" x14ac:dyDescent="0.2">
      <c r="C163">
        <f t="shared" si="4"/>
        <v>62</v>
      </c>
      <c r="D163">
        <f t="shared" si="5"/>
        <v>-4.5120000000000005</v>
      </c>
      <c r="E163">
        <f t="shared" si="0"/>
        <v>1.5142419213261371E-5</v>
      </c>
      <c r="F163" t="str">
        <f t="shared" si="6"/>
        <v/>
      </c>
      <c r="K163">
        <f t="shared" si="1"/>
        <v>0.99999678904058786</v>
      </c>
      <c r="M163">
        <f t="shared" si="2"/>
        <v>1.5142419213261371E-5</v>
      </c>
      <c r="N163">
        <f t="shared" si="3"/>
        <v>1.5142419213261371E-5</v>
      </c>
    </row>
    <row r="164" spans="3:14" x14ac:dyDescent="0.2">
      <c r="C164">
        <f t="shared" si="4"/>
        <v>63</v>
      </c>
      <c r="D164">
        <f t="shared" si="5"/>
        <v>-4.4879999999999995</v>
      </c>
      <c r="E164">
        <f t="shared" si="0"/>
        <v>1.6869377984230626E-5</v>
      </c>
      <c r="F164" t="str">
        <f t="shared" si="6"/>
        <v/>
      </c>
      <c r="K164">
        <f t="shared" si="1"/>
        <v>0.99999640525355427</v>
      </c>
      <c r="M164">
        <f t="shared" si="2"/>
        <v>1.6869377984230626E-5</v>
      </c>
      <c r="N164">
        <f t="shared" si="3"/>
        <v>1.6869377984230626E-5</v>
      </c>
    </row>
    <row r="165" spans="3:14" x14ac:dyDescent="0.2">
      <c r="C165">
        <f t="shared" si="4"/>
        <v>64</v>
      </c>
      <c r="D165">
        <f t="shared" si="5"/>
        <v>-4.4640000000000004</v>
      </c>
      <c r="E165">
        <f t="shared" ref="E165:E228" si="7">NORMDIST(D165,mu,sigma,0)</f>
        <v>1.8782470689901945E-5</v>
      </c>
      <c r="F165" t="str">
        <f t="shared" ref="F165:F228" si="8">IF(D165&gt;onevalue,E165,"")</f>
        <v/>
      </c>
      <c r="K165">
        <f t="shared" ref="K165:K228" si="9">1-NORMDIST(D165,mu,sigma,1)</f>
        <v>0.99999597782180294</v>
      </c>
      <c r="M165">
        <f t="shared" ref="M165:M228" si="10">IF($D165&lt;onevalue,$E165,"")</f>
        <v>1.8782470689901945E-5</v>
      </c>
      <c r="N165">
        <f t="shared" ref="N165:N228" si="11">IF(ABS($D165)&gt;=ABS(onevalue),$E165,"")</f>
        <v>1.8782470689901945E-5</v>
      </c>
    </row>
    <row r="166" spans="3:14" x14ac:dyDescent="0.2">
      <c r="C166">
        <f t="shared" ref="C166:C229" si="12">ROW(C166)-101</f>
        <v>65</v>
      </c>
      <c r="D166">
        <f t="shared" ref="D166:D229" si="13">$B$100+($B$101-$B$100)*C166/$B$102</f>
        <v>-4.4399999999999995</v>
      </c>
      <c r="E166">
        <f t="shared" si="7"/>
        <v>2.0900477900450482E-5</v>
      </c>
      <c r="F166" t="str">
        <f t="shared" si="8"/>
        <v/>
      </c>
      <c r="K166">
        <f t="shared" si="9"/>
        <v>0.99999550205611143</v>
      </c>
      <c r="M166">
        <f t="shared" si="10"/>
        <v>2.0900477900450482E-5</v>
      </c>
      <c r="N166">
        <f t="shared" si="11"/>
        <v>2.0900477900450482E-5</v>
      </c>
    </row>
    <row r="167" spans="3:14" x14ac:dyDescent="0.2">
      <c r="C167">
        <f t="shared" si="12"/>
        <v>66</v>
      </c>
      <c r="D167">
        <f t="shared" si="13"/>
        <v>-4.4160000000000004</v>
      </c>
      <c r="E167">
        <f t="shared" si="7"/>
        <v>2.3243930048373714E-5</v>
      </c>
      <c r="F167" t="str">
        <f t="shared" si="8"/>
        <v/>
      </c>
      <c r="K167">
        <f t="shared" si="9"/>
        <v>0.99999497279580973</v>
      </c>
      <c r="M167">
        <f t="shared" si="10"/>
        <v>2.3243930048373714E-5</v>
      </c>
      <c r="N167">
        <f t="shared" si="11"/>
        <v>2.3243930048373714E-5</v>
      </c>
    </row>
    <row r="168" spans="3:14" x14ac:dyDescent="0.2">
      <c r="C168">
        <f t="shared" si="12"/>
        <v>67</v>
      </c>
      <c r="D168">
        <f t="shared" si="13"/>
        <v>-4.3919999999999995</v>
      </c>
      <c r="E168">
        <f t="shared" si="7"/>
        <v>2.5835254812390093E-5</v>
      </c>
      <c r="F168" t="str">
        <f t="shared" si="8"/>
        <v/>
      </c>
      <c r="K168">
        <f t="shared" si="9"/>
        <v>0.99999438436503596</v>
      </c>
      <c r="M168">
        <f t="shared" si="10"/>
        <v>2.5835254812390093E-5</v>
      </c>
      <c r="N168">
        <f t="shared" si="11"/>
        <v>2.5835254812390093E-5</v>
      </c>
    </row>
    <row r="169" spans="3:14" x14ac:dyDescent="0.2">
      <c r="C169">
        <f t="shared" si="12"/>
        <v>68</v>
      </c>
      <c r="D169">
        <f t="shared" si="13"/>
        <v>-4.3680000000000003</v>
      </c>
      <c r="E169">
        <f t="shared" si="7"/>
        <v>2.8698935306977618E-5</v>
      </c>
      <c r="F169" t="str">
        <f t="shared" si="8"/>
        <v/>
      </c>
      <c r="K169">
        <f t="shared" si="9"/>
        <v>0.99999373052532592</v>
      </c>
      <c r="M169">
        <f t="shared" si="10"/>
        <v>2.8698935306977618E-5</v>
      </c>
      <c r="N169">
        <f t="shared" si="11"/>
        <v>2.8698935306977618E-5</v>
      </c>
    </row>
    <row r="170" spans="3:14" x14ac:dyDescent="0.2">
      <c r="C170">
        <f t="shared" si="12"/>
        <v>69</v>
      </c>
      <c r="D170">
        <f t="shared" si="13"/>
        <v>-4.3440000000000003</v>
      </c>
      <c r="E170">
        <f t="shared" si="7"/>
        <v>3.1861679712324516E-5</v>
      </c>
      <c r="F170" t="str">
        <f t="shared" si="8"/>
        <v/>
      </c>
      <c r="K170">
        <f t="shared" si="9"/>
        <v>0.9999930044242713</v>
      </c>
      <c r="M170">
        <f t="shared" si="10"/>
        <v>3.1861679712324516E-5</v>
      </c>
      <c r="N170">
        <f t="shared" si="11"/>
        <v>3.1861679712324516E-5</v>
      </c>
    </row>
    <row r="171" spans="3:14" x14ac:dyDescent="0.2">
      <c r="C171">
        <f t="shared" si="12"/>
        <v>70</v>
      </c>
      <c r="D171">
        <f t="shared" si="13"/>
        <v>-4.32</v>
      </c>
      <c r="E171">
        <f t="shared" si="7"/>
        <v>3.5352603001773097E-5</v>
      </c>
      <c r="F171" t="str">
        <f t="shared" si="8"/>
        <v/>
      </c>
      <c r="K171">
        <f t="shared" si="9"/>
        <v>0.99999219853996191</v>
      </c>
      <c r="M171">
        <f t="shared" si="10"/>
        <v>3.5352603001773097E-5</v>
      </c>
      <c r="N171">
        <f t="shared" si="11"/>
        <v>3.5352603001773097E-5</v>
      </c>
    </row>
    <row r="172" spans="3:14" x14ac:dyDescent="0.2">
      <c r="C172">
        <f t="shared" si="12"/>
        <v>71</v>
      </c>
      <c r="D172">
        <f t="shared" si="13"/>
        <v>-4.2960000000000003</v>
      </c>
      <c r="E172">
        <f t="shared" si="7"/>
        <v>3.9203421445463005E-5</v>
      </c>
      <c r="F172" t="str">
        <f t="shared" si="8"/>
        <v/>
      </c>
      <c r="K172">
        <f t="shared" si="9"/>
        <v>0.99999130462091468</v>
      </c>
      <c r="M172">
        <f t="shared" si="10"/>
        <v>3.9203421445463005E-5</v>
      </c>
      <c r="N172">
        <f t="shared" si="11"/>
        <v>3.9203421445463005E-5</v>
      </c>
    </row>
    <row r="173" spans="3:14" x14ac:dyDescent="0.2">
      <c r="C173">
        <f t="shared" si="12"/>
        <v>72</v>
      </c>
      <c r="D173">
        <f t="shared" si="13"/>
        <v>-4.2720000000000002</v>
      </c>
      <c r="E173">
        <f t="shared" si="7"/>
        <v>4.3448660589589352E-5</v>
      </c>
      <c r="F173" t="str">
        <f t="shared" si="8"/>
        <v/>
      </c>
      <c r="K173">
        <f t="shared" si="9"/>
        <v>0.99999031362117485</v>
      </c>
      <c r="M173">
        <f t="shared" si="10"/>
        <v>4.3448660589589352E-5</v>
      </c>
      <c r="N173">
        <f t="shared" si="11"/>
        <v>4.3448660589589352E-5</v>
      </c>
    </row>
    <row r="174" spans="3:14" x14ac:dyDescent="0.2">
      <c r="C174">
        <f t="shared" si="12"/>
        <v>73</v>
      </c>
      <c r="D174">
        <f t="shared" si="13"/>
        <v>-4.2480000000000002</v>
      </c>
      <c r="E174">
        <f t="shared" si="7"/>
        <v>4.8125877430296982E-5</v>
      </c>
      <c r="F174" t="str">
        <f t="shared" si="8"/>
        <v/>
      </c>
      <c r="K174">
        <f t="shared" si="9"/>
        <v>0.99998921563025589</v>
      </c>
      <c r="M174">
        <f t="shared" si="10"/>
        <v>4.8125877430296982E-5</v>
      </c>
      <c r="N174">
        <f t="shared" si="11"/>
        <v>4.8125877430296982E-5</v>
      </c>
    </row>
    <row r="175" spans="3:14" x14ac:dyDescent="0.2">
      <c r="C175">
        <f t="shared" si="12"/>
        <v>74</v>
      </c>
      <c r="D175">
        <f t="shared" si="13"/>
        <v>-4.2240000000000002</v>
      </c>
      <c r="E175">
        <f t="shared" si="7"/>
        <v>5.3275897519493968E-5</v>
      </c>
      <c r="F175" t="str">
        <f t="shared" si="8"/>
        <v/>
      </c>
      <c r="K175">
        <f t="shared" si="9"/>
        <v>0.99998799979757069</v>
      </c>
      <c r="M175">
        <f t="shared" si="10"/>
        <v>5.3275897519493968E-5</v>
      </c>
      <c r="N175">
        <f t="shared" si="11"/>
        <v>5.3275897519493968E-5</v>
      </c>
    </row>
    <row r="176" spans="3:14" x14ac:dyDescent="0.2">
      <c r="C176">
        <f t="shared" si="12"/>
        <v>75</v>
      </c>
      <c r="D176">
        <f t="shared" si="13"/>
        <v>-4.2</v>
      </c>
      <c r="E176">
        <f t="shared" si="7"/>
        <v>5.8943067756539855E-5</v>
      </c>
      <c r="F176" t="str">
        <f t="shared" si="8"/>
        <v/>
      </c>
      <c r="K176">
        <f t="shared" si="9"/>
        <v>0.9999866542509841</v>
      </c>
      <c r="M176">
        <f t="shared" si="10"/>
        <v>5.8943067756539855E-5</v>
      </c>
      <c r="N176">
        <f t="shared" si="11"/>
        <v>5.8943067756539855E-5</v>
      </c>
    </row>
    <row r="177" spans="3:14" x14ac:dyDescent="0.2">
      <c r="C177">
        <f t="shared" si="12"/>
        <v>76</v>
      </c>
      <c r="D177">
        <f t="shared" si="13"/>
        <v>-4.1760000000000002</v>
      </c>
      <c r="E177">
        <f t="shared" si="7"/>
        <v>6.5175525634586447E-5</v>
      </c>
      <c r="F177" t="str">
        <f t="shared" si="8"/>
        <v/>
      </c>
      <c r="K177">
        <f t="shared" si="9"/>
        <v>0.99998516600910392</v>
      </c>
      <c r="M177">
        <f t="shared" si="10"/>
        <v>6.5175525634586447E-5</v>
      </c>
      <c r="N177">
        <f t="shared" si="11"/>
        <v>6.5175525634586447E-5</v>
      </c>
    </row>
    <row r="178" spans="3:14" x14ac:dyDescent="0.2">
      <c r="C178">
        <f t="shared" si="12"/>
        <v>77</v>
      </c>
      <c r="D178">
        <f t="shared" si="13"/>
        <v>-4.1520000000000001</v>
      </c>
      <c r="E178">
        <f t="shared" si="7"/>
        <v>7.2025485723041163E-5</v>
      </c>
      <c r="F178" t="str">
        <f t="shared" si="8"/>
        <v/>
      </c>
      <c r="K178">
        <f t="shared" si="9"/>
        <v>0.99998352088690379</v>
      </c>
      <c r="M178">
        <f t="shared" si="10"/>
        <v>7.2025485723041163E-5</v>
      </c>
      <c r="N178">
        <f t="shared" si="11"/>
        <v>7.2025485723041163E-5</v>
      </c>
    </row>
    <row r="179" spans="3:14" x14ac:dyDescent="0.2">
      <c r="C179">
        <f t="shared" si="12"/>
        <v>78</v>
      </c>
      <c r="D179">
        <f t="shared" si="13"/>
        <v>-4.1280000000000001</v>
      </c>
      <c r="E179">
        <f t="shared" si="7"/>
        <v>7.9549544177881284E-5</v>
      </c>
      <c r="F179" t="str">
        <f t="shared" si="8"/>
        <v/>
      </c>
      <c r="K179">
        <f t="shared" si="9"/>
        <v>0.99998170339425629</v>
      </c>
      <c r="M179">
        <f t="shared" si="10"/>
        <v>7.9549544177881284E-5</v>
      </c>
      <c r="N179">
        <f t="shared" si="11"/>
        <v>7.9549544177881284E-5</v>
      </c>
    </row>
    <row r="180" spans="3:14" x14ac:dyDescent="0.2">
      <c r="C180">
        <f t="shared" si="12"/>
        <v>79</v>
      </c>
      <c r="D180">
        <f t="shared" si="13"/>
        <v>-4.1040000000000001</v>
      </c>
      <c r="E180">
        <f t="shared" si="7"/>
        <v>8.7809002079064242E-5</v>
      </c>
      <c r="F180" t="str">
        <f t="shared" si="8"/>
        <v/>
      </c>
      <c r="K180">
        <f t="shared" si="9"/>
        <v>0.99997969662693309</v>
      </c>
      <c r="M180">
        <f t="shared" si="10"/>
        <v>8.7809002079064242E-5</v>
      </c>
      <c r="N180">
        <f t="shared" si="11"/>
        <v>8.7809002079064242E-5</v>
      </c>
    </row>
    <row r="181" spans="3:14" x14ac:dyDescent="0.2">
      <c r="C181">
        <f t="shared" si="12"/>
        <v>80</v>
      </c>
      <c r="D181">
        <f t="shared" si="13"/>
        <v>-4.08</v>
      </c>
      <c r="E181">
        <f t="shared" si="7"/>
        <v>9.687020839871926E-5</v>
      </c>
      <c r="F181" t="str">
        <f t="shared" si="8"/>
        <v/>
      </c>
      <c r="K181">
        <f t="shared" si="9"/>
        <v>0.99997748214961146</v>
      </c>
      <c r="M181">
        <f t="shared" si="10"/>
        <v>9.687020839871926E-5</v>
      </c>
      <c r="N181">
        <f t="shared" si="11"/>
        <v>9.687020839871926E-5</v>
      </c>
    </row>
    <row r="182" spans="3:14" x14ac:dyDescent="0.2">
      <c r="C182">
        <f t="shared" si="12"/>
        <v>81</v>
      </c>
      <c r="D182">
        <f t="shared" si="13"/>
        <v>-4.056</v>
      </c>
      <c r="E182">
        <f t="shared" si="7"/>
        <v>1.0680492340481771E-4</v>
      </c>
      <c r="F182" t="str">
        <f t="shared" si="8"/>
        <v/>
      </c>
      <c r="K182">
        <f t="shared" si="9"/>
        <v>0.99997503987040537</v>
      </c>
      <c r="M182">
        <f t="shared" si="10"/>
        <v>1.0680492340481771E-4</v>
      </c>
      <c r="N182">
        <f t="shared" si="11"/>
        <v>1.0680492340481771E-4</v>
      </c>
    </row>
    <row r="183" spans="3:14" x14ac:dyDescent="0.2">
      <c r="C183">
        <f t="shared" si="12"/>
        <v>82</v>
      </c>
      <c r="D183">
        <f t="shared" si="13"/>
        <v>-4.032</v>
      </c>
      <c r="E183">
        <f t="shared" si="7"/>
        <v>1.1769070330224524E-4</v>
      </c>
      <c r="F183" t="str">
        <f t="shared" si="8"/>
        <v/>
      </c>
      <c r="K183">
        <f t="shared" si="9"/>
        <v>0.9999723479064222</v>
      </c>
      <c r="M183">
        <f t="shared" si="10"/>
        <v>1.1769070330224524E-4</v>
      </c>
      <c r="N183">
        <f t="shared" si="11"/>
        <v>1.1769070330224524E-4</v>
      </c>
    </row>
    <row r="184" spans="3:14" x14ac:dyDescent="0.2">
      <c r="C184">
        <f t="shared" si="12"/>
        <v>83</v>
      </c>
      <c r="D184">
        <f t="shared" si="13"/>
        <v>-4.008</v>
      </c>
      <c r="E184">
        <f t="shared" si="7"/>
        <v>1.296113069062539E-4</v>
      </c>
      <c r="F184" t="str">
        <f t="shared" si="8"/>
        <v/>
      </c>
      <c r="K184">
        <f t="shared" si="9"/>
        <v>0.99996938243982503</v>
      </c>
      <c r="M184">
        <f t="shared" si="10"/>
        <v>1.296113069062539E-4</v>
      </c>
      <c r="N184">
        <f t="shared" si="11"/>
        <v>1.296113069062539E-4</v>
      </c>
    </row>
    <row r="185" spans="3:14" x14ac:dyDescent="0.2">
      <c r="C185">
        <f t="shared" si="12"/>
        <v>84</v>
      </c>
      <c r="D185">
        <f t="shared" si="13"/>
        <v>-3.984</v>
      </c>
      <c r="E185">
        <f t="shared" si="7"/>
        <v>1.4265712513176652E-4</v>
      </c>
      <c r="F185" t="str">
        <f t="shared" si="8"/>
        <v/>
      </c>
      <c r="K185">
        <f t="shared" si="9"/>
        <v>0.99996611756386233</v>
      </c>
      <c r="M185">
        <f t="shared" si="10"/>
        <v>1.4265712513176652E-4</v>
      </c>
      <c r="N185">
        <f t="shared" si="11"/>
        <v>1.4265712513176652E-4</v>
      </c>
    </row>
    <row r="186" spans="3:14" x14ac:dyDescent="0.2">
      <c r="C186">
        <f t="shared" si="12"/>
        <v>85</v>
      </c>
      <c r="D186">
        <f t="shared" si="13"/>
        <v>-3.96</v>
      </c>
      <c r="E186">
        <f t="shared" si="7"/>
        <v>1.5692563406553226E-4</v>
      </c>
      <c r="F186" t="str">
        <f t="shared" si="8"/>
        <v/>
      </c>
      <c r="K186">
        <f t="shared" si="9"/>
        <v>0.99996252511830896</v>
      </c>
      <c r="M186">
        <f t="shared" si="10"/>
        <v>1.5692563406553226E-4</v>
      </c>
      <c r="N186">
        <f t="shared" si="11"/>
        <v>1.5692563406553226E-4</v>
      </c>
    </row>
    <row r="187" spans="3:14" x14ac:dyDescent="0.2">
      <c r="C187">
        <f t="shared" si="12"/>
        <v>86</v>
      </c>
      <c r="D187">
        <f t="shared" si="13"/>
        <v>-3.9359999999999999</v>
      </c>
      <c r="E187">
        <f t="shared" si="7"/>
        <v>1.7252187236626288E-4</v>
      </c>
      <c r="F187" t="str">
        <f t="shared" si="8"/>
        <v/>
      </c>
      <c r="K187">
        <f t="shared" si="9"/>
        <v>0.99995857451374215</v>
      </c>
      <c r="M187">
        <f t="shared" si="10"/>
        <v>1.7252187236626288E-4</v>
      </c>
      <c r="N187">
        <f t="shared" si="11"/>
        <v>1.7252187236626288E-4</v>
      </c>
    </row>
    <row r="188" spans="3:14" x14ac:dyDescent="0.2">
      <c r="C188">
        <f t="shared" si="12"/>
        <v>87</v>
      </c>
      <c r="D188">
        <f t="shared" si="13"/>
        <v>-3.9119999999999999</v>
      </c>
      <c r="E188">
        <f t="shared" si="7"/>
        <v>1.8955894371021315E-4</v>
      </c>
      <c r="F188" t="str">
        <f t="shared" si="8"/>
        <v/>
      </c>
      <c r="K188">
        <f t="shared" si="9"/>
        <v>0.99995423254406168</v>
      </c>
      <c r="M188">
        <f t="shared" si="10"/>
        <v>1.8955894371021315E-4</v>
      </c>
      <c r="N188">
        <f t="shared" si="11"/>
        <v>1.8955894371021315E-4</v>
      </c>
    </row>
    <row r="189" spans="3:14" x14ac:dyDescent="0.2">
      <c r="C189">
        <f t="shared" si="12"/>
        <v>88</v>
      </c>
      <c r="D189">
        <f t="shared" si="13"/>
        <v>-3.8879999999999999</v>
      </c>
      <c r="E189">
        <f t="shared" si="7"/>
        <v>2.0815854496572918E-4</v>
      </c>
      <c r="F189" t="str">
        <f t="shared" si="8"/>
        <v/>
      </c>
      <c r="K189">
        <f t="shared" si="9"/>
        <v>0.99994946318664324</v>
      </c>
      <c r="M189">
        <f t="shared" si="10"/>
        <v>2.0815854496572918E-4</v>
      </c>
      <c r="N189">
        <f t="shared" si="11"/>
        <v>2.0815854496572918E-4</v>
      </c>
    </row>
    <row r="190" spans="3:14" x14ac:dyDescent="0.2">
      <c r="C190">
        <f t="shared" si="12"/>
        <v>89</v>
      </c>
      <c r="D190">
        <f t="shared" si="13"/>
        <v>-3.8639999999999999</v>
      </c>
      <c r="E190">
        <f t="shared" si="7"/>
        <v>2.2845152073967242E-4</v>
      </c>
      <c r="F190" t="str">
        <f t="shared" si="8"/>
        <v/>
      </c>
      <c r="K190">
        <f t="shared" si="9"/>
        <v>0.99994422738950073</v>
      </c>
      <c r="M190">
        <f t="shared" si="10"/>
        <v>2.2845152073967242E-4</v>
      </c>
      <c r="N190">
        <f t="shared" si="11"/>
        <v>2.2845152073967242E-4</v>
      </c>
    </row>
    <row r="191" spans="3:14" x14ac:dyDescent="0.2">
      <c r="C191">
        <f t="shared" si="12"/>
        <v>90</v>
      </c>
      <c r="D191">
        <f t="shared" si="13"/>
        <v>-3.84</v>
      </c>
      <c r="E191">
        <f t="shared" si="7"/>
        <v>2.5057844489086075E-4</v>
      </c>
      <c r="F191" t="str">
        <f t="shared" si="8"/>
        <v/>
      </c>
      <c r="K191">
        <f t="shared" si="9"/>
        <v>0.99993848284481679</v>
      </c>
      <c r="M191">
        <f t="shared" si="10"/>
        <v>2.5057844489086075E-4</v>
      </c>
      <c r="N191">
        <f t="shared" si="11"/>
        <v>2.5057844489086075E-4</v>
      </c>
    </row>
    <row r="192" spans="3:14" x14ac:dyDescent="0.2">
      <c r="C192">
        <f t="shared" si="12"/>
        <v>91</v>
      </c>
      <c r="D192">
        <f t="shared" si="13"/>
        <v>-3.8159999999999998</v>
      </c>
      <c r="E192">
        <f t="shared" si="7"/>
        <v>2.7469022955031567E-4</v>
      </c>
      <c r="F192" t="str">
        <f t="shared" si="8"/>
        <v/>
      </c>
      <c r="K192">
        <f t="shared" si="9"/>
        <v>0.99993218374818782</v>
      </c>
      <c r="M192">
        <f t="shared" si="10"/>
        <v>2.7469022955031567E-4</v>
      </c>
      <c r="N192">
        <f t="shared" si="11"/>
        <v>2.7469022955031567E-4</v>
      </c>
    </row>
    <row r="193" spans="3:14" x14ac:dyDescent="0.2">
      <c r="C193">
        <f t="shared" si="12"/>
        <v>92</v>
      </c>
      <c r="D193">
        <f t="shared" si="13"/>
        <v>-3.7919999999999998</v>
      </c>
      <c r="E193">
        <f t="shared" si="7"/>
        <v>3.0094876212471999E-4</v>
      </c>
      <c r="F193" t="str">
        <f t="shared" si="8"/>
        <v/>
      </c>
      <c r="K193">
        <f t="shared" si="9"/>
        <v>0.99992528054291829</v>
      </c>
      <c r="M193">
        <f t="shared" si="10"/>
        <v>3.0094876212471999E-4</v>
      </c>
      <c r="N193">
        <f t="shared" si="11"/>
        <v>3.0094876212471999E-4</v>
      </c>
    </row>
    <row r="194" spans="3:14" x14ac:dyDescent="0.2">
      <c r="C194">
        <f t="shared" si="12"/>
        <v>93</v>
      </c>
      <c r="D194">
        <f t="shared" si="13"/>
        <v>-3.7679999999999998</v>
      </c>
      <c r="E194">
        <f t="shared" si="7"/>
        <v>3.2952757068762962E-4</v>
      </c>
      <c r="F194" t="str">
        <f t="shared" si="8"/>
        <v/>
      </c>
      <c r="K194">
        <f t="shared" si="9"/>
        <v>0.99991771964868625</v>
      </c>
      <c r="M194">
        <f t="shared" si="10"/>
        <v>3.2952757068762962E-4</v>
      </c>
      <c r="N194">
        <f t="shared" si="11"/>
        <v>3.2952757068762962E-4</v>
      </c>
    </row>
    <row r="195" spans="3:14" x14ac:dyDescent="0.2">
      <c r="C195">
        <f t="shared" si="12"/>
        <v>94</v>
      </c>
      <c r="D195">
        <f t="shared" si="13"/>
        <v>-3.7440000000000002</v>
      </c>
      <c r="E195">
        <f t="shared" si="7"/>
        <v>3.6061251808220741E-4</v>
      </c>
      <c r="F195" t="str">
        <f t="shared" si="8"/>
        <v/>
      </c>
      <c r="K195">
        <f t="shared" si="9"/>
        <v>0.99990944317389574</v>
      </c>
      <c r="M195">
        <f t="shared" si="10"/>
        <v>3.6061251808220741E-4</v>
      </c>
      <c r="N195">
        <f t="shared" si="11"/>
        <v>3.6061251808220741E-4</v>
      </c>
    </row>
    <row r="196" spans="3:14" x14ac:dyDescent="0.2">
      <c r="C196">
        <f t="shared" si="12"/>
        <v>95</v>
      </c>
      <c r="D196">
        <f t="shared" si="13"/>
        <v>-3.72</v>
      </c>
      <c r="E196">
        <f t="shared" si="7"/>
        <v>3.9440252496915622E-4</v>
      </c>
      <c r="F196" t="str">
        <f t="shared" si="8"/>
        <v/>
      </c>
      <c r="K196">
        <f t="shared" si="9"/>
        <v>0.99990038861102404</v>
      </c>
      <c r="M196">
        <f t="shared" si="10"/>
        <v>3.9440252496915622E-4</v>
      </c>
      <c r="N196">
        <f t="shared" si="11"/>
        <v>3.9440252496915622E-4</v>
      </c>
    </row>
    <row r="197" spans="3:14" x14ac:dyDescent="0.2">
      <c r="C197">
        <f t="shared" si="12"/>
        <v>96</v>
      </c>
      <c r="D197">
        <f t="shared" si="13"/>
        <v>-3.6960000000000002</v>
      </c>
      <c r="E197">
        <f t="shared" si="7"/>
        <v>4.3111032195367602E-4</v>
      </c>
      <c r="F197" t="str">
        <f t="shared" si="8"/>
        <v/>
      </c>
      <c r="K197">
        <f t="shared" si="9"/>
        <v>0.99989048851426654</v>
      </c>
      <c r="M197">
        <f t="shared" si="10"/>
        <v>4.3111032195367602E-4</v>
      </c>
      <c r="N197">
        <f t="shared" si="11"/>
        <v>4.3111032195367602E-4</v>
      </c>
    </row>
    <row r="198" spans="3:14" x14ac:dyDescent="0.2">
      <c r="C198">
        <f t="shared" si="12"/>
        <v>97</v>
      </c>
      <c r="D198">
        <f t="shared" si="13"/>
        <v>-3.6720000000000002</v>
      </c>
      <c r="E198">
        <f t="shared" si="7"/>
        <v>4.7096323081532949E-4</v>
      </c>
      <c r="F198" t="str">
        <f t="shared" si="8"/>
        <v/>
      </c>
      <c r="K198">
        <f t="shared" si="9"/>
        <v>0.99987967015878143</v>
      </c>
      <c r="M198">
        <f t="shared" si="10"/>
        <v>4.7096323081532949E-4</v>
      </c>
      <c r="N198">
        <f t="shared" si="11"/>
        <v>4.7096323081532949E-4</v>
      </c>
    </row>
    <row r="199" spans="3:14" x14ac:dyDescent="0.2">
      <c r="C199">
        <f t="shared" si="12"/>
        <v>98</v>
      </c>
      <c r="D199">
        <f t="shared" si="13"/>
        <v>-3.6480000000000001</v>
      </c>
      <c r="E199">
        <f t="shared" si="7"/>
        <v>5.1420397474424319E-4</v>
      </c>
      <c r="F199" t="str">
        <f t="shared" si="8"/>
        <v/>
      </c>
      <c r="K199">
        <f t="shared" si="9"/>
        <v>0.99986785518083676</v>
      </c>
      <c r="M199">
        <f t="shared" si="10"/>
        <v>5.1420397474424319E-4</v>
      </c>
      <c r="N199">
        <f t="shared" si="11"/>
        <v>5.1420397474424319E-4</v>
      </c>
    </row>
    <row r="200" spans="3:14" x14ac:dyDescent="0.2">
      <c r="C200">
        <f t="shared" si="12"/>
        <v>99</v>
      </c>
      <c r="D200">
        <f t="shared" si="13"/>
        <v>-3.6240000000000001</v>
      </c>
      <c r="E200">
        <f t="shared" si="7"/>
        <v>5.6109151735582138E-4</v>
      </c>
      <c r="F200" t="str">
        <f t="shared" si="8"/>
        <v/>
      </c>
      <c r="K200">
        <f t="shared" si="9"/>
        <v>0.99985495919816547</v>
      </c>
      <c r="M200">
        <f t="shared" si="10"/>
        <v>5.6109151735582138E-4</v>
      </c>
      <c r="N200">
        <f t="shared" si="11"/>
        <v>5.6109151735582138E-4</v>
      </c>
    </row>
    <row r="201" spans="3:14" x14ac:dyDescent="0.2">
      <c r="C201">
        <f t="shared" si="12"/>
        <v>100</v>
      </c>
      <c r="D201">
        <f t="shared" si="13"/>
        <v>-3.6</v>
      </c>
      <c r="E201">
        <f t="shared" si="7"/>
        <v>6.119019301137719E-4</v>
      </c>
      <c r="F201" t="str">
        <f t="shared" si="8"/>
        <v/>
      </c>
      <c r="K201">
        <f t="shared" si="9"/>
        <v>0.99984089140984245</v>
      </c>
      <c r="M201">
        <f t="shared" si="10"/>
        <v>6.119019301137719E-4</v>
      </c>
      <c r="N201">
        <f t="shared" si="11"/>
        <v>6.119019301137719E-4</v>
      </c>
    </row>
    <row r="202" spans="3:14" x14ac:dyDescent="0.2">
      <c r="C202">
        <f t="shared" si="12"/>
        <v>101</v>
      </c>
      <c r="D202">
        <f t="shared" si="13"/>
        <v>-3.5760000000000001</v>
      </c>
      <c r="E202">
        <f t="shared" si="7"/>
        <v>6.6692928763750227E-4</v>
      </c>
      <c r="F202" t="str">
        <f t="shared" si="8"/>
        <v/>
      </c>
      <c r="K202">
        <f t="shared" si="9"/>
        <v>0.99982555417500785</v>
      </c>
      <c r="M202">
        <f t="shared" si="10"/>
        <v>6.6692928763750227E-4</v>
      </c>
      <c r="N202">
        <f t="shared" si="11"/>
        <v>6.6692928763750227E-4</v>
      </c>
    </row>
    <row r="203" spans="3:14" x14ac:dyDescent="0.2">
      <c r="C203">
        <f t="shared" si="12"/>
        <v>102</v>
      </c>
      <c r="D203">
        <f t="shared" si="13"/>
        <v>-3.552</v>
      </c>
      <c r="E203">
        <f t="shared" si="7"/>
        <v>7.2648659020460105E-4</v>
      </c>
      <c r="F203" t="str">
        <f t="shared" si="8"/>
        <v/>
      </c>
      <c r="K203">
        <f t="shared" si="9"/>
        <v>0.99980884256977454</v>
      </c>
      <c r="M203">
        <f t="shared" si="10"/>
        <v>7.2648659020460105E-4</v>
      </c>
      <c r="N203">
        <f t="shared" si="11"/>
        <v>7.2648659020460105E-4</v>
      </c>
    </row>
    <row r="204" spans="3:14" x14ac:dyDescent="0.2">
      <c r="C204">
        <f t="shared" si="12"/>
        <v>103</v>
      </c>
      <c r="D204">
        <f t="shared" si="13"/>
        <v>-3.528</v>
      </c>
      <c r="E204">
        <f t="shared" si="7"/>
        <v>7.9090671258203761E-4</v>
      </c>
      <c r="F204" t="str">
        <f t="shared" si="8"/>
        <v/>
      </c>
      <c r="K204">
        <f t="shared" si="9"/>
        <v>0.99979064392167838</v>
      </c>
      <c r="M204">
        <f t="shared" si="10"/>
        <v>7.9090671258203761E-4</v>
      </c>
      <c r="N204">
        <f t="shared" si="11"/>
        <v>7.9090671258203761E-4</v>
      </c>
    </row>
    <row r="205" spans="3:14" x14ac:dyDescent="0.2">
      <c r="C205">
        <f t="shared" si="12"/>
        <v>104</v>
      </c>
      <c r="D205">
        <f t="shared" si="13"/>
        <v>-3.504</v>
      </c>
      <c r="E205">
        <f t="shared" si="7"/>
        <v>8.605433781307579E-4</v>
      </c>
      <c r="F205" t="str">
        <f t="shared" si="8"/>
        <v/>
      </c>
      <c r="K205">
        <f t="shared" si="9"/>
        <v>0.99977083732105032</v>
      </c>
      <c r="M205">
        <f t="shared" si="10"/>
        <v>8.605433781307579E-4</v>
      </c>
      <c r="N205">
        <f t="shared" si="11"/>
        <v>8.605433781307579E-4</v>
      </c>
    </row>
    <row r="206" spans="3:14" x14ac:dyDescent="0.2">
      <c r="C206">
        <f t="shared" si="12"/>
        <v>105</v>
      </c>
      <c r="D206">
        <f t="shared" si="13"/>
        <v>-3.48</v>
      </c>
      <c r="E206">
        <f t="shared" si="7"/>
        <v>9.3577215692747977E-4</v>
      </c>
      <c r="F206" t="str">
        <f t="shared" si="8"/>
        <v/>
      </c>
      <c r="K206">
        <f t="shared" si="9"/>
        <v>0.99974929310871952</v>
      </c>
      <c r="M206">
        <f t="shared" si="10"/>
        <v>9.3577215692747977E-4</v>
      </c>
      <c r="N206">
        <f t="shared" si="11"/>
        <v>9.3577215692747977E-4</v>
      </c>
    </row>
    <row r="207" spans="3:14" x14ac:dyDescent="0.2">
      <c r="C207">
        <f t="shared" si="12"/>
        <v>106</v>
      </c>
      <c r="D207">
        <f t="shared" si="13"/>
        <v>-3.456</v>
      </c>
      <c r="E207">
        <f t="shared" si="7"/>
        <v>1.0169914864347645E-3</v>
      </c>
      <c r="F207" t="str">
        <f t="shared" si="8"/>
        <v/>
      </c>
      <c r="K207">
        <f t="shared" si="9"/>
        <v>0.99972587233948729</v>
      </c>
      <c r="M207">
        <f t="shared" si="10"/>
        <v>1.0169914864347645E-3</v>
      </c>
      <c r="N207">
        <f t="shared" si="11"/>
        <v>1.0169914864347645E-3</v>
      </c>
    </row>
    <row r="208" spans="3:14" x14ac:dyDescent="0.2">
      <c r="C208">
        <f t="shared" si="12"/>
        <v>107</v>
      </c>
      <c r="D208">
        <f t="shared" si="13"/>
        <v>-3.4319999999999999</v>
      </c>
      <c r="E208">
        <f t="shared" si="7"/>
        <v>1.1046237130258381E-3</v>
      </c>
      <c r="F208" t="str">
        <f t="shared" si="8"/>
        <v/>
      </c>
      <c r="K208">
        <f t="shared" si="9"/>
        <v>0.99970042622085187</v>
      </c>
      <c r="M208">
        <f t="shared" si="10"/>
        <v>1.1046237130258381E-3</v>
      </c>
      <c r="N208">
        <f t="shared" si="11"/>
        <v>1.1046237130258381E-3</v>
      </c>
    </row>
    <row r="209" spans="3:14" x14ac:dyDescent="0.2">
      <c r="C209">
        <f t="shared" si="12"/>
        <v>108</v>
      </c>
      <c r="D209">
        <f t="shared" si="13"/>
        <v>-3.4079999999999999</v>
      </c>
      <c r="E209">
        <f t="shared" si="7"/>
        <v>1.1991161524345093E-3</v>
      </c>
      <c r="F209" t="str">
        <f t="shared" si="8"/>
        <v/>
      </c>
      <c r="K209">
        <f t="shared" si="9"/>
        <v>0.99967279552650479</v>
      </c>
      <c r="M209">
        <f t="shared" si="10"/>
        <v>1.1991161524345093E-3</v>
      </c>
      <c r="N209">
        <f t="shared" si="11"/>
        <v>1.1991161524345093E-3</v>
      </c>
    </row>
    <row r="210" spans="3:14" x14ac:dyDescent="0.2">
      <c r="C210">
        <f t="shared" si="12"/>
        <v>109</v>
      </c>
      <c r="D210">
        <f t="shared" si="13"/>
        <v>-3.3839999999999999</v>
      </c>
      <c r="E210">
        <f t="shared" si="7"/>
        <v>1.3009421669529307E-3</v>
      </c>
      <c r="F210" t="str">
        <f t="shared" si="8"/>
        <v/>
      </c>
      <c r="K210">
        <f t="shared" si="9"/>
        <v>0.99964280998417065</v>
      </c>
      <c r="M210">
        <f t="shared" si="10"/>
        <v>1.3009421669529307E-3</v>
      </c>
      <c r="N210">
        <f t="shared" si="11"/>
        <v>1.3009421669529307E-3</v>
      </c>
    </row>
    <row r="211" spans="3:14" x14ac:dyDescent="0.2">
      <c r="C211">
        <f t="shared" si="12"/>
        <v>110</v>
      </c>
      <c r="D211">
        <f t="shared" si="13"/>
        <v>-3.36</v>
      </c>
      <c r="E211">
        <f t="shared" si="7"/>
        <v>1.4106022569413848E-3</v>
      </c>
      <c r="F211" t="str">
        <f t="shared" si="8"/>
        <v/>
      </c>
      <c r="K211">
        <f t="shared" si="9"/>
        <v>0.99961028763741799</v>
      </c>
      <c r="M211">
        <f t="shared" si="10"/>
        <v>1.4106022569413848E-3</v>
      </c>
      <c r="N211">
        <f t="shared" si="11"/>
        <v>1.4106022569413848E-3</v>
      </c>
    </row>
    <row r="212" spans="3:14" x14ac:dyDescent="0.2">
      <c r="C212">
        <f t="shared" si="12"/>
        <v>111</v>
      </c>
      <c r="D212">
        <f t="shared" si="13"/>
        <v>-3.3359999999999999</v>
      </c>
      <c r="E212">
        <f t="shared" si="7"/>
        <v>1.528625163945144E-3</v>
      </c>
      <c r="F212" t="str">
        <f t="shared" si="8"/>
        <v/>
      </c>
      <c r="K212">
        <f t="shared" si="9"/>
        <v>0.99957503418112859</v>
      </c>
      <c r="M212">
        <f t="shared" si="10"/>
        <v>1.528625163945144E-3</v>
      </c>
      <c r="N212">
        <f t="shared" si="11"/>
        <v>1.528625163945144E-3</v>
      </c>
    </row>
    <row r="213" spans="3:14" x14ac:dyDescent="0.2">
      <c r="C213">
        <f t="shared" si="12"/>
        <v>112</v>
      </c>
      <c r="D213">
        <f t="shared" si="13"/>
        <v>-3.3119999999999998</v>
      </c>
      <c r="E213">
        <f t="shared" si="7"/>
        <v>1.6555689824342061E-3</v>
      </c>
      <c r="F213" t="str">
        <f t="shared" si="8"/>
        <v/>
      </c>
      <c r="K213">
        <f t="shared" si="9"/>
        <v>0.99953684227038198</v>
      </c>
      <c r="M213">
        <f t="shared" si="10"/>
        <v>1.6555689824342061E-3</v>
      </c>
      <c r="N213">
        <f t="shared" si="11"/>
        <v>1.6555689824342061E-3</v>
      </c>
    </row>
    <row r="214" spans="3:14" x14ac:dyDescent="0.2">
      <c r="C214">
        <f t="shared" si="12"/>
        <v>113</v>
      </c>
      <c r="D214">
        <f t="shared" si="13"/>
        <v>-3.2879999999999998</v>
      </c>
      <c r="E214">
        <f t="shared" si="7"/>
        <v>1.7920222768931734E-3</v>
      </c>
      <c r="F214" t="str">
        <f t="shared" si="8"/>
        <v/>
      </c>
      <c r="K214">
        <f t="shared" si="9"/>
        <v>0.9994954908025877</v>
      </c>
      <c r="M214">
        <f t="shared" si="10"/>
        <v>1.7920222768931734E-3</v>
      </c>
      <c r="N214">
        <f t="shared" si="11"/>
        <v>1.7920222768931734E-3</v>
      </c>
    </row>
    <row r="215" spans="3:14" x14ac:dyDescent="0.2">
      <c r="C215">
        <f t="shared" si="12"/>
        <v>114</v>
      </c>
      <c r="D215">
        <f t="shared" si="13"/>
        <v>-3.2639999999999998</v>
      </c>
      <c r="E215">
        <f t="shared" si="7"/>
        <v>1.9386052006913181E-3</v>
      </c>
      <c r="F215" t="str">
        <f t="shared" si="8"/>
        <v/>
      </c>
      <c r="K215">
        <f t="shared" si="9"/>
        <v>0.99945074417277813</v>
      </c>
      <c r="M215">
        <f t="shared" si="10"/>
        <v>1.9386052006913181E-3</v>
      </c>
      <c r="N215">
        <f t="shared" si="11"/>
        <v>1.9386052006913181E-3</v>
      </c>
    </row>
    <row r="216" spans="3:14" x14ac:dyDescent="0.2">
      <c r="C216">
        <f t="shared" si="12"/>
        <v>115</v>
      </c>
      <c r="D216">
        <f t="shared" si="13"/>
        <v>-3.24</v>
      </c>
      <c r="E216">
        <f t="shared" si="7"/>
        <v>2.0959706128579419E-3</v>
      </c>
      <c r="F216" t="str">
        <f t="shared" si="8"/>
        <v/>
      </c>
      <c r="K216">
        <f t="shared" si="9"/>
        <v>0.99940235150206558</v>
      </c>
      <c r="M216">
        <f t="shared" si="10"/>
        <v>2.0959706128579419E-3</v>
      </c>
      <c r="N216">
        <f t="shared" si="11"/>
        <v>2.0959706128579419E-3</v>
      </c>
    </row>
    <row r="217" spans="3:14" x14ac:dyDescent="0.2">
      <c r="C217">
        <f t="shared" si="12"/>
        <v>116</v>
      </c>
      <c r="D217">
        <f t="shared" si="13"/>
        <v>-3.2160000000000002</v>
      </c>
      <c r="E217">
        <f t="shared" si="7"/>
        <v>2.264805188576479E-3</v>
      </c>
      <c r="F217" t="str">
        <f t="shared" si="8"/>
        <v/>
      </c>
      <c r="K217">
        <f t="shared" si="9"/>
        <v>0.99935004583936393</v>
      </c>
      <c r="M217">
        <f t="shared" si="10"/>
        <v>2.264805188576479E-3</v>
      </c>
      <c r="N217">
        <f t="shared" si="11"/>
        <v>2.264805188576479E-3</v>
      </c>
    </row>
    <row r="218" spans="3:14" x14ac:dyDescent="0.2">
      <c r="C218">
        <f t="shared" si="12"/>
        <v>117</v>
      </c>
      <c r="D218">
        <f t="shared" si="13"/>
        <v>-3.1920000000000002</v>
      </c>
      <c r="E218">
        <f t="shared" si="7"/>
        <v>2.4458305188934013E-3</v>
      </c>
      <c r="F218" t="str">
        <f t="shared" si="8"/>
        <v/>
      </c>
      <c r="K218">
        <f t="shared" si="9"/>
        <v>0.99929354333657783</v>
      </c>
      <c r="M218">
        <f t="shared" si="10"/>
        <v>2.4458305188934013E-3</v>
      </c>
      <c r="N218">
        <f t="shared" si="11"/>
        <v>2.4458305188934013E-3</v>
      </c>
    </row>
    <row r="219" spans="3:14" x14ac:dyDescent="0.2">
      <c r="C219">
        <f t="shared" si="12"/>
        <v>118</v>
      </c>
      <c r="D219">
        <f t="shared" si="13"/>
        <v>-3.1680000000000001</v>
      </c>
      <c r="E219">
        <f t="shared" si="7"/>
        <v>2.6398041948164515E-3</v>
      </c>
      <c r="F219" t="str">
        <f t="shared" si="8"/>
        <v/>
      </c>
      <c r="K219">
        <f t="shared" si="9"/>
        <v>0.99923254239757653</v>
      </c>
      <c r="M219">
        <f t="shared" si="10"/>
        <v>2.6398041948164515E-3</v>
      </c>
      <c r="N219">
        <f t="shared" si="11"/>
        <v>2.6398041948164515E-3</v>
      </c>
    </row>
    <row r="220" spans="3:14" x14ac:dyDescent="0.2">
      <c r="C220">
        <f t="shared" si="12"/>
        <v>119</v>
      </c>
      <c r="D220">
        <f t="shared" si="13"/>
        <v>-3.1440000000000001</v>
      </c>
      <c r="E220">
        <f t="shared" si="7"/>
        <v>2.8475208706519421E-3</v>
      </c>
      <c r="F220" t="str">
        <f t="shared" si="8"/>
        <v/>
      </c>
      <c r="K220">
        <f t="shared" si="9"/>
        <v>0.99916672280138841</v>
      </c>
      <c r="M220">
        <f t="shared" si="10"/>
        <v>2.8475208706519421E-3</v>
      </c>
      <c r="N220">
        <f t="shared" si="11"/>
        <v>2.8475208706519421E-3</v>
      </c>
    </row>
    <row r="221" spans="3:14" x14ac:dyDescent="0.2">
      <c r="C221">
        <f t="shared" si="12"/>
        <v>120</v>
      </c>
      <c r="D221">
        <f t="shared" si="13"/>
        <v>-3.12</v>
      </c>
      <c r="E221">
        <f t="shared" si="7"/>
        <v>3.0698133011047403E-3</v>
      </c>
      <c r="F221" t="str">
        <f t="shared" si="8"/>
        <v/>
      </c>
      <c r="K221">
        <f t="shared" si="9"/>
        <v>0.99909574480017771</v>
      </c>
      <c r="M221">
        <f t="shared" si="10"/>
        <v>3.0698133011047403E-3</v>
      </c>
      <c r="N221">
        <f t="shared" si="11"/>
        <v>3.0698133011047403E-3</v>
      </c>
    </row>
    <row r="222" spans="3:14" x14ac:dyDescent="0.2">
      <c r="C222">
        <f t="shared" si="12"/>
        <v>121</v>
      </c>
      <c r="D222">
        <f t="shared" si="13"/>
        <v>-3.0960000000000001</v>
      </c>
      <c r="E222">
        <f t="shared" si="7"/>
        <v>3.3075533463386006E-3</v>
      </c>
      <c r="F222" t="str">
        <f t="shared" si="8"/>
        <v/>
      </c>
      <c r="K222">
        <f t="shared" si="9"/>
        <v>0.99901924819270449</v>
      </c>
      <c r="M222">
        <f t="shared" si="10"/>
        <v>3.3075533463386006E-3</v>
      </c>
      <c r="N222">
        <f t="shared" si="11"/>
        <v>3.3075533463386006E-3</v>
      </c>
    </row>
    <row r="223" spans="3:14" x14ac:dyDescent="0.2">
      <c r="C223">
        <f t="shared" si="12"/>
        <v>122</v>
      </c>
      <c r="D223">
        <f t="shared" si="13"/>
        <v>-3.0720000000000001</v>
      </c>
      <c r="E223">
        <f t="shared" si="7"/>
        <v>3.5616529388703346E-3</v>
      </c>
      <c r="F223" t="str">
        <f t="shared" si="8"/>
        <v/>
      </c>
      <c r="K223">
        <f t="shared" si="9"/>
        <v>0.99893685137410859</v>
      </c>
      <c r="M223">
        <f t="shared" si="10"/>
        <v>3.5616529388703346E-3</v>
      </c>
      <c r="N223">
        <f t="shared" si="11"/>
        <v>3.5616529388703346E-3</v>
      </c>
    </row>
    <row r="224" spans="3:14" x14ac:dyDescent="0.2">
      <c r="C224">
        <f t="shared" si="12"/>
        <v>123</v>
      </c>
      <c r="D224">
        <f t="shared" si="13"/>
        <v>-3.048</v>
      </c>
      <c r="E224">
        <f t="shared" si="7"/>
        <v>3.8330650058511109E-3</v>
      </c>
      <c r="F224" t="str">
        <f t="shared" si="8"/>
        <v/>
      </c>
      <c r="K224">
        <f t="shared" si="9"/>
        <v>0.99884815036300911</v>
      </c>
      <c r="M224">
        <f t="shared" si="10"/>
        <v>3.8330650058511109E-3</v>
      </c>
      <c r="N224">
        <f t="shared" si="11"/>
        <v>3.8330650058511109E-3</v>
      </c>
    </row>
    <row r="225" spans="3:14" x14ac:dyDescent="0.2">
      <c r="C225">
        <f t="shared" si="12"/>
        <v>124</v>
      </c>
      <c r="D225">
        <f t="shared" si="13"/>
        <v>-3.024</v>
      </c>
      <c r="E225">
        <f t="shared" si="7"/>
        <v>4.122784339973702E-3</v>
      </c>
      <c r="F225" t="str">
        <f t="shared" si="8"/>
        <v/>
      </c>
      <c r="K225">
        <f t="shared" si="9"/>
        <v>0.99875271780707342</v>
      </c>
      <c r="M225">
        <f t="shared" si="10"/>
        <v>4.122784339973702E-3</v>
      </c>
      <c r="N225">
        <f t="shared" si="11"/>
        <v>4.122784339973702E-3</v>
      </c>
    </row>
    <row r="226" spans="3:14" x14ac:dyDescent="0.2">
      <c r="C226">
        <f t="shared" si="12"/>
        <v>125</v>
      </c>
      <c r="D226">
        <f t="shared" si="13"/>
        <v>-3</v>
      </c>
      <c r="E226">
        <f t="shared" si="7"/>
        <v>4.4318484119380075E-3</v>
      </c>
      <c r="F226" t="str">
        <f t="shared" si="8"/>
        <v/>
      </c>
      <c r="K226">
        <f t="shared" si="9"/>
        <v>0.9986501019683699</v>
      </c>
      <c r="M226">
        <f t="shared" si="10"/>
        <v>4.4318484119380075E-3</v>
      </c>
      <c r="N226">
        <f t="shared" si="11"/>
        <v>4.4318484119380075E-3</v>
      </c>
    </row>
    <row r="227" spans="3:14" x14ac:dyDescent="0.2">
      <c r="C227">
        <f t="shared" si="12"/>
        <v>126</v>
      </c>
      <c r="D227">
        <f t="shared" si="13"/>
        <v>-2.976</v>
      </c>
      <c r="E227">
        <f t="shared" si="7"/>
        <v>4.7613381171110044E-3</v>
      </c>
      <c r="F227" t="str">
        <f t="shared" si="8"/>
        <v/>
      </c>
      <c r="K227">
        <f t="shared" si="9"/>
        <v>0.99853982568999677</v>
      </c>
      <c r="M227">
        <f t="shared" si="10"/>
        <v>4.7613381171110044E-3</v>
      </c>
      <c r="N227">
        <f t="shared" si="11"/>
        <v>4.7613381171110044E-3</v>
      </c>
    </row>
    <row r="228" spans="3:14" x14ac:dyDescent="0.2">
      <c r="C228">
        <f t="shared" si="12"/>
        <v>127</v>
      </c>
      <c r="D228">
        <f t="shared" si="13"/>
        <v>-2.952</v>
      </c>
      <c r="E228">
        <f t="shared" si="7"/>
        <v>5.1123784487336638E-3</v>
      </c>
      <c r="F228" t="str">
        <f t="shared" si="8"/>
        <v/>
      </c>
      <c r="K228">
        <f t="shared" si="9"/>
        <v>0.99842138534565705</v>
      </c>
      <c r="M228">
        <f t="shared" si="10"/>
        <v>5.1123784487336638E-3</v>
      </c>
      <c r="N228">
        <f t="shared" si="11"/>
        <v>5.1123784487336638E-3</v>
      </c>
    </row>
    <row r="229" spans="3:14" x14ac:dyDescent="0.2">
      <c r="C229">
        <f t="shared" si="12"/>
        <v>128</v>
      </c>
      <c r="D229">
        <f t="shared" si="13"/>
        <v>-2.9279999999999999</v>
      </c>
      <c r="E229">
        <f t="shared" ref="E229:E292" si="14">NORMDIST(D229,mu,sigma,0)</f>
        <v>5.4861390897588055E-3</v>
      </c>
      <c r="F229" t="str">
        <f t="shared" ref="F229:F292" si="15">IF(D229&gt;onevalue,E229,"")</f>
        <v/>
      </c>
      <c r="K229">
        <f t="shared" ref="K229:K292" si="16">1-NORMDIST(D229,mu,sigma,1)</f>
        <v>0.99829424977403669</v>
      </c>
      <c r="M229">
        <f t="shared" ref="M229:M292" si="17">IF($D229&lt;onevalue,$E229,"")</f>
        <v>5.4861390897588055E-3</v>
      </c>
      <c r="N229">
        <f t="shared" ref="N229:N292" si="18">IF(ABS($D229)&gt;=ABS(onevalue),$E229,"")</f>
        <v>5.4861390897588055E-3</v>
      </c>
    </row>
    <row r="230" spans="3:14" x14ac:dyDescent="0.2">
      <c r="C230">
        <f t="shared" ref="C230:C293" si="19">ROW(C230)-101</f>
        <v>129</v>
      </c>
      <c r="D230">
        <f t="shared" ref="D230:D293" si="20">$B$100+($B$101-$B$100)*C230/$B$102</f>
        <v>-2.9039999999999999</v>
      </c>
      <c r="E230">
        <f t="shared" si="14"/>
        <v>5.883834915153101E-3</v>
      </c>
      <c r="F230" t="str">
        <f t="shared" si="15"/>
        <v/>
      </c>
      <c r="K230">
        <f t="shared" si="16"/>
        <v>0.99815785920003608</v>
      </c>
      <c r="M230">
        <f t="shared" si="17"/>
        <v>5.883834915153101E-3</v>
      </c>
      <c r="N230">
        <f t="shared" si="18"/>
        <v>5.883834915153101E-3</v>
      </c>
    </row>
    <row r="231" spans="3:14" x14ac:dyDescent="0.2">
      <c r="C231">
        <f t="shared" si="19"/>
        <v>130</v>
      </c>
      <c r="D231">
        <f t="shared" si="20"/>
        <v>-2.88</v>
      </c>
      <c r="E231">
        <f t="shared" si="14"/>
        <v>6.3067263962659275E-3</v>
      </c>
      <c r="F231" t="str">
        <f t="shared" si="15"/>
        <v/>
      </c>
      <c r="K231">
        <f t="shared" si="16"/>
        <v>0.99801162414510569</v>
      </c>
      <c r="M231">
        <f t="shared" si="17"/>
        <v>6.3067263962659275E-3</v>
      </c>
      <c r="N231">
        <f t="shared" si="18"/>
        <v>6.3067263962659275E-3</v>
      </c>
    </row>
    <row r="232" spans="3:14" x14ac:dyDescent="0.2">
      <c r="C232">
        <f t="shared" si="19"/>
        <v>131</v>
      </c>
      <c r="D232">
        <f t="shared" si="20"/>
        <v>-2.8559999999999999</v>
      </c>
      <c r="E232">
        <f t="shared" si="14"/>
        <v>6.7561198986603012E-3</v>
      </c>
      <c r="F232" t="str">
        <f t="shared" si="15"/>
        <v/>
      </c>
      <c r="K232">
        <f t="shared" si="16"/>
        <v>0.99785492432913614</v>
      </c>
      <c r="M232">
        <f t="shared" si="17"/>
        <v>6.7561198986603012E-3</v>
      </c>
      <c r="N232">
        <f t="shared" si="18"/>
        <v>6.7561198986603012E-3</v>
      </c>
    </row>
    <row r="233" spans="3:14" x14ac:dyDescent="0.2">
      <c r="C233">
        <f t="shared" si="19"/>
        <v>132</v>
      </c>
      <c r="D233">
        <f t="shared" si="20"/>
        <v>-2.8319999999999999</v>
      </c>
      <c r="E233">
        <f t="shared" si="14"/>
        <v>7.2333678646196876E-3</v>
      </c>
      <c r="F233" t="str">
        <f t="shared" si="15"/>
        <v/>
      </c>
      <c r="K233">
        <f t="shared" si="16"/>
        <v>0.99768710756656831</v>
      </c>
      <c r="M233">
        <f t="shared" si="17"/>
        <v>7.2333678646196876E-3</v>
      </c>
      <c r="N233">
        <f t="shared" si="18"/>
        <v>7.2333678646196876E-3</v>
      </c>
    </row>
    <row r="234" spans="3:14" x14ac:dyDescent="0.2">
      <c r="C234">
        <f t="shared" si="19"/>
        <v>133</v>
      </c>
      <c r="D234">
        <f t="shared" si="20"/>
        <v>-2.8079999999999998</v>
      </c>
      <c r="E234">
        <f t="shared" si="14"/>
        <v>7.739868871391698E-3</v>
      </c>
      <c r="F234" t="str">
        <f t="shared" si="15"/>
        <v/>
      </c>
      <c r="K234">
        <f t="shared" si="16"/>
        <v>0.99750748865959504</v>
      </c>
      <c r="M234">
        <f t="shared" si="17"/>
        <v>7.739868871391698E-3</v>
      </c>
      <c r="N234">
        <f t="shared" si="18"/>
        <v>7.739868871391698E-3</v>
      </c>
    </row>
    <row r="235" spans="3:14" x14ac:dyDescent="0.2">
      <c r="C235">
        <f t="shared" si="19"/>
        <v>134</v>
      </c>
      <c r="D235">
        <f t="shared" si="20"/>
        <v>-2.7839999999999998</v>
      </c>
      <c r="E235">
        <f t="shared" si="14"/>
        <v>8.2770675561084951E-3</v>
      </c>
      <c r="F235" t="str">
        <f t="shared" si="15"/>
        <v/>
      </c>
      <c r="K235">
        <f t="shared" si="16"/>
        <v>0.99731534829154744</v>
      </c>
      <c r="M235">
        <f t="shared" si="17"/>
        <v>8.2770675561084951E-3</v>
      </c>
      <c r="N235">
        <f t="shared" si="18"/>
        <v>8.2770675561084951E-3</v>
      </c>
    </row>
    <row r="236" spans="3:14" x14ac:dyDescent="0.2">
      <c r="C236">
        <f t="shared" si="19"/>
        <v>135</v>
      </c>
      <c r="D236">
        <f t="shared" si="20"/>
        <v>-2.76</v>
      </c>
      <c r="E236">
        <f t="shared" si="14"/>
        <v>8.8464543982372315E-3</v>
      </c>
      <c r="F236" t="str">
        <f t="shared" si="15"/>
        <v/>
      </c>
      <c r="K236">
        <f t="shared" si="16"/>
        <v>0.99710993192377384</v>
      </c>
      <c r="M236">
        <f t="shared" si="17"/>
        <v>8.8464543982372315E-3</v>
      </c>
      <c r="N236">
        <f t="shared" si="18"/>
        <v>8.8464543982372315E-3</v>
      </c>
    </row>
    <row r="237" spans="3:14" x14ac:dyDescent="0.2">
      <c r="C237">
        <f t="shared" si="19"/>
        <v>136</v>
      </c>
      <c r="D237">
        <f t="shared" si="20"/>
        <v>-2.7360000000000002</v>
      </c>
      <c r="E237">
        <f t="shared" si="14"/>
        <v>9.4495653503647182E-3</v>
      </c>
      <c r="F237" t="str">
        <f t="shared" si="15"/>
        <v/>
      </c>
      <c r="K237">
        <f t="shared" si="16"/>
        <v>0.99689044869954224</v>
      </c>
      <c r="M237">
        <f t="shared" si="17"/>
        <v>9.4495653503647182E-3</v>
      </c>
      <c r="N237">
        <f t="shared" si="18"/>
        <v>9.4495653503647182E-3</v>
      </c>
    </row>
    <row r="238" spans="3:14" x14ac:dyDescent="0.2">
      <c r="C238">
        <f t="shared" si="19"/>
        <v>137</v>
      </c>
      <c r="D238">
        <f t="shared" si="20"/>
        <v>-2.7120000000000002</v>
      </c>
      <c r="E238">
        <f t="shared" si="14"/>
        <v>1.0087981308111881E-2</v>
      </c>
      <c r="F238" t="str">
        <f t="shared" si="15"/>
        <v/>
      </c>
      <c r="K238">
        <f t="shared" si="16"/>
        <v>0.99665607035871517</v>
      </c>
      <c r="M238">
        <f t="shared" si="17"/>
        <v>1.0087981308111881E-2</v>
      </c>
      <c r="N238">
        <f t="shared" si="18"/>
        <v>1.0087981308111881E-2</v>
      </c>
    </row>
    <row r="239" spans="3:14" x14ac:dyDescent="0.2">
      <c r="C239">
        <f t="shared" si="19"/>
        <v>138</v>
      </c>
      <c r="D239">
        <f t="shared" si="20"/>
        <v>-2.6880000000000002</v>
      </c>
      <c r="E239">
        <f t="shared" si="14"/>
        <v>1.0763327410007743E-2</v>
      </c>
      <c r="F239" t="str">
        <f t="shared" si="15"/>
        <v/>
      </c>
      <c r="K239">
        <f t="shared" si="16"/>
        <v>0.99640593016716927</v>
      </c>
      <c r="M239">
        <f t="shared" si="17"/>
        <v>1.0763327410007743E-2</v>
      </c>
      <c r="N239">
        <f t="shared" si="18"/>
        <v>1.0763327410007743E-2</v>
      </c>
    </row>
    <row r="240" spans="3:14" x14ac:dyDescent="0.2">
      <c r="C240">
        <f t="shared" si="19"/>
        <v>139</v>
      </c>
      <c r="D240">
        <f t="shared" si="20"/>
        <v>-2.6640000000000001</v>
      </c>
      <c r="E240">
        <f t="shared" si="14"/>
        <v>1.1477272158233751E-2</v>
      </c>
      <c r="F240" t="str">
        <f t="shared" si="15"/>
        <v/>
      </c>
      <c r="K240">
        <f t="shared" si="16"/>
        <v>0.99613912186514941</v>
      </c>
      <c r="M240">
        <f t="shared" si="17"/>
        <v>1.1477272158233751E-2</v>
      </c>
      <c r="N240">
        <f t="shared" si="18"/>
        <v>1.1477272158233751E-2</v>
      </c>
    </row>
    <row r="241" spans="3:14" x14ac:dyDescent="0.2">
      <c r="C241">
        <f t="shared" si="19"/>
        <v>140</v>
      </c>
      <c r="D241">
        <f t="shared" si="20"/>
        <v>-2.64</v>
      </c>
      <c r="E241">
        <f t="shared" si="14"/>
        <v>1.2231526351277971E-2</v>
      </c>
      <c r="F241" t="str">
        <f t="shared" si="15"/>
        <v/>
      </c>
      <c r="K241">
        <f t="shared" si="16"/>
        <v>0.99585469863896392</v>
      </c>
      <c r="M241">
        <f t="shared" si="17"/>
        <v>1.2231526351277971E-2</v>
      </c>
      <c r="N241">
        <f t="shared" si="18"/>
        <v>1.2231526351277971E-2</v>
      </c>
    </row>
    <row r="242" spans="3:14" x14ac:dyDescent="0.2">
      <c r="C242">
        <f t="shared" si="19"/>
        <v>141</v>
      </c>
      <c r="D242">
        <f t="shared" si="20"/>
        <v>-2.6160000000000001</v>
      </c>
      <c r="E242">
        <f t="shared" si="14"/>
        <v>1.3027841819719665E-2</v>
      </c>
      <c r="F242" t="str">
        <f t="shared" si="15"/>
        <v/>
      </c>
      <c r="K242">
        <f t="shared" si="16"/>
        <v>0.99555167212064166</v>
      </c>
      <c r="M242">
        <f t="shared" si="17"/>
        <v>1.3027841819719665E-2</v>
      </c>
      <c r="N242">
        <f t="shared" si="18"/>
        <v>1.3027841819719665E-2</v>
      </c>
    </row>
    <row r="243" spans="3:14" x14ac:dyDescent="0.2">
      <c r="C243">
        <f t="shared" si="19"/>
        <v>142</v>
      </c>
      <c r="D243">
        <f t="shared" si="20"/>
        <v>-2.5920000000000001</v>
      </c>
      <c r="E243">
        <f t="shared" si="14"/>
        <v>1.3868009956599181E-2</v>
      </c>
      <c r="F243" t="str">
        <f t="shared" si="15"/>
        <v/>
      </c>
      <c r="K243">
        <f t="shared" si="16"/>
        <v>0.99522901142037801</v>
      </c>
      <c r="M243">
        <f t="shared" si="17"/>
        <v>1.3868009956599181E-2</v>
      </c>
      <c r="N243">
        <f t="shared" si="18"/>
        <v>1.3868009956599181E-2</v>
      </c>
    </row>
    <row r="244" spans="3:14" x14ac:dyDescent="0.2">
      <c r="C244">
        <f t="shared" si="19"/>
        <v>143</v>
      </c>
      <c r="D244">
        <f t="shared" si="20"/>
        <v>-2.5680000000000001</v>
      </c>
      <c r="E244">
        <f t="shared" si="14"/>
        <v>1.4753860034118634E-2</v>
      </c>
      <c r="F244" t="str">
        <f t="shared" si="15"/>
        <v/>
      </c>
      <c r="K244">
        <f t="shared" si="16"/>
        <v>0.9948856421968002</v>
      </c>
      <c r="M244">
        <f t="shared" si="17"/>
        <v>1.4753860034118634E-2</v>
      </c>
      <c r="N244">
        <f t="shared" si="18"/>
        <v>1.4753860034118634E-2</v>
      </c>
    </row>
    <row r="245" spans="3:14" x14ac:dyDescent="0.2">
      <c r="C245">
        <f t="shared" si="19"/>
        <v>144</v>
      </c>
      <c r="D245">
        <f t="shared" si="20"/>
        <v>-2.544</v>
      </c>
      <c r="E245">
        <f t="shared" si="14"/>
        <v>1.5687257298768114E-2</v>
      </c>
      <c r="F245" t="str">
        <f t="shared" si="15"/>
        <v/>
      </c>
      <c r="K245">
        <f t="shared" si="16"/>
        <v>0.99452044577027487</v>
      </c>
      <c r="M245">
        <f t="shared" si="17"/>
        <v>1.5687257298768114E-2</v>
      </c>
      <c r="N245">
        <f t="shared" si="18"/>
        <v>1.5687257298768114E-2</v>
      </c>
    </row>
    <row r="246" spans="3:14" x14ac:dyDescent="0.2">
      <c r="C246">
        <f t="shared" si="19"/>
        <v>145</v>
      </c>
      <c r="D246">
        <f t="shared" si="20"/>
        <v>-2.52</v>
      </c>
      <c r="E246">
        <f t="shared" si="14"/>
        <v>1.6670100837381057E-2</v>
      </c>
      <c r="F246" t="str">
        <f t="shared" si="15"/>
        <v/>
      </c>
      <c r="K246">
        <f t="shared" si="16"/>
        <v>0.99413225828466745</v>
      </c>
      <c r="M246">
        <f t="shared" si="17"/>
        <v>1.6670100837381057E-2</v>
      </c>
      <c r="N246">
        <f t="shared" si="18"/>
        <v>1.6670100837381057E-2</v>
      </c>
    </row>
    <row r="247" spans="3:14" x14ac:dyDescent="0.2">
      <c r="C247">
        <f t="shared" si="19"/>
        <v>146</v>
      </c>
      <c r="D247">
        <f t="shared" si="20"/>
        <v>-2.496</v>
      </c>
      <c r="E247">
        <f t="shared" si="14"/>
        <v>1.7704321207094212E-2</v>
      </c>
      <c r="F247" t="str">
        <f t="shared" si="15"/>
        <v/>
      </c>
      <c r="K247">
        <f t="shared" si="16"/>
        <v>0.9937198699231351</v>
      </c>
      <c r="M247">
        <f t="shared" si="17"/>
        <v>1.7704321207094212E-2</v>
      </c>
      <c r="N247">
        <f t="shared" si="18"/>
        <v>1.7704321207094212E-2</v>
      </c>
    </row>
    <row r="248" spans="3:14" x14ac:dyDescent="0.2">
      <c r="C248">
        <f t="shared" si="19"/>
        <v>147</v>
      </c>
      <c r="D248">
        <f t="shared" si="20"/>
        <v>-2.472</v>
      </c>
      <c r="E248">
        <f t="shared" si="14"/>
        <v>1.8791877822721837E-2</v>
      </c>
      <c r="F248" t="str">
        <f t="shared" si="15"/>
        <v/>
      </c>
      <c r="K248">
        <f t="shared" si="16"/>
        <v>0.99328202418370004</v>
      </c>
      <c r="M248">
        <f t="shared" si="17"/>
        <v>1.8791877822721837E-2</v>
      </c>
      <c r="N248">
        <f t="shared" si="18"/>
        <v>1.8791877822721837E-2</v>
      </c>
    </row>
    <row r="249" spans="3:14" x14ac:dyDescent="0.2">
      <c r="C249">
        <f t="shared" si="19"/>
        <v>148</v>
      </c>
      <c r="D249">
        <f t="shared" si="20"/>
        <v>-2.448</v>
      </c>
      <c r="E249">
        <f t="shared" si="14"/>
        <v>1.993475609565365E-2</v>
      </c>
      <c r="F249" t="str">
        <f t="shared" si="15"/>
        <v/>
      </c>
      <c r="K249">
        <f t="shared" si="16"/>
        <v>0.99281741722049599</v>
      </c>
      <c r="M249">
        <f t="shared" si="17"/>
        <v>1.993475609565365E-2</v>
      </c>
      <c r="N249">
        <f t="shared" si="18"/>
        <v>1.993475609565365E-2</v>
      </c>
    </row>
    <row r="250" spans="3:14" x14ac:dyDescent="0.2">
      <c r="C250">
        <f t="shared" si="19"/>
        <v>149</v>
      </c>
      <c r="D250">
        <f t="shared" si="20"/>
        <v>-2.4239999999999999</v>
      </c>
      <c r="E250">
        <f t="shared" si="14"/>
        <v>2.1134964319050476E-2</v>
      </c>
      <c r="F250" t="str">
        <f t="shared" si="15"/>
        <v/>
      </c>
      <c r="K250">
        <f t="shared" si="16"/>
        <v>0.99232469725671568</v>
      </c>
      <c r="M250">
        <f t="shared" si="17"/>
        <v>2.1134964319050476E-2</v>
      </c>
      <c r="N250">
        <f t="shared" si="18"/>
        <v>2.1134964319050476E-2</v>
      </c>
    </row>
    <row r="251" spans="3:14" x14ac:dyDescent="0.2">
      <c r="C251">
        <f t="shared" si="19"/>
        <v>150</v>
      </c>
      <c r="D251">
        <f t="shared" si="20"/>
        <v>-2.4</v>
      </c>
      <c r="E251">
        <f t="shared" si="14"/>
        <v>2.2394530294842899E-2</v>
      </c>
      <c r="F251" t="str">
        <f t="shared" si="15"/>
        <v/>
      </c>
      <c r="K251">
        <f t="shared" si="16"/>
        <v>0.99180246407540384</v>
      </c>
      <c r="M251">
        <f t="shared" si="17"/>
        <v>2.2394530294842899E-2</v>
      </c>
      <c r="N251">
        <f t="shared" si="18"/>
        <v>2.2394530294842899E-2</v>
      </c>
    </row>
    <row r="252" spans="3:14" x14ac:dyDescent="0.2">
      <c r="C252">
        <f t="shared" si="19"/>
        <v>151</v>
      </c>
      <c r="D252">
        <f t="shared" si="20"/>
        <v>-2.3759999999999999</v>
      </c>
      <c r="E252">
        <f t="shared" si="14"/>
        <v>2.3715497698834857E-2</v>
      </c>
      <c r="F252" t="str">
        <f t="shared" si="15"/>
        <v/>
      </c>
      <c r="K252">
        <f t="shared" si="16"/>
        <v>0.99124926859433915</v>
      </c>
      <c r="M252">
        <f t="shared" si="17"/>
        <v>2.3715497698834857E-2</v>
      </c>
      <c r="N252">
        <f t="shared" si="18"/>
        <v>2.3715497698834857E-2</v>
      </c>
    </row>
    <row r="253" spans="3:14" x14ac:dyDescent="0.2">
      <c r="C253">
        <f t="shared" si="19"/>
        <v>152</v>
      </c>
      <c r="D253">
        <f t="shared" si="20"/>
        <v>-2.3519999999999999</v>
      </c>
      <c r="E253">
        <f t="shared" si="14"/>
        <v>2.5099922181077771E-2</v>
      </c>
      <c r="F253" t="str">
        <f t="shared" si="15"/>
        <v/>
      </c>
      <c r="K253">
        <f t="shared" si="16"/>
        <v>0.9906636125313244</v>
      </c>
      <c r="M253">
        <f t="shared" si="17"/>
        <v>2.5099922181077771E-2</v>
      </c>
      <c r="N253">
        <f t="shared" si="18"/>
        <v>2.5099922181077771E-2</v>
      </c>
    </row>
    <row r="254" spans="3:14" x14ac:dyDescent="0.2">
      <c r="C254">
        <f t="shared" si="19"/>
        <v>153</v>
      </c>
      <c r="D254">
        <f t="shared" si="20"/>
        <v>-2.3279999999999998</v>
      </c>
      <c r="E254">
        <f t="shared" si="14"/>
        <v>2.65498671996088E-2</v>
      </c>
      <c r="F254" t="str">
        <f t="shared" si="15"/>
        <v/>
      </c>
      <c r="K254">
        <f t="shared" si="16"/>
        <v>0.9900439481662654</v>
      </c>
      <c r="M254">
        <f t="shared" si="17"/>
        <v>2.65498671996088E-2</v>
      </c>
      <c r="N254">
        <f t="shared" si="18"/>
        <v>2.65498671996088E-2</v>
      </c>
    </row>
    <row r="255" spans="3:14" x14ac:dyDescent="0.2">
      <c r="C255">
        <f t="shared" si="19"/>
        <v>154</v>
      </c>
      <c r="D255">
        <f t="shared" si="20"/>
        <v>-2.3039999999999998</v>
      </c>
      <c r="E255">
        <f t="shared" si="14"/>
        <v>2.8067399586640101E-2</v>
      </c>
      <c r="F255" t="str">
        <f t="shared" si="15"/>
        <v/>
      </c>
      <c r="K255">
        <f t="shared" si="16"/>
        <v>0.98938867820644982</v>
      </c>
      <c r="M255">
        <f t="shared" si="17"/>
        <v>2.8067399586640101E-2</v>
      </c>
      <c r="N255">
        <f t="shared" si="18"/>
        <v>2.8067399586640101E-2</v>
      </c>
    </row>
    <row r="256" spans="3:14" x14ac:dyDescent="0.2">
      <c r="C256">
        <f t="shared" si="19"/>
        <v>155</v>
      </c>
      <c r="D256">
        <f t="shared" si="20"/>
        <v>-2.2799999999999998</v>
      </c>
      <c r="E256">
        <f t="shared" si="14"/>
        <v>2.9654584847341278E-2</v>
      </c>
      <c r="F256" t="str">
        <f t="shared" si="15"/>
        <v/>
      </c>
      <c r="K256">
        <f t="shared" si="16"/>
        <v>0.9886961557614472</v>
      </c>
      <c r="M256">
        <f t="shared" si="17"/>
        <v>2.9654584847341278E-2</v>
      </c>
      <c r="N256">
        <f t="shared" si="18"/>
        <v>2.9654584847341278E-2</v>
      </c>
    </row>
    <row r="257" spans="3:14" x14ac:dyDescent="0.2">
      <c r="C257">
        <f t="shared" si="19"/>
        <v>156</v>
      </c>
      <c r="D257">
        <f t="shared" si="20"/>
        <v>-2.2559999999999998</v>
      </c>
      <c r="E257">
        <f t="shared" si="14"/>
        <v>3.131348219247429E-2</v>
      </c>
      <c r="F257" t="str">
        <f t="shared" si="15"/>
        <v/>
      </c>
      <c r="K257">
        <f t="shared" si="16"/>
        <v>0.98796468443403673</v>
      </c>
      <c r="M257">
        <f t="shared" si="17"/>
        <v>3.131348219247429E-2</v>
      </c>
      <c r="N257">
        <f t="shared" si="18"/>
        <v>3.131348219247429E-2</v>
      </c>
    </row>
    <row r="258" spans="3:14" x14ac:dyDescent="0.2">
      <c r="C258">
        <f t="shared" si="19"/>
        <v>157</v>
      </c>
      <c r="D258">
        <f t="shared" si="20"/>
        <v>-2.2320000000000002</v>
      </c>
      <c r="E258">
        <f t="shared" si="14"/>
        <v>3.3046139307314801E-2</v>
      </c>
      <c r="F258" t="str">
        <f t="shared" si="15"/>
        <v/>
      </c>
      <c r="K258">
        <f t="shared" si="16"/>
        <v>0.98719251853352108</v>
      </c>
      <c r="M258">
        <f t="shared" si="17"/>
        <v>3.3046139307314801E-2</v>
      </c>
      <c r="N258">
        <f t="shared" si="18"/>
        <v>3.3046139307314801E-2</v>
      </c>
    </row>
    <row r="259" spans="3:14" x14ac:dyDescent="0.2">
      <c r="C259">
        <f t="shared" si="19"/>
        <v>158</v>
      </c>
      <c r="D259">
        <f t="shared" si="20"/>
        <v>-2.2080000000000002</v>
      </c>
      <c r="E259">
        <f t="shared" si="14"/>
        <v>3.4854586860525415E-2</v>
      </c>
      <c r="F259" t="str">
        <f t="shared" si="15"/>
        <v/>
      </c>
      <c r="K259">
        <f t="shared" si="16"/>
        <v>0.98637786341771649</v>
      </c>
      <c r="M259">
        <f t="shared" si="17"/>
        <v>3.4854586860525415E-2</v>
      </c>
      <c r="N259">
        <f t="shared" si="18"/>
        <v>3.4854586860525415E-2</v>
      </c>
    </row>
    <row r="260" spans="3:14" x14ac:dyDescent="0.2">
      <c r="C260">
        <f t="shared" si="19"/>
        <v>159</v>
      </c>
      <c r="D260">
        <f t="shared" si="20"/>
        <v>-2.1840000000000002</v>
      </c>
      <c r="E260">
        <f t="shared" si="14"/>
        <v>3.6740832757928006E-2</v>
      </c>
      <c r="F260" t="str">
        <f t="shared" si="15"/>
        <v/>
      </c>
      <c r="K260">
        <f t="shared" si="16"/>
        <v>0.98551887596980126</v>
      </c>
      <c r="M260">
        <f t="shared" si="17"/>
        <v>3.6740832757928006E-2</v>
      </c>
      <c r="N260">
        <f t="shared" si="18"/>
        <v>3.6740832757928006E-2</v>
      </c>
    </row>
    <row r="261" spans="3:14" x14ac:dyDescent="0.2">
      <c r="C261">
        <f t="shared" si="19"/>
        <v>160</v>
      </c>
      <c r="D261">
        <f t="shared" si="20"/>
        <v>-2.16</v>
      </c>
      <c r="E261">
        <f t="shared" si="14"/>
        <v>3.8706856147455608E-2</v>
      </c>
      <c r="F261" t="str">
        <f t="shared" si="15"/>
        <v/>
      </c>
      <c r="K261">
        <f t="shared" si="16"/>
        <v>0.98461366521607452</v>
      </c>
      <c r="M261">
        <f t="shared" si="17"/>
        <v>3.8706856147455608E-2</v>
      </c>
      <c r="N261">
        <f t="shared" si="18"/>
        <v>3.8706856147455608E-2</v>
      </c>
    </row>
    <row r="262" spans="3:14" x14ac:dyDescent="0.2">
      <c r="C262">
        <f t="shared" si="19"/>
        <v>161</v>
      </c>
      <c r="D262">
        <f t="shared" si="20"/>
        <v>-2.1360000000000001</v>
      </c>
      <c r="E262">
        <f t="shared" si="14"/>
        <v>4.0754601182937548E-2</v>
      </c>
      <c r="F262" t="str">
        <f t="shared" si="15"/>
        <v/>
      </c>
      <c r="K262">
        <f t="shared" si="16"/>
        <v>0.98366029309050618</v>
      </c>
      <c r="M262">
        <f t="shared" si="17"/>
        <v>4.0754601182937548E-2</v>
      </c>
      <c r="N262">
        <f t="shared" si="18"/>
        <v>4.0754601182937548E-2</v>
      </c>
    </row>
    <row r="263" spans="3:14" x14ac:dyDescent="0.2">
      <c r="C263">
        <f t="shared" si="19"/>
        <v>162</v>
      </c>
      <c r="D263">
        <f t="shared" si="20"/>
        <v>-2.1120000000000001</v>
      </c>
      <c r="E263">
        <f t="shared" si="14"/>
        <v>4.2885970555787321E-2</v>
      </c>
      <c r="F263" t="str">
        <f t="shared" si="15"/>
        <v/>
      </c>
      <c r="K263">
        <f t="shared" si="16"/>
        <v>0.98265677535176066</v>
      </c>
      <c r="M263">
        <f t="shared" si="17"/>
        <v>4.2885970555787321E-2</v>
      </c>
      <c r="N263">
        <f t="shared" si="18"/>
        <v>4.2885970555787321E-2</v>
      </c>
    </row>
    <row r="264" spans="3:14" x14ac:dyDescent="0.2">
      <c r="C264">
        <f t="shared" si="19"/>
        <v>163</v>
      </c>
      <c r="D264">
        <f t="shared" si="20"/>
        <v>-2.0880000000000001</v>
      </c>
      <c r="E264">
        <f t="shared" si="14"/>
        <v>4.5102818805110016E-2</v>
      </c>
      <c r="F264" t="str">
        <f t="shared" si="15"/>
        <v/>
      </c>
      <c r="K264">
        <f t="shared" si="16"/>
        <v>0.98160108265814239</v>
      </c>
      <c r="M264">
        <f t="shared" si="17"/>
        <v>4.5102818805110016E-2</v>
      </c>
      <c r="N264">
        <f t="shared" si="18"/>
        <v>4.5102818805110016E-2</v>
      </c>
    </row>
    <row r="265" spans="3:14" x14ac:dyDescent="0.2">
      <c r="C265">
        <f t="shared" si="19"/>
        <v>164</v>
      </c>
      <c r="D265">
        <f t="shared" si="20"/>
        <v>-2.0640000000000001</v>
      </c>
      <c r="E265">
        <f t="shared" si="14"/>
        <v>4.7406945418221713E-2</v>
      </c>
      <c r="F265" t="str">
        <f t="shared" si="15"/>
        <v/>
      </c>
      <c r="K265">
        <f t="shared" si="16"/>
        <v>0.98049114180563823</v>
      </c>
      <c r="M265">
        <f t="shared" si="17"/>
        <v>4.7406945418221713E-2</v>
      </c>
      <c r="N265">
        <f t="shared" si="18"/>
        <v>4.7406945418221713E-2</v>
      </c>
    </row>
    <row r="266" spans="3:14" x14ac:dyDescent="0.2">
      <c r="C266">
        <f t="shared" si="19"/>
        <v>165</v>
      </c>
      <c r="D266">
        <f t="shared" si="20"/>
        <v>-2.04</v>
      </c>
      <c r="E266">
        <f t="shared" si="14"/>
        <v>4.9800087735070775E-2</v>
      </c>
      <c r="F266" t="str">
        <f t="shared" si="15"/>
        <v/>
      </c>
      <c r="K266">
        <f t="shared" si="16"/>
        <v>0.97932483713392993</v>
      </c>
      <c r="M266">
        <f t="shared" si="17"/>
        <v>4.9800087735070775E-2</v>
      </c>
      <c r="N266">
        <f t="shared" si="18"/>
        <v>4.9800087735070775E-2</v>
      </c>
    </row>
    <row r="267" spans="3:14" x14ac:dyDescent="0.2">
      <c r="C267">
        <f t="shared" si="19"/>
        <v>166</v>
      </c>
      <c r="D267">
        <f t="shared" si="20"/>
        <v>-2.016</v>
      </c>
      <c r="E267">
        <f t="shared" si="14"/>
        <v>5.2283913671562113E-2</v>
      </c>
      <c r="F267" t="str">
        <f t="shared" si="15"/>
        <v/>
      </c>
      <c r="K267">
        <f t="shared" si="16"/>
        <v>0.97810001210490494</v>
      </c>
      <c r="M267">
        <f t="shared" si="17"/>
        <v>5.2283913671562113E-2</v>
      </c>
      <c r="N267">
        <f t="shared" si="18"/>
        <v>5.2283913671562113E-2</v>
      </c>
    </row>
    <row r="268" spans="3:14" x14ac:dyDescent="0.2">
      <c r="C268">
        <f t="shared" si="19"/>
        <v>167</v>
      </c>
      <c r="D268">
        <f t="shared" si="20"/>
        <v>-1.992</v>
      </c>
      <c r="E268">
        <f t="shared" si="14"/>
        <v>5.4860014278304732E-2</v>
      </c>
      <c r="F268" t="str">
        <f t="shared" si="15"/>
        <v/>
      </c>
      <c r="K268">
        <f t="shared" si="16"/>
        <v>0.97681447105781616</v>
      </c>
      <c r="M268">
        <f t="shared" si="17"/>
        <v>5.4860014278304732E-2</v>
      </c>
      <c r="N268">
        <f t="shared" si="18"/>
        <v>5.4860014278304732E-2</v>
      </c>
    </row>
    <row r="269" spans="3:14" x14ac:dyDescent="0.2">
      <c r="C269">
        <f t="shared" si="19"/>
        <v>168</v>
      </c>
      <c r="D269">
        <f t="shared" si="20"/>
        <v>-1.968</v>
      </c>
      <c r="E269">
        <f t="shared" si="14"/>
        <v>5.7529896152820871E-2</v>
      </c>
      <c r="F269" t="str">
        <f t="shared" si="15"/>
        <v/>
      </c>
      <c r="K269">
        <f t="shared" si="16"/>
        <v>0.97546598114482941</v>
      </c>
      <c r="M269">
        <f t="shared" si="17"/>
        <v>5.7529896152820871E-2</v>
      </c>
      <c r="N269">
        <f t="shared" si="18"/>
        <v>5.7529896152820871E-2</v>
      </c>
    </row>
    <row r="270" spans="3:14" x14ac:dyDescent="0.2">
      <c r="C270">
        <f t="shared" si="19"/>
        <v>169</v>
      </c>
      <c r="D270">
        <f t="shared" si="20"/>
        <v>-1.944</v>
      </c>
      <c r="E270">
        <f t="shared" si="14"/>
        <v>6.0294973724765701E-2</v>
      </c>
      <c r="F270" t="str">
        <f t="shared" si="15"/>
        <v/>
      </c>
      <c r="K270">
        <f t="shared" si="16"/>
        <v>0.97405227445024034</v>
      </c>
      <c r="M270">
        <f t="shared" si="17"/>
        <v>6.0294973724765701E-2</v>
      </c>
      <c r="N270">
        <f t="shared" si="18"/>
        <v>6.0294973724765701E-2</v>
      </c>
    </row>
    <row r="271" spans="3:14" x14ac:dyDescent="0.2">
      <c r="C271">
        <f t="shared" si="19"/>
        <v>170</v>
      </c>
      <c r="D271">
        <f t="shared" si="20"/>
        <v>-1.92</v>
      </c>
      <c r="E271">
        <f t="shared" si="14"/>
        <v>6.3156561435198655E-2</v>
      </c>
      <c r="F271" t="str">
        <f t="shared" si="15"/>
        <v/>
      </c>
      <c r="K271">
        <f t="shared" si="16"/>
        <v>0.9725710502961632</v>
      </c>
      <c r="M271">
        <f t="shared" si="17"/>
        <v>6.3156561435198655E-2</v>
      </c>
      <c r="N271">
        <f t="shared" si="18"/>
        <v>6.3156561435198655E-2</v>
      </c>
    </row>
    <row r="272" spans="3:14" x14ac:dyDescent="0.2">
      <c r="C272">
        <f t="shared" si="19"/>
        <v>171</v>
      </c>
      <c r="D272">
        <f t="shared" si="20"/>
        <v>-1.8959999999999999</v>
      </c>
      <c r="E272">
        <f t="shared" si="14"/>
        <v>6.6115865832415521E-2</v>
      </c>
      <c r="F272" t="str">
        <f t="shared" si="15"/>
        <v/>
      </c>
      <c r="K272">
        <f t="shared" si="16"/>
        <v>0.97101997773696258</v>
      </c>
      <c r="M272">
        <f t="shared" si="17"/>
        <v>6.6115865832415521E-2</v>
      </c>
      <c r="N272">
        <f t="shared" si="18"/>
        <v>6.6115865832415521E-2</v>
      </c>
    </row>
    <row r="273" spans="3:14" x14ac:dyDescent="0.2">
      <c r="C273">
        <f t="shared" si="19"/>
        <v>172</v>
      </c>
      <c r="D273">
        <f t="shared" si="20"/>
        <v>-1.8719999999999999</v>
      </c>
      <c r="E273">
        <f t="shared" si="14"/>
        <v>6.9173977608282505E-2</v>
      </c>
      <c r="F273" t="str">
        <f t="shared" si="15"/>
        <v/>
      </c>
      <c r="K273">
        <f t="shared" si="16"/>
        <v>0.96939669824415042</v>
      </c>
      <c r="M273">
        <f t="shared" si="17"/>
        <v>6.9173977608282505E-2</v>
      </c>
      <c r="N273">
        <f t="shared" si="18"/>
        <v>6.9173977608282505E-2</v>
      </c>
    </row>
    <row r="274" spans="3:14" x14ac:dyDescent="0.2">
      <c r="C274">
        <f t="shared" si="19"/>
        <v>173</v>
      </c>
      <c r="D274">
        <f t="shared" si="20"/>
        <v>-1.8479999999999999</v>
      </c>
      <c r="E274">
        <f t="shared" si="14"/>
        <v>7.2331863600401836E-2</v>
      </c>
      <c r="F274" t="str">
        <f t="shared" si="15"/>
        <v/>
      </c>
      <c r="K274">
        <f t="shared" si="16"/>
        <v>0.96769882858287182</v>
      </c>
      <c r="M274">
        <f t="shared" si="17"/>
        <v>7.2331863600401836E-2</v>
      </c>
      <c r="N274">
        <f t="shared" si="18"/>
        <v>7.2331863600401836E-2</v>
      </c>
    </row>
    <row r="275" spans="3:14" x14ac:dyDescent="0.2">
      <c r="C275">
        <f t="shared" si="19"/>
        <v>174</v>
      </c>
      <c r="D275">
        <f t="shared" si="20"/>
        <v>-1.8239999999999998</v>
      </c>
      <c r="E275">
        <f t="shared" si="14"/>
        <v>7.5590358786774225E-2</v>
      </c>
      <c r="F275" t="str">
        <f t="shared" si="15"/>
        <v/>
      </c>
      <c r="K275">
        <f t="shared" si="16"/>
        <v>0.96592396388048374</v>
      </c>
      <c r="M275">
        <f t="shared" si="17"/>
        <v>7.5590358786774225E-2</v>
      </c>
      <c r="N275">
        <f t="shared" si="18"/>
        <v>7.5590358786774225E-2</v>
      </c>
    </row>
    <row r="276" spans="3:14" x14ac:dyDescent="0.2">
      <c r="C276">
        <f t="shared" si="19"/>
        <v>175</v>
      </c>
      <c r="D276">
        <f t="shared" si="20"/>
        <v>-1.7999999999999998</v>
      </c>
      <c r="E276">
        <f t="shared" si="14"/>
        <v>7.8950158300894177E-2</v>
      </c>
      <c r="F276" t="str">
        <f t="shared" si="15"/>
        <v/>
      </c>
      <c r="K276">
        <f t="shared" si="16"/>
        <v>0.96406968088707423</v>
      </c>
      <c r="M276">
        <f t="shared" si="17"/>
        <v>7.8950158300894177E-2</v>
      </c>
      <c r="N276">
        <f t="shared" si="18"/>
        <v>7.8950158300894177E-2</v>
      </c>
    </row>
    <row r="277" spans="3:14" x14ac:dyDescent="0.2">
      <c r="C277">
        <f t="shared" si="19"/>
        <v>176</v>
      </c>
      <c r="D277">
        <f t="shared" si="20"/>
        <v>-1.7759999999999998</v>
      </c>
      <c r="E277">
        <f t="shared" si="14"/>
        <v>8.2411809496414523E-2</v>
      </c>
      <c r="F277" t="str">
        <f t="shared" si="15"/>
        <v/>
      </c>
      <c r="K277">
        <f t="shared" si="16"/>
        <v>0.96213354142708329</v>
      </c>
      <c r="M277">
        <f t="shared" si="17"/>
        <v>8.2411809496414523E-2</v>
      </c>
      <c r="N277">
        <f t="shared" si="18"/>
        <v>8.2411809496414523E-2</v>
      </c>
    </row>
    <row r="278" spans="3:14" x14ac:dyDescent="0.2">
      <c r="C278">
        <f t="shared" si="19"/>
        <v>177</v>
      </c>
      <c r="D278">
        <f t="shared" si="20"/>
        <v>-1.7519999999999998</v>
      </c>
      <c r="E278">
        <f t="shared" si="14"/>
        <v>8.5975704091632174E-2</v>
      </c>
      <c r="F278" t="str">
        <f t="shared" si="15"/>
        <v/>
      </c>
      <c r="K278">
        <f t="shared" si="16"/>
        <v>0.96011309604047623</v>
      </c>
      <c r="M278">
        <f t="shared" si="17"/>
        <v>8.5975704091632174E-2</v>
      </c>
      <c r="N278">
        <f t="shared" si="18"/>
        <v>8.5975704091632174E-2</v>
      </c>
    </row>
    <row r="279" spans="3:14" x14ac:dyDescent="0.2">
      <c r="C279">
        <f t="shared" si="19"/>
        <v>178</v>
      </c>
      <c r="D279">
        <f t="shared" si="20"/>
        <v>-1.7279999999999998</v>
      </c>
      <c r="E279">
        <f t="shared" si="14"/>
        <v>8.9642070425072398E-2</v>
      </c>
      <c r="F279" t="str">
        <f t="shared" si="15"/>
        <v/>
      </c>
      <c r="K279">
        <f t="shared" si="16"/>
        <v>0.95800588781117868</v>
      </c>
      <c r="M279">
        <f t="shared" si="17"/>
        <v>8.9642070425072398E-2</v>
      </c>
      <c r="N279">
        <f t="shared" si="18"/>
        <v>8.9642070425072398E-2</v>
      </c>
    </row>
    <row r="280" spans="3:14" x14ac:dyDescent="0.2">
      <c r="C280">
        <f t="shared" si="19"/>
        <v>179</v>
      </c>
      <c r="D280">
        <f t="shared" si="20"/>
        <v>-1.7039999999999997</v>
      </c>
      <c r="E280">
        <f t="shared" si="14"/>
        <v>9.3410965854371211E-2</v>
      </c>
      <c r="F280" t="str">
        <f t="shared" si="15"/>
        <v/>
      </c>
      <c r="K280">
        <f t="shared" si="16"/>
        <v>0.95580945637972436</v>
      </c>
      <c r="M280">
        <f t="shared" si="17"/>
        <v>9.3410965854371211E-2</v>
      </c>
      <c r="N280">
        <f t="shared" si="18"/>
        <v>9.3410965854371211E-2</v>
      </c>
    </row>
    <row r="281" spans="3:14" x14ac:dyDescent="0.2">
      <c r="C281">
        <f t="shared" si="19"/>
        <v>180</v>
      </c>
      <c r="D281">
        <f t="shared" si="20"/>
        <v>-1.6799999999999997</v>
      </c>
      <c r="E281">
        <f t="shared" si="14"/>
        <v>9.7282269331467539E-2</v>
      </c>
      <c r="F281" t="str">
        <f t="shared" si="15"/>
        <v/>
      </c>
      <c r="K281">
        <f t="shared" si="16"/>
        <v>0.95352134213627993</v>
      </c>
      <c r="M281">
        <f t="shared" si="17"/>
        <v>9.7282269331467539E-2</v>
      </c>
      <c r="N281">
        <f t="shared" si="18"/>
        <v>9.7282269331467539E-2</v>
      </c>
    </row>
    <row r="282" spans="3:14" x14ac:dyDescent="0.2">
      <c r="C282">
        <f t="shared" si="19"/>
        <v>181</v>
      </c>
      <c r="D282">
        <f t="shared" si="20"/>
        <v>-1.6559999999999997</v>
      </c>
      <c r="E282">
        <f t="shared" si="14"/>
        <v>0.10125567418780883</v>
      </c>
      <c r="F282" t="str">
        <f t="shared" si="15"/>
        <v/>
      </c>
      <c r="K282">
        <f t="shared" si="16"/>
        <v>0.95113909058941348</v>
      </c>
      <c r="M282">
        <f t="shared" si="17"/>
        <v>0.10125567418780883</v>
      </c>
      <c r="N282">
        <f t="shared" si="18"/>
        <v>0.10125567418780883</v>
      </c>
    </row>
    <row r="283" spans="3:14" x14ac:dyDescent="0.2">
      <c r="C283">
        <f t="shared" si="19"/>
        <v>182</v>
      </c>
      <c r="D283">
        <f t="shared" si="20"/>
        <v>-1.6319999999999997</v>
      </c>
      <c r="E283">
        <f t="shared" si="14"/>
        <v>0.10533068116383558</v>
      </c>
      <c r="F283" t="str">
        <f t="shared" si="15"/>
        <v/>
      </c>
      <c r="K283">
        <f t="shared" si="16"/>
        <v>0.94866025690515565</v>
      </c>
      <c r="M283">
        <f t="shared" si="17"/>
        <v>0.10533068116383558</v>
      </c>
      <c r="N283">
        <f t="shared" si="18"/>
        <v>0.10533068116383558</v>
      </c>
    </row>
    <row r="284" spans="3:14" x14ac:dyDescent="0.2">
      <c r="C284">
        <f t="shared" si="19"/>
        <v>183</v>
      </c>
      <c r="D284">
        <f t="shared" si="20"/>
        <v>-1.6079999999999997</v>
      </c>
      <c r="E284">
        <f t="shared" si="14"/>
        <v>0.1095065917174368</v>
      </c>
      <c r="F284" t="str">
        <f t="shared" si="15"/>
        <v/>
      </c>
      <c r="K284">
        <f t="shared" si="16"/>
        <v>0.94608241061007503</v>
      </c>
      <c r="M284">
        <f t="shared" si="17"/>
        <v>0.1095065917174368</v>
      </c>
      <c r="N284">
        <f t="shared" si="18"/>
        <v>0.1095065917174368</v>
      </c>
    </row>
    <row r="285" spans="3:14" x14ac:dyDescent="0.2">
      <c r="C285">
        <f t="shared" si="19"/>
        <v>184</v>
      </c>
      <c r="D285">
        <f t="shared" si="20"/>
        <v>-1.5839999999999996</v>
      </c>
      <c r="E285">
        <f t="shared" si="14"/>
        <v>0.11378250164634682</v>
      </c>
      <c r="F285" t="str">
        <f t="shared" si="15"/>
        <v/>
      </c>
      <c r="K285">
        <f t="shared" si="16"/>
        <v>0.94340314045125373</v>
      </c>
      <c r="M285">
        <f t="shared" si="17"/>
        <v>0.11378250164634682</v>
      </c>
      <c r="N285">
        <f t="shared" si="18"/>
        <v>0.11378250164634682</v>
      </c>
    </row>
    <row r="286" spans="3:14" x14ac:dyDescent="0.2">
      <c r="C286">
        <f t="shared" si="19"/>
        <v>185</v>
      </c>
      <c r="D286">
        <f t="shared" si="20"/>
        <v>-1.5599999999999996</v>
      </c>
      <c r="E286">
        <f t="shared" si="14"/>
        <v>0.11815729505958236</v>
      </c>
      <c r="F286" t="str">
        <f t="shared" si="15"/>
        <v/>
      </c>
      <c r="K286">
        <f t="shared" si="16"/>
        <v>0.94062005940520699</v>
      </c>
      <c r="M286">
        <f t="shared" si="17"/>
        <v>0.11815729505958236</v>
      </c>
      <c r="N286">
        <f t="shared" si="18"/>
        <v>0.11815729505958236</v>
      </c>
    </row>
    <row r="287" spans="3:14" x14ac:dyDescent="0.2">
      <c r="C287">
        <f t="shared" si="19"/>
        <v>186</v>
      </c>
      <c r="D287">
        <f t="shared" si="20"/>
        <v>-1.5359999999999996</v>
      </c>
      <c r="E287">
        <f t="shared" si="14"/>
        <v>0.12262963873298507</v>
      </c>
      <c r="F287" t="str">
        <f t="shared" si="15"/>
        <v/>
      </c>
      <c r="K287">
        <f t="shared" si="16"/>
        <v>0.93773080982694901</v>
      </c>
      <c r="M287">
        <f t="shared" si="17"/>
        <v>0.12262963873298507</v>
      </c>
      <c r="N287">
        <f t="shared" si="18"/>
        <v>0.12262963873298507</v>
      </c>
    </row>
    <row r="288" spans="3:14" x14ac:dyDescent="0.2">
      <c r="C288">
        <f t="shared" si="19"/>
        <v>187</v>
      </c>
      <c r="D288">
        <f t="shared" si="20"/>
        <v>-1.5119999999999996</v>
      </c>
      <c r="E288">
        <f t="shared" si="14"/>
        <v>0.12719797688373657</v>
      </c>
      <c r="F288" t="str">
        <f t="shared" si="15"/>
        <v/>
      </c>
      <c r="K288">
        <f t="shared" si="16"/>
        <v>0.93473306872956785</v>
      </c>
      <c r="M288">
        <f t="shared" si="17"/>
        <v>0.12719797688373657</v>
      </c>
      <c r="N288">
        <f t="shared" si="18"/>
        <v>0.12719797688373657</v>
      </c>
    </row>
    <row r="289" spans="3:14" x14ac:dyDescent="0.2">
      <c r="C289">
        <f t="shared" si="19"/>
        <v>188</v>
      </c>
      <c r="D289">
        <f t="shared" si="20"/>
        <v>-1.4880000000000004</v>
      </c>
      <c r="E289">
        <f t="shared" si="14"/>
        <v>0.13186052639834273</v>
      </c>
      <c r="F289" t="str">
        <f t="shared" si="15"/>
        <v/>
      </c>
      <c r="K289">
        <f t="shared" si="16"/>
        <v>0.9316245531838383</v>
      </c>
      <c r="M289">
        <f t="shared" si="17"/>
        <v>0.13186052639834273</v>
      </c>
      <c r="N289">
        <f t="shared" si="18"/>
        <v>0.13186052639834273</v>
      </c>
    </row>
    <row r="290" spans="3:14" x14ac:dyDescent="0.2">
      <c r="C290">
        <f t="shared" si="19"/>
        <v>189</v>
      </c>
      <c r="D290">
        <f t="shared" si="20"/>
        <v>-1.4640000000000004</v>
      </c>
      <c r="E290">
        <f t="shared" si="14"/>
        <v>0.1366152725480389</v>
      </c>
      <c r="F290" t="str">
        <f t="shared" si="15"/>
        <v/>
      </c>
      <c r="K290">
        <f t="shared" si="16"/>
        <v>0.92840302582658141</v>
      </c>
      <c r="M290">
        <f t="shared" si="17"/>
        <v>0.1366152725480389</v>
      </c>
      <c r="N290">
        <f t="shared" si="18"/>
        <v>0.1366152725480389</v>
      </c>
    </row>
    <row r="291" spans="3:14" x14ac:dyDescent="0.2">
      <c r="C291">
        <f t="shared" si="19"/>
        <v>190</v>
      </c>
      <c r="D291">
        <f t="shared" si="20"/>
        <v>-1.4400000000000004</v>
      </c>
      <c r="E291">
        <f t="shared" si="14"/>
        <v>0.1414599652248387</v>
      </c>
      <c r="F291" t="str">
        <f t="shared" si="15"/>
        <v/>
      </c>
      <c r="K291">
        <f t="shared" si="16"/>
        <v>0.92506630046567306</v>
      </c>
      <c r="M291">
        <f t="shared" si="17"/>
        <v>0.1414599652248387</v>
      </c>
      <c r="N291">
        <f t="shared" si="18"/>
        <v>0.1414599652248387</v>
      </c>
    </row>
    <row r="292" spans="3:14" x14ac:dyDescent="0.2">
      <c r="C292">
        <f t="shared" si="19"/>
        <v>191</v>
      </c>
      <c r="D292">
        <f t="shared" si="20"/>
        <v>-1.4160000000000004</v>
      </c>
      <c r="E292">
        <f t="shared" si="14"/>
        <v>0.1463921157305455</v>
      </c>
      <c r="F292" t="str">
        <f t="shared" si="15"/>
        <v/>
      </c>
      <c r="K292">
        <f t="shared" si="16"/>
        <v>0.9216122477688139</v>
      </c>
      <c r="M292">
        <f t="shared" si="17"/>
        <v>0.1463921157305455</v>
      </c>
      <c r="N292">
        <f t="shared" si="18"/>
        <v>0.1463921157305455</v>
      </c>
    </row>
    <row r="293" spans="3:14" x14ac:dyDescent="0.2">
      <c r="C293">
        <f t="shared" si="19"/>
        <v>192</v>
      </c>
      <c r="D293">
        <f t="shared" si="20"/>
        <v>-1.3920000000000003</v>
      </c>
      <c r="E293">
        <f t="shared" ref="E293:E356" si="21">NORMDIST(D293,mu,sigma,0)</f>
        <v>0.15140899414994616</v>
      </c>
      <c r="F293" t="str">
        <f t="shared" ref="F293:F356" si="22">IF(D293&gt;onevalue,E293,"")</f>
        <v/>
      </c>
      <c r="K293">
        <f t="shared" ref="K293:K356" si="23">1-NORMDIST(D293,mu,sigma,1)</f>
        <v>0.91803880102241564</v>
      </c>
      <c r="M293">
        <f t="shared" ref="M293:M356" si="24">IF($D293&lt;onevalue,$E293,"")</f>
        <v>0.15140899414994616</v>
      </c>
      <c r="N293">
        <f t="shared" ref="N293:N356" si="25">IF(ABS($D293)&gt;=ABS(onevalue),$E293,"")</f>
        <v>0.15140899414994616</v>
      </c>
    </row>
    <row r="294" spans="3:14" x14ac:dyDescent="0.2">
      <c r="C294">
        <f t="shared" ref="C294:C357" si="26">ROW(C294)-101</f>
        <v>193</v>
      </c>
      <c r="D294">
        <f t="shared" ref="D294:D357" si="27">$B$100+($B$101-$B$100)*C294/$B$102</f>
        <v>-1.3680000000000003</v>
      </c>
      <c r="E294">
        <f t="shared" si="21"/>
        <v>0.15650762733813126</v>
      </c>
      <c r="F294" t="str">
        <f t="shared" si="22"/>
        <v/>
      </c>
      <c r="K294">
        <f t="shared" si="23"/>
        <v>0.91434396194621836</v>
      </c>
      <c r="M294">
        <f t="shared" si="24"/>
        <v>0.15650762733813126</v>
      </c>
      <c r="N294">
        <f t="shared" si="25"/>
        <v>0.15650762733813126</v>
      </c>
    </row>
    <row r="295" spans="3:14" x14ac:dyDescent="0.2">
      <c r="C295">
        <f t="shared" si="26"/>
        <v>194</v>
      </c>
      <c r="D295">
        <f t="shared" si="27"/>
        <v>-1.3440000000000003</v>
      </c>
      <c r="E295">
        <f t="shared" si="21"/>
        <v>0.1616847975504194</v>
      </c>
      <c r="F295" t="str">
        <f t="shared" si="22"/>
        <v/>
      </c>
      <c r="K295">
        <f t="shared" si="23"/>
        <v>0.91052580654855697</v>
      </c>
      <c r="M295">
        <f t="shared" si="24"/>
        <v>0.1616847975504194</v>
      </c>
      <c r="N295">
        <f t="shared" si="25"/>
        <v>0.1616847975504194</v>
      </c>
    </row>
    <row r="296" spans="3:14" x14ac:dyDescent="0.2">
      <c r="C296">
        <f t="shared" si="26"/>
        <v>195</v>
      </c>
      <c r="D296">
        <f t="shared" si="27"/>
        <v>-1.3200000000000003</v>
      </c>
      <c r="E296">
        <f t="shared" si="21"/>
        <v>0.16693704174171375</v>
      </c>
      <c r="F296" t="str">
        <f t="shared" si="22"/>
        <v/>
      </c>
      <c r="K296">
        <f t="shared" si="23"/>
        <v>0.90658249100652832</v>
      </c>
      <c r="M296">
        <f t="shared" si="24"/>
        <v>0.16693704174171375</v>
      </c>
      <c r="N296">
        <f t="shared" si="25"/>
        <v>0.16693704174171375</v>
      </c>
    </row>
    <row r="297" spans="3:14" x14ac:dyDescent="0.2">
      <c r="C297">
        <f t="shared" si="26"/>
        <v>196</v>
      </c>
      <c r="D297">
        <f t="shared" si="27"/>
        <v>-1.2960000000000003</v>
      </c>
      <c r="E297">
        <f t="shared" si="21"/>
        <v>0.17226065156028758</v>
      </c>
      <c r="F297" t="str">
        <f t="shared" si="22"/>
        <v/>
      </c>
      <c r="K297">
        <f t="shared" si="23"/>
        <v>0.90251225755468756</v>
      </c>
      <c r="M297">
        <f t="shared" si="24"/>
        <v>0.17226065156028758</v>
      </c>
      <c r="N297">
        <f t="shared" si="25"/>
        <v>0.17226065156028758</v>
      </c>
    </row>
    <row r="298" spans="3:14" x14ac:dyDescent="0.2">
      <c r="C298">
        <f t="shared" si="26"/>
        <v>197</v>
      </c>
      <c r="D298">
        <f t="shared" si="27"/>
        <v>-1.2720000000000002</v>
      </c>
      <c r="E298">
        <f t="shared" si="21"/>
        <v>0.1776516740589851</v>
      </c>
      <c r="F298" t="str">
        <f t="shared" si="22"/>
        <v/>
      </c>
      <c r="K298">
        <f t="shared" si="23"/>
        <v>0.89831344036533045</v>
      </c>
      <c r="M298">
        <f t="shared" si="24"/>
        <v>0.1776516740589851</v>
      </c>
      <c r="N298">
        <f t="shared" si="25"/>
        <v>0.1776516740589851</v>
      </c>
    </row>
    <row r="299" spans="3:14" x14ac:dyDescent="0.2">
      <c r="C299">
        <f t="shared" si="26"/>
        <v>198</v>
      </c>
      <c r="D299">
        <f t="shared" si="27"/>
        <v>-1.2480000000000002</v>
      </c>
      <c r="E299">
        <f t="shared" si="21"/>
        <v>0.18310591314463986</v>
      </c>
      <c r="F299" t="str">
        <f t="shared" si="22"/>
        <v/>
      </c>
      <c r="K299">
        <f t="shared" si="23"/>
        <v>0.89398447140288551</v>
      </c>
      <c r="M299">
        <f t="shared" si="24"/>
        <v>0.18310591314463986</v>
      </c>
      <c r="N299">
        <f t="shared" si="25"/>
        <v>0.18310591314463986</v>
      </c>
    </row>
    <row r="300" spans="3:14" x14ac:dyDescent="0.2">
      <c r="C300">
        <f t="shared" si="26"/>
        <v>199</v>
      </c>
      <c r="D300">
        <f t="shared" si="27"/>
        <v>-1.2240000000000002</v>
      </c>
      <c r="E300">
        <f t="shared" si="21"/>
        <v>0.18861893178415948</v>
      </c>
      <c r="F300" t="str">
        <f t="shared" si="22"/>
        <v/>
      </c>
      <c r="K300">
        <f t="shared" si="23"/>
        <v>0.88952388623447554</v>
      </c>
      <c r="M300">
        <f t="shared" si="24"/>
        <v>0.18861893178415948</v>
      </c>
      <c r="N300">
        <f t="shared" si="25"/>
        <v>0.18861893178415948</v>
      </c>
    </row>
    <row r="301" spans="3:14" x14ac:dyDescent="0.2">
      <c r="C301">
        <f t="shared" si="26"/>
        <v>200</v>
      </c>
      <c r="D301">
        <f t="shared" si="27"/>
        <v>-1.2000000000000002</v>
      </c>
      <c r="E301">
        <f t="shared" si="21"/>
        <v>0.19418605498321292</v>
      </c>
      <c r="F301" t="str">
        <f t="shared" si="22"/>
        <v/>
      </c>
      <c r="K301">
        <f t="shared" si="23"/>
        <v>0.88493032977829178</v>
      </c>
      <c r="M301">
        <f t="shared" si="24"/>
        <v>0.19418605498321292</v>
      </c>
      <c r="N301">
        <f t="shared" si="25"/>
        <v>0.19418605498321292</v>
      </c>
    </row>
    <row r="302" spans="3:14" x14ac:dyDescent="0.2">
      <c r="C302">
        <f t="shared" si="26"/>
        <v>201</v>
      </c>
      <c r="D302">
        <f t="shared" si="27"/>
        <v>-1.1760000000000002</v>
      </c>
      <c r="E302">
        <f t="shared" si="21"/>
        <v>0.19980237355078795</v>
      </c>
      <c r="F302" t="str">
        <f t="shared" si="22"/>
        <v/>
      </c>
      <c r="K302">
        <f t="shared" si="23"/>
        <v>0.88020256197107138</v>
      </c>
      <c r="M302">
        <f t="shared" si="24"/>
        <v>0.19980237355078795</v>
      </c>
      <c r="N302">
        <f t="shared" si="25"/>
        <v>0.19980237355078795</v>
      </c>
    </row>
    <row r="303" spans="3:14" x14ac:dyDescent="0.2">
      <c r="C303">
        <f t="shared" si="26"/>
        <v>202</v>
      </c>
      <c r="D303">
        <f t="shared" si="27"/>
        <v>-1.1520000000000001</v>
      </c>
      <c r="E303">
        <f t="shared" si="21"/>
        <v>0.20546274866007688</v>
      </c>
      <c r="F303" t="str">
        <f t="shared" si="22"/>
        <v/>
      </c>
      <c r="K303">
        <f t="shared" si="23"/>
        <v>0.87533946333568891</v>
      </c>
      <c r="M303">
        <f t="shared" si="24"/>
        <v>0.20546274866007688</v>
      </c>
      <c r="N303">
        <f t="shared" si="25"/>
        <v>0.20546274866007688</v>
      </c>
    </row>
    <row r="304" spans="3:14" x14ac:dyDescent="0.2">
      <c r="C304">
        <f t="shared" si="26"/>
        <v>203</v>
      </c>
      <c r="D304">
        <f t="shared" si="27"/>
        <v>-1.1280000000000001</v>
      </c>
      <c r="E304">
        <f t="shared" si="21"/>
        <v>0.21116181721320312</v>
      </c>
      <c r="F304" t="str">
        <f t="shared" si="22"/>
        <v/>
      </c>
      <c r="K304">
        <f t="shared" si="23"/>
        <v>0.87034004042965185</v>
      </c>
      <c r="M304">
        <f t="shared" si="24"/>
        <v>0.21116181721320312</v>
      </c>
      <c r="N304">
        <f t="shared" si="25"/>
        <v>0.21116181721320312</v>
      </c>
    </row>
    <row r="305" spans="3:14" x14ac:dyDescent="0.2">
      <c r="C305">
        <f t="shared" si="26"/>
        <v>204</v>
      </c>
      <c r="D305">
        <f t="shared" si="27"/>
        <v>-1.1040000000000001</v>
      </c>
      <c r="E305">
        <f t="shared" si="21"/>
        <v>0.21689399801423551</v>
      </c>
      <c r="F305" t="str">
        <f t="shared" si="22"/>
        <v/>
      </c>
      <c r="K305">
        <f t="shared" si="23"/>
        <v>0.86520343115514886</v>
      </c>
      <c r="M305">
        <f t="shared" si="24"/>
        <v>0.21689399801423551</v>
      </c>
      <c r="N305">
        <f t="shared" si="25"/>
        <v>0.21689399801423551</v>
      </c>
    </row>
    <row r="306" spans="3:14" x14ac:dyDescent="0.2">
      <c r="C306">
        <f t="shared" si="26"/>
        <v>205</v>
      </c>
      <c r="D306">
        <f t="shared" si="27"/>
        <v>-1.08</v>
      </c>
      <c r="E306">
        <f t="shared" si="21"/>
        <v>0.22265349875176113</v>
      </c>
      <c r="F306" t="str">
        <f t="shared" si="22"/>
        <v/>
      </c>
      <c r="K306">
        <f t="shared" si="23"/>
        <v>0.85992890991123094</v>
      </c>
      <c r="M306">
        <f t="shared" si="24"/>
        <v>0.22265349875176113</v>
      </c>
      <c r="N306">
        <f t="shared" si="25"/>
        <v>0.22265349875176113</v>
      </c>
    </row>
    <row r="307" spans="3:14" x14ac:dyDescent="0.2">
      <c r="C307">
        <f t="shared" si="26"/>
        <v>206</v>
      </c>
      <c r="D307">
        <f t="shared" si="27"/>
        <v>-1.056</v>
      </c>
      <c r="E307">
        <f t="shared" si="21"/>
        <v>0.22843432378901604</v>
      </c>
      <c r="F307" t="str">
        <f t="shared" si="22"/>
        <v/>
      </c>
      <c r="K307">
        <f t="shared" si="23"/>
        <v>0.85451589256871241</v>
      </c>
      <c r="M307">
        <f t="shared" si="24"/>
        <v>0.22843432378901604</v>
      </c>
      <c r="N307">
        <f t="shared" si="25"/>
        <v>0.22843432378901604</v>
      </c>
    </row>
    <row r="308" spans="3:14" x14ac:dyDescent="0.2">
      <c r="C308">
        <f t="shared" si="26"/>
        <v>207</v>
      </c>
      <c r="D308">
        <f t="shared" si="27"/>
        <v>-1.032</v>
      </c>
      <c r="E308">
        <f t="shared" si="21"/>
        <v>0.23423028275621952</v>
      </c>
      <c r="F308" t="str">
        <f t="shared" si="22"/>
        <v/>
      </c>
      <c r="K308">
        <f t="shared" si="23"/>
        <v>0.84896394124846786</v>
      </c>
      <c r="M308">
        <f t="shared" si="24"/>
        <v>0.23423028275621952</v>
      </c>
      <c r="N308">
        <f t="shared" si="25"/>
        <v>0.23423028275621952</v>
      </c>
    </row>
    <row r="309" spans="3:14" x14ac:dyDescent="0.2">
      <c r="C309">
        <f t="shared" si="26"/>
        <v>208</v>
      </c>
      <c r="D309">
        <f t="shared" si="27"/>
        <v>-1.008</v>
      </c>
      <c r="E309">
        <f t="shared" si="21"/>
        <v>0.2400349999363395</v>
      </c>
      <c r="F309" t="str">
        <f t="shared" si="22"/>
        <v/>
      </c>
      <c r="K309">
        <f t="shared" si="23"/>
        <v>0.8432727688839714</v>
      </c>
      <c r="M309">
        <f t="shared" si="24"/>
        <v>0.2400349999363395</v>
      </c>
      <c r="N309">
        <f t="shared" si="25"/>
        <v>0.2400349999363395</v>
      </c>
    </row>
    <row r="310" spans="3:14" x14ac:dyDescent="0.2">
      <c r="C310">
        <f t="shared" si="26"/>
        <v>209</v>
      </c>
      <c r="D310">
        <f t="shared" si="27"/>
        <v>-0.98399999999999999</v>
      </c>
      <c r="E310">
        <f t="shared" si="21"/>
        <v>0.24584192443204717</v>
      </c>
      <c r="F310" t="str">
        <f t="shared" si="22"/>
        <v/>
      </c>
      <c r="K310">
        <f t="shared" si="23"/>
        <v>0.83744224354917574</v>
      </c>
      <c r="M310">
        <f t="shared" si="24"/>
        <v>0.24584192443204717</v>
      </c>
      <c r="N310">
        <f t="shared" si="25"/>
        <v>0.24584192443204717</v>
      </c>
    </row>
    <row r="311" spans="3:14" x14ac:dyDescent="0.2">
      <c r="C311">
        <f t="shared" si="26"/>
        <v>210</v>
      </c>
      <c r="D311">
        <f t="shared" si="27"/>
        <v>-0.96</v>
      </c>
      <c r="E311">
        <f t="shared" si="21"/>
        <v>0.25164434109811712</v>
      </c>
      <c r="F311" t="str">
        <f t="shared" si="22"/>
        <v/>
      </c>
      <c r="K311">
        <f t="shared" si="23"/>
        <v>0.83147239253316219</v>
      </c>
      <c r="M311">
        <f t="shared" si="24"/>
        <v>0.25164434109811712</v>
      </c>
      <c r="N311">
        <f t="shared" si="25"/>
        <v>0.25164434109811712</v>
      </c>
    </row>
    <row r="312" spans="3:14" x14ac:dyDescent="0.2">
      <c r="C312">
        <f t="shared" si="26"/>
        <v>211</v>
      </c>
      <c r="D312">
        <f t="shared" si="27"/>
        <v>-0.93599999999999994</v>
      </c>
      <c r="E312">
        <f t="shared" si="21"/>
        <v>0.25743538222001205</v>
      </c>
      <c r="F312" t="str">
        <f t="shared" si="22"/>
        <v/>
      </c>
      <c r="K312">
        <f t="shared" si="23"/>
        <v>0.82536340614341941</v>
      </c>
      <c r="M312">
        <f t="shared" si="24"/>
        <v>0.25743538222001205</v>
      </c>
      <c r="N312">
        <f t="shared" si="25"/>
        <v>0.25743538222001205</v>
      </c>
    </row>
    <row r="313" spans="3:14" x14ac:dyDescent="0.2">
      <c r="C313">
        <f t="shared" si="26"/>
        <v>212</v>
      </c>
      <c r="D313">
        <f t="shared" si="27"/>
        <v>-0.91199999999999992</v>
      </c>
      <c r="E313">
        <f t="shared" si="21"/>
        <v>0.2632080399158771</v>
      </c>
      <c r="F313" t="str">
        <f t="shared" si="22"/>
        <v/>
      </c>
      <c r="K313">
        <f t="shared" si="23"/>
        <v>0.81911564122010372</v>
      </c>
      <c r="M313">
        <f t="shared" si="24"/>
        <v>0.2632080399158771</v>
      </c>
      <c r="N313">
        <f t="shared" si="25"/>
        <v>0.2632080399158771</v>
      </c>
    </row>
    <row r="314" spans="3:14" x14ac:dyDescent="0.2">
      <c r="C314">
        <f t="shared" si="26"/>
        <v>213</v>
      </c>
      <c r="D314">
        <f t="shared" si="27"/>
        <v>-0.8879999999999999</v>
      </c>
      <c r="E314">
        <f t="shared" si="21"/>
        <v>0.26895517923567464</v>
      </c>
      <c r="F314" t="str">
        <f t="shared" si="22"/>
        <v/>
      </c>
      <c r="K314">
        <f t="shared" si="23"/>
        <v>0.8127296243442319</v>
      </c>
      <c r="M314">
        <f t="shared" si="24"/>
        <v>0.26895517923567464</v>
      </c>
      <c r="N314">
        <f t="shared" si="25"/>
        <v>0.26895517923567464</v>
      </c>
    </row>
    <row r="315" spans="3:14" x14ac:dyDescent="0.2">
      <c r="C315">
        <f t="shared" si="26"/>
        <v>214</v>
      </c>
      <c r="D315">
        <f t="shared" si="27"/>
        <v>-0.86399999999999988</v>
      </c>
      <c r="E315">
        <f t="shared" si="21"/>
        <v>0.27466955192773695</v>
      </c>
      <c r="F315" t="str">
        <f t="shared" si="22"/>
        <v/>
      </c>
      <c r="K315">
        <f t="shared" si="23"/>
        <v>0.80620605472342077</v>
      </c>
      <c r="M315">
        <f t="shared" si="24"/>
        <v>0.27466955192773695</v>
      </c>
      <c r="N315">
        <f t="shared" si="25"/>
        <v>0.27466955192773695</v>
      </c>
    </row>
    <row r="316" spans="3:14" x14ac:dyDescent="0.2">
      <c r="C316">
        <f t="shared" si="26"/>
        <v>215</v>
      </c>
      <c r="D316">
        <f t="shared" si="27"/>
        <v>-0.83999999999999986</v>
      </c>
      <c r="E316">
        <f t="shared" si="21"/>
        <v>0.28034381083962062</v>
      </c>
      <c r="F316" t="str">
        <f t="shared" si="22"/>
        <v/>
      </c>
      <c r="K316">
        <f t="shared" si="23"/>
        <v>0.79954580673955022</v>
      </c>
      <c r="M316">
        <f t="shared" si="24"/>
        <v>0.28034381083962062</v>
      </c>
      <c r="N316">
        <f t="shared" si="25"/>
        <v>0.28034381083962062</v>
      </c>
    </row>
    <row r="317" spans="3:14" x14ac:dyDescent="0.2">
      <c r="C317">
        <f t="shared" si="26"/>
        <v>216</v>
      </c>
      <c r="D317">
        <f t="shared" si="27"/>
        <v>-0.81599999999999984</v>
      </c>
      <c r="E317">
        <f t="shared" si="21"/>
        <v>0.28597052491682845</v>
      </c>
      <c r="F317" t="str">
        <f t="shared" si="22"/>
        <v/>
      </c>
      <c r="K317">
        <f t="shared" si="23"/>
        <v>0.7927499321435546</v>
      </c>
      <c r="M317">
        <f t="shared" si="24"/>
        <v>0.28597052491682845</v>
      </c>
      <c r="N317">
        <f t="shared" si="25"/>
        <v>0.28597052491682845</v>
      </c>
    </row>
    <row r="318" spans="3:14" x14ac:dyDescent="0.2">
      <c r="C318">
        <f t="shared" si="26"/>
        <v>217</v>
      </c>
      <c r="D318">
        <f t="shared" si="27"/>
        <v>-0.79199999999999982</v>
      </c>
      <c r="E318">
        <f t="shared" si="21"/>
        <v>0.29154219475974724</v>
      </c>
      <c r="F318" t="str">
        <f t="shared" si="22"/>
        <v/>
      </c>
      <c r="K318">
        <f t="shared" si="23"/>
        <v>0.78581966188346253</v>
      </c>
      <c r="M318">
        <f t="shared" si="24"/>
        <v>0.29154219475974724</v>
      </c>
      <c r="N318">
        <f t="shared" si="25"/>
        <v>0.29154219475974724</v>
      </c>
    </row>
    <row r="319" spans="3:14" x14ac:dyDescent="0.2">
      <c r="C319">
        <f t="shared" si="26"/>
        <v>218</v>
      </c>
      <c r="D319">
        <f t="shared" si="27"/>
        <v>-0.76799999999999979</v>
      </c>
      <c r="E319">
        <f t="shared" si="21"/>
        <v>0.2970512686960452</v>
      </c>
      <c r="F319" t="str">
        <f t="shared" si="22"/>
        <v/>
      </c>
      <c r="K319">
        <f t="shared" si="23"/>
        <v>0.77875640755279807</v>
      </c>
      <c r="M319">
        <f t="shared" si="24"/>
        <v>0.2970512686960452</v>
      </c>
      <c r="N319">
        <f t="shared" si="25"/>
        <v>0.2970512686960452</v>
      </c>
    </row>
    <row r="320" spans="3:14" x14ac:dyDescent="0.2">
      <c r="C320">
        <f t="shared" si="26"/>
        <v>219</v>
      </c>
      <c r="D320">
        <f t="shared" si="27"/>
        <v>-0.74399999999999977</v>
      </c>
      <c r="E320">
        <f t="shared" si="21"/>
        <v>0.30249015932280471</v>
      </c>
      <c r="F320" t="str">
        <f t="shared" si="22"/>
        <v/>
      </c>
      <c r="K320">
        <f t="shared" si="23"/>
        <v>0.7715617624475124</v>
      </c>
      <c r="M320">
        <f t="shared" si="24"/>
        <v>0.30249015932280471</v>
      </c>
      <c r="N320">
        <f t="shared" si="25"/>
        <v>0.30249015932280471</v>
      </c>
    </row>
    <row r="321" spans="3:14" x14ac:dyDescent="0.2">
      <c r="C321">
        <f t="shared" si="26"/>
        <v>220</v>
      </c>
      <c r="D321">
        <f t="shared" si="27"/>
        <v>-0.71999999999999975</v>
      </c>
      <c r="E321">
        <f t="shared" si="21"/>
        <v>0.30785126046985301</v>
      </c>
      <c r="F321" t="str">
        <f t="shared" si="22"/>
        <v/>
      </c>
      <c r="K321">
        <f t="shared" si="23"/>
        <v>0.76423750222074882</v>
      </c>
      <c r="M321">
        <f t="shared" si="24"/>
        <v>0.30785126046985301</v>
      </c>
      <c r="N321">
        <f t="shared" si="25"/>
        <v>0.30785126046985301</v>
      </c>
    </row>
    <row r="322" spans="3:14" x14ac:dyDescent="0.2">
      <c r="C322">
        <f t="shared" si="26"/>
        <v>221</v>
      </c>
      <c r="D322">
        <f t="shared" si="27"/>
        <v>-0.69599999999999973</v>
      </c>
      <c r="E322">
        <f t="shared" si="21"/>
        <v>0.3131269645331039</v>
      </c>
      <c r="F322" t="str">
        <f t="shared" si="22"/>
        <v/>
      </c>
      <c r="K322">
        <f t="shared" si="23"/>
        <v>0.75678558512594574</v>
      </c>
      <c r="M322">
        <f t="shared" si="24"/>
        <v>0.3131269645331039</v>
      </c>
      <c r="N322">
        <f t="shared" si="25"/>
        <v>0.3131269645331039</v>
      </c>
    </row>
    <row r="323" spans="3:14" x14ac:dyDescent="0.2">
      <c r="C323">
        <f t="shared" si="26"/>
        <v>222</v>
      </c>
      <c r="D323">
        <f t="shared" si="27"/>
        <v>-0.67199999999999971</v>
      </c>
      <c r="E323">
        <f t="shared" si="21"/>
        <v>0.3183096801242743</v>
      </c>
      <c r="F323" t="str">
        <f t="shared" si="22"/>
        <v/>
      </c>
      <c r="K323">
        <f t="shared" si="23"/>
        <v>0.74920815184003031</v>
      </c>
      <c r="M323">
        <f t="shared" si="24"/>
        <v>0.3183096801242743</v>
      </c>
      <c r="N323">
        <f t="shared" si="25"/>
        <v>0.3183096801242743</v>
      </c>
    </row>
    <row r="324" spans="3:14" x14ac:dyDescent="0.2">
      <c r="C324">
        <f t="shared" si="26"/>
        <v>223</v>
      </c>
      <c r="D324">
        <f t="shared" si="27"/>
        <v>-0.64799999999999969</v>
      </c>
      <c r="E324">
        <f t="shared" si="21"/>
        <v>0.32339184998107995</v>
      </c>
      <c r="F324" t="str">
        <f t="shared" si="22"/>
        <v/>
      </c>
      <c r="K324">
        <f t="shared" si="23"/>
        <v>0.74150752485978122</v>
      </c>
      <c r="M324">
        <f t="shared" si="24"/>
        <v>0.32339184998107995</v>
      </c>
      <c r="N324">
        <f t="shared" si="25"/>
        <v>0.32339184998107995</v>
      </c>
    </row>
    <row r="325" spans="3:14" x14ac:dyDescent="0.2">
      <c r="C325">
        <f t="shared" si="26"/>
        <v>224</v>
      </c>
      <c r="D325">
        <f t="shared" si="27"/>
        <v>-0.62399999999999967</v>
      </c>
      <c r="E325">
        <f t="shared" si="21"/>
        <v>0.32836596907998766</v>
      </c>
      <c r="F325" t="str">
        <f t="shared" si="22"/>
        <v/>
      </c>
      <c r="K325">
        <f t="shared" si="23"/>
        <v>0.73368620746579749</v>
      </c>
      <c r="M325">
        <f t="shared" si="24"/>
        <v>0.32836596907998766</v>
      </c>
      <c r="N325">
        <f t="shared" si="25"/>
        <v>0.32836596907998766</v>
      </c>
    </row>
    <row r="326" spans="3:14" x14ac:dyDescent="0.2">
      <c r="C326">
        <f t="shared" si="26"/>
        <v>225</v>
      </c>
      <c r="D326">
        <f t="shared" si="27"/>
        <v>-0.59999999999999964</v>
      </c>
      <c r="E326">
        <f t="shared" si="21"/>
        <v>0.33322460289179973</v>
      </c>
      <c r="F326" t="str">
        <f t="shared" si="22"/>
        <v/>
      </c>
      <c r="K326">
        <f t="shared" si="23"/>
        <v>0.72574688224992634</v>
      </c>
      <c r="M326">
        <f t="shared" si="24"/>
        <v>0.33322460289179973</v>
      </c>
      <c r="N326">
        <f t="shared" si="25"/>
        <v>0.33322460289179973</v>
      </c>
    </row>
    <row r="327" spans="3:14" x14ac:dyDescent="0.2">
      <c r="C327">
        <f t="shared" si="26"/>
        <v>226</v>
      </c>
      <c r="D327">
        <f t="shared" si="27"/>
        <v>-0.57599999999999962</v>
      </c>
      <c r="E327">
        <f t="shared" si="21"/>
        <v>0.33796040571879715</v>
      </c>
      <c r="F327" t="str">
        <f t="shared" si="22"/>
        <v/>
      </c>
      <c r="K327">
        <f t="shared" si="23"/>
        <v>0.71769240920345434</v>
      </c>
      <c r="M327">
        <f t="shared" si="24"/>
        <v>0.33796040571879715</v>
      </c>
      <c r="N327">
        <f t="shared" si="25"/>
        <v>0.33796040571879715</v>
      </c>
    </row>
    <row r="328" spans="3:14" x14ac:dyDescent="0.2">
      <c r="C328">
        <f t="shared" si="26"/>
        <v>227</v>
      </c>
      <c r="D328">
        <f t="shared" si="27"/>
        <v>-0.5519999999999996</v>
      </c>
      <c r="E328">
        <f t="shared" si="21"/>
        <v>0.34256613905087624</v>
      </c>
      <c r="F328" t="str">
        <f t="shared" si="22"/>
        <v/>
      </c>
      <c r="K328">
        <f t="shared" si="23"/>
        <v>0.70952582336485326</v>
      </c>
      <c r="M328">
        <f t="shared" si="24"/>
        <v>0.34256613905087624</v>
      </c>
      <c r="N328">
        <f t="shared" si="25"/>
        <v>0.34256613905087624</v>
      </c>
    </row>
    <row r="329" spans="3:14" x14ac:dyDescent="0.2">
      <c r="C329">
        <f t="shared" si="26"/>
        <v>228</v>
      </c>
      <c r="D329">
        <f t="shared" si="27"/>
        <v>-0.52799999999999958</v>
      </c>
      <c r="E329">
        <f t="shared" si="21"/>
        <v>0.34703468987709241</v>
      </c>
      <c r="F329" t="str">
        <f t="shared" si="22"/>
        <v/>
      </c>
      <c r="K329">
        <f t="shared" si="23"/>
        <v>0.70125033202738518</v>
      </c>
      <c r="M329">
        <f t="shared" si="24"/>
        <v>0.34703468987709241</v>
      </c>
      <c r="N329">
        <f t="shared" si="25"/>
        <v>0.34703468987709241</v>
      </c>
    </row>
    <row r="330" spans="3:14" x14ac:dyDescent="0.2">
      <c r="C330">
        <f t="shared" si="26"/>
        <v>229</v>
      </c>
      <c r="D330">
        <f t="shared" si="27"/>
        <v>-0.50399999999999956</v>
      </c>
      <c r="E330">
        <f t="shared" si="21"/>
        <v>0.3513590888882841</v>
      </c>
      <c r="F330" t="str">
        <f t="shared" si="22"/>
        <v/>
      </c>
      <c r="K330">
        <f t="shared" si="23"/>
        <v>0.6928693115084088</v>
      </c>
      <c r="M330">
        <f t="shared" si="24"/>
        <v>0.3513590888882841</v>
      </c>
      <c r="N330">
        <f t="shared" si="25"/>
        <v>0.3513590888882841</v>
      </c>
    </row>
    <row r="331" spans="3:14" x14ac:dyDescent="0.2">
      <c r="C331">
        <f t="shared" si="26"/>
        <v>230</v>
      </c>
      <c r="D331">
        <f t="shared" si="27"/>
        <v>-0.48000000000000043</v>
      </c>
      <c r="E331">
        <f t="shared" si="21"/>
        <v>0.35553252850599704</v>
      </c>
      <c r="F331" t="str">
        <f t="shared" si="22"/>
        <v/>
      </c>
      <c r="K331">
        <f t="shared" si="23"/>
        <v>0.6843863034837776</v>
      </c>
      <c r="M331">
        <f t="shared" si="24"/>
        <v>0.35553252850599704</v>
      </c>
      <c r="N331">
        <f t="shared" si="25"/>
        <v>0.35553252850599704</v>
      </c>
    </row>
    <row r="332" spans="3:14" x14ac:dyDescent="0.2">
      <c r="C332">
        <f t="shared" si="26"/>
        <v>231</v>
      </c>
      <c r="D332">
        <f t="shared" si="27"/>
        <v>-0.45600000000000041</v>
      </c>
      <c r="E332">
        <f t="shared" si="21"/>
        <v>0.35954838067276951</v>
      </c>
      <c r="F332" t="str">
        <f t="shared" si="22"/>
        <v/>
      </c>
      <c r="K332">
        <f t="shared" si="23"/>
        <v>0.67580501089227585</v>
      </c>
      <c r="M332">
        <f t="shared" si="24"/>
        <v>0.35954838067276951</v>
      </c>
      <c r="N332">
        <f t="shared" si="25"/>
        <v>0.35954838067276951</v>
      </c>
    </row>
    <row r="333" spans="3:14" x14ac:dyDescent="0.2">
      <c r="C333">
        <f t="shared" si="26"/>
        <v>232</v>
      </c>
      <c r="D333">
        <f t="shared" si="27"/>
        <v>-0.43200000000000038</v>
      </c>
      <c r="E333">
        <f t="shared" si="21"/>
        <v>0.36340021433897718</v>
      </c>
      <c r="F333" t="str">
        <f t="shared" si="22"/>
        <v/>
      </c>
      <c r="K333">
        <f t="shared" si="23"/>
        <v>0.66712929341660332</v>
      </c>
      <c r="M333">
        <f t="shared" si="24"/>
        <v>0.36340021433897718</v>
      </c>
      <c r="N333">
        <f t="shared" si="25"/>
        <v>0.36340021433897718</v>
      </c>
    </row>
    <row r="334" spans="3:14" x14ac:dyDescent="0.2">
      <c r="C334">
        <f t="shared" si="26"/>
        <v>233</v>
      </c>
      <c r="D334">
        <f t="shared" si="27"/>
        <v>-0.40800000000000036</v>
      </c>
      <c r="E334">
        <f t="shared" si="21"/>
        <v>0.36708181258188249</v>
      </c>
      <c r="F334" t="str">
        <f t="shared" si="22"/>
        <v/>
      </c>
      <c r="K334">
        <f t="shared" si="23"/>
        <v>0.65836316254895766</v>
      </c>
      <c r="M334">
        <f t="shared" si="24"/>
        <v>0.36708181258188249</v>
      </c>
      <c r="N334">
        <f t="shared" si="25"/>
        <v>0.36708181258188249</v>
      </c>
    </row>
    <row r="335" spans="3:14" x14ac:dyDescent="0.2">
      <c r="C335">
        <f t="shared" si="26"/>
        <v>234</v>
      </c>
      <c r="D335">
        <f t="shared" si="27"/>
        <v>-0.38400000000000034</v>
      </c>
      <c r="E335">
        <f t="shared" si="21"/>
        <v>0.3705871892932735</v>
      </c>
      <c r="F335" t="str">
        <f t="shared" si="22"/>
        <v/>
      </c>
      <c r="K335">
        <f t="shared" si="23"/>
        <v>0.64951077625081155</v>
      </c>
      <c r="M335">
        <f t="shared" si="24"/>
        <v>0.3705871892932735</v>
      </c>
      <c r="N335">
        <f t="shared" si="25"/>
        <v>0.3705871892932735</v>
      </c>
    </row>
    <row r="336" spans="3:14" x14ac:dyDescent="0.2">
      <c r="C336">
        <f t="shared" si="26"/>
        <v>235</v>
      </c>
      <c r="D336">
        <f t="shared" si="27"/>
        <v>-0.36000000000000032</v>
      </c>
      <c r="E336">
        <f t="shared" si="21"/>
        <v>0.37391060537312837</v>
      </c>
      <c r="F336" t="str">
        <f t="shared" si="22"/>
        <v/>
      </c>
      <c r="K336">
        <f t="shared" si="23"/>
        <v>0.6405764332179914</v>
      </c>
      <c r="M336">
        <f t="shared" si="24"/>
        <v>0.37391060537312837</v>
      </c>
      <c r="N336">
        <f t="shared" si="25"/>
        <v>0.37391060537312837</v>
      </c>
    </row>
    <row r="337" spans="3:14" x14ac:dyDescent="0.2">
      <c r="C337">
        <f t="shared" si="26"/>
        <v>236</v>
      </c>
      <c r="D337">
        <f t="shared" si="27"/>
        <v>-0.3360000000000003</v>
      </c>
      <c r="E337">
        <f t="shared" si="21"/>
        <v>0.37704658436808808</v>
      </c>
      <c r="F337" t="str">
        <f t="shared" si="22"/>
        <v/>
      </c>
      <c r="K337">
        <f t="shared" si="23"/>
        <v>0.63156456676364736</v>
      </c>
      <c r="M337">
        <f t="shared" si="24"/>
        <v>0.37704658436808808</v>
      </c>
      <c r="N337">
        <f t="shared" si="25"/>
        <v>0.37704658436808808</v>
      </c>
    </row>
    <row r="338" spans="3:14" x14ac:dyDescent="0.2">
      <c r="C338">
        <f t="shared" si="26"/>
        <v>237</v>
      </c>
      <c r="D338">
        <f t="shared" si="27"/>
        <v>-0.31200000000000028</v>
      </c>
      <c r="E338">
        <f t="shared" si="21"/>
        <v>0.37998992749516874</v>
      </c>
      <c r="F338" t="str">
        <f t="shared" si="22"/>
        <v/>
      </c>
      <c r="K338">
        <f t="shared" si="23"/>
        <v>0.62247973833316173</v>
      </c>
      <c r="M338">
        <f t="shared" si="24"/>
        <v>0.37998992749516874</v>
      </c>
      <c r="N338">
        <f t="shared" si="25"/>
        <v>0.37998992749516874</v>
      </c>
    </row>
    <row r="339" spans="3:14" x14ac:dyDescent="0.2">
      <c r="C339">
        <f t="shared" si="26"/>
        <v>238</v>
      </c>
      <c r="D339">
        <f t="shared" si="27"/>
        <v>-0.28800000000000026</v>
      </c>
      <c r="E339">
        <f t="shared" si="21"/>
        <v>0.38273572799307848</v>
      </c>
      <c r="F339" t="str">
        <f t="shared" si="22"/>
        <v/>
      </c>
      <c r="K339">
        <f t="shared" si="23"/>
        <v>0.61332663066644277</v>
      </c>
      <c r="M339">
        <f t="shared" si="24"/>
        <v>0.38273572799307848</v>
      </c>
      <c r="N339">
        <f t="shared" si="25"/>
        <v>0.38273572799307848</v>
      </c>
    </row>
    <row r="340" spans="3:14" x14ac:dyDescent="0.2">
      <c r="C340">
        <f t="shared" si="26"/>
        <v>239</v>
      </c>
      <c r="D340">
        <f t="shared" si="27"/>
        <v>-0.26400000000000023</v>
      </c>
      <c r="E340">
        <f t="shared" si="21"/>
        <v>0.38527938474572759</v>
      </c>
      <c r="F340" t="str">
        <f t="shared" si="22"/>
        <v/>
      </c>
      <c r="K340">
        <f t="shared" si="23"/>
        <v>0.60411004062441254</v>
      </c>
      <c r="M340">
        <f t="shared" si="24"/>
        <v>0.38527938474572759</v>
      </c>
      <c r="N340">
        <f t="shared" si="25"/>
        <v>0.38527938474572759</v>
      </c>
    </row>
    <row r="341" spans="3:14" x14ac:dyDescent="0.2">
      <c r="C341">
        <f t="shared" si="26"/>
        <v>240</v>
      </c>
      <c r="D341">
        <f t="shared" si="27"/>
        <v>-0.24000000000000021</v>
      </c>
      <c r="E341">
        <f t="shared" si="21"/>
        <v>0.38761661512501411</v>
      </c>
      <c r="F341" t="str">
        <f t="shared" si="22"/>
        <v/>
      </c>
      <c r="K341">
        <f t="shared" si="23"/>
        <v>0.59483487169779603</v>
      </c>
      <c r="M341">
        <f t="shared" si="24"/>
        <v>0.38761661512501411</v>
      </c>
      <c r="N341">
        <f t="shared" si="25"/>
        <v>0.38761661512501411</v>
      </c>
    </row>
    <row r="342" spans="3:14" x14ac:dyDescent="0.2">
      <c r="C342">
        <f t="shared" si="26"/>
        <v>241</v>
      </c>
      <c r="D342">
        <f t="shared" si="27"/>
        <v>-0.21600000000000019</v>
      </c>
      <c r="E342">
        <f t="shared" si="21"/>
        <v>0.38974346700272944</v>
      </c>
      <c r="F342" t="str">
        <f t="shared" si="22"/>
        <v/>
      </c>
      <c r="K342">
        <f t="shared" si="23"/>
        <v>0.58550612621755604</v>
      </c>
      <c r="M342">
        <f t="shared" si="24"/>
        <v>0.38974346700272944</v>
      </c>
      <c r="N342">
        <f t="shared" si="25"/>
        <v>0.38974346700272944</v>
      </c>
    </row>
    <row r="343" spans="3:14" x14ac:dyDescent="0.2">
      <c r="C343">
        <f t="shared" si="26"/>
        <v>242</v>
      </c>
      <c r="D343">
        <f t="shared" si="27"/>
        <v>-0.19200000000000017</v>
      </c>
      <c r="E343">
        <f t="shared" si="21"/>
        <v>0.39165632988443705</v>
      </c>
      <c r="F343" t="str">
        <f t="shared" si="22"/>
        <v/>
      </c>
      <c r="K343">
        <f t="shared" si="23"/>
        <v>0.57612889728748906</v>
      </c>
      <c r="M343">
        <f t="shared" si="24"/>
        <v>0.39165632988443705</v>
      </c>
      <c r="N343">
        <f t="shared" si="25"/>
        <v>0.39165632988443705</v>
      </c>
    </row>
    <row r="344" spans="3:14" x14ac:dyDescent="0.2">
      <c r="C344">
        <f t="shared" si="26"/>
        <v>243</v>
      </c>
      <c r="D344">
        <f t="shared" si="27"/>
        <v>-0.16800000000000015</v>
      </c>
      <c r="E344">
        <f t="shared" si="21"/>
        <v>0.39335194512142974</v>
      </c>
      <c r="F344" t="str">
        <f t="shared" si="22"/>
        <v/>
      </c>
      <c r="K344">
        <f t="shared" si="23"/>
        <v>0.56670836046058459</v>
      </c>
      <c r="M344">
        <f t="shared" si="24"/>
        <v>0.39335194512142974</v>
      </c>
      <c r="N344">
        <f t="shared" si="25"/>
        <v>0.39335194512142974</v>
      </c>
    </row>
    <row r="345" spans="3:14" x14ac:dyDescent="0.2">
      <c r="C345">
        <f t="shared" si="26"/>
        <v>244</v>
      </c>
      <c r="D345">
        <f t="shared" si="27"/>
        <v>-0.14400000000000013</v>
      </c>
      <c r="E345">
        <f t="shared" si="21"/>
        <v>0.39482741516033976</v>
      </c>
      <c r="F345" t="str">
        <f t="shared" si="22"/>
        <v/>
      </c>
      <c r="K345">
        <f t="shared" si="23"/>
        <v>0.55724976518177005</v>
      </c>
      <c r="M345">
        <f t="shared" si="24"/>
        <v>0.39482741516033976</v>
      </c>
      <c r="N345">
        <f t="shared" si="25"/>
        <v>0.39482741516033976</v>
      </c>
    </row>
    <row r="346" spans="3:14" x14ac:dyDescent="0.2">
      <c r="C346">
        <f t="shared" si="26"/>
        <v>245</v>
      </c>
      <c r="D346">
        <f t="shared" si="27"/>
        <v>-0.12000000000000011</v>
      </c>
      <c r="E346">
        <f t="shared" si="21"/>
        <v>0.3960802117936561</v>
      </c>
      <c r="F346" t="str">
        <f t="shared" si="22"/>
        <v/>
      </c>
      <c r="K346">
        <f t="shared" si="23"/>
        <v>0.54775842602058389</v>
      </c>
      <c r="M346">
        <f t="shared" si="24"/>
        <v>0.3960802117936561</v>
      </c>
      <c r="N346">
        <f t="shared" si="25"/>
        <v>0.3960802117936561</v>
      </c>
    </row>
    <row r="347" spans="3:14" x14ac:dyDescent="0.2">
      <c r="C347">
        <f t="shared" si="26"/>
        <v>246</v>
      </c>
      <c r="D347">
        <f t="shared" si="27"/>
        <v>-9.6000000000000085E-2</v>
      </c>
      <c r="E347">
        <f t="shared" si="21"/>
        <v>0.39710818337826648</v>
      </c>
      <c r="F347" t="str">
        <f t="shared" si="22"/>
        <v/>
      </c>
      <c r="K347">
        <f t="shared" si="23"/>
        <v>0.53823971371815793</v>
      </c>
      <c r="M347">
        <f t="shared" si="24"/>
        <v>0.39710818337826648</v>
      </c>
      <c r="N347">
        <f t="shared" si="25"/>
        <v>0.39710818337826648</v>
      </c>
    </row>
    <row r="348" spans="3:14" x14ac:dyDescent="0.2">
      <c r="C348">
        <f t="shared" si="26"/>
        <v>247</v>
      </c>
      <c r="D348">
        <f t="shared" si="27"/>
        <v>-7.2000000000000064E-2</v>
      </c>
      <c r="E348">
        <f t="shared" si="21"/>
        <v>0.39790956099317593</v>
      </c>
      <c r="F348" t="str">
        <f t="shared" si="22"/>
        <v/>
      </c>
      <c r="K348">
        <f t="shared" si="23"/>
        <v>0.52869904607363161</v>
      </c>
      <c r="M348">
        <f t="shared" si="24"/>
        <v>0.39790956099317593</v>
      </c>
      <c r="N348" t="str">
        <f t="shared" si="25"/>
        <v/>
      </c>
    </row>
    <row r="349" spans="3:14" x14ac:dyDescent="0.2">
      <c r="C349">
        <f t="shared" si="26"/>
        <v>248</v>
      </c>
      <c r="D349">
        <f t="shared" si="27"/>
        <v>-4.8000000000000043E-2</v>
      </c>
      <c r="E349">
        <f t="shared" si="21"/>
        <v>0.39848296351173551</v>
      </c>
      <c r="F349" t="str">
        <f t="shared" si="22"/>
        <v/>
      </c>
      <c r="K349">
        <f t="shared" si="23"/>
        <v>0.51914187869576145</v>
      </c>
      <c r="M349">
        <f t="shared" si="24"/>
        <v>0.39848296351173551</v>
      </c>
      <c r="N349" t="str">
        <f t="shared" si="25"/>
        <v/>
      </c>
    </row>
    <row r="350" spans="3:14" x14ac:dyDescent="0.2">
      <c r="C350">
        <f t="shared" si="26"/>
        <v>249</v>
      </c>
      <c r="D350">
        <f t="shared" si="27"/>
        <v>-2.4000000000000021E-2</v>
      </c>
      <c r="E350">
        <f t="shared" si="21"/>
        <v>0.39882740156802315</v>
      </c>
      <c r="F350" t="str">
        <f t="shared" si="22"/>
        <v/>
      </c>
      <c r="K350">
        <f t="shared" si="23"/>
        <v>0.50957369564603061</v>
      </c>
      <c r="M350">
        <f t="shared" si="24"/>
        <v>0.39882740156802315</v>
      </c>
      <c r="N350" t="str">
        <f t="shared" si="25"/>
        <v/>
      </c>
    </row>
    <row r="351" spans="3:14" x14ac:dyDescent="0.2">
      <c r="C351">
        <f t="shared" si="26"/>
        <v>250</v>
      </c>
      <c r="D351">
        <f t="shared" si="27"/>
        <v>0</v>
      </c>
      <c r="E351">
        <f t="shared" si="21"/>
        <v>0.3989422804014327</v>
      </c>
      <c r="F351" t="str">
        <f t="shared" si="22"/>
        <v/>
      </c>
      <c r="K351">
        <f t="shared" si="23"/>
        <v>0.5</v>
      </c>
      <c r="M351">
        <f t="shared" si="24"/>
        <v>0.3989422804014327</v>
      </c>
      <c r="N351" t="str">
        <f t="shared" si="25"/>
        <v/>
      </c>
    </row>
    <row r="352" spans="3:14" x14ac:dyDescent="0.2">
      <c r="C352">
        <f t="shared" si="26"/>
        <v>251</v>
      </c>
      <c r="D352">
        <f t="shared" si="27"/>
        <v>2.4000000000000021E-2</v>
      </c>
      <c r="E352">
        <f t="shared" si="21"/>
        <v>0.39882740156802315</v>
      </c>
      <c r="F352" t="str">
        <f t="shared" si="22"/>
        <v/>
      </c>
      <c r="K352">
        <f t="shared" si="23"/>
        <v>0.49042630435396939</v>
      </c>
      <c r="M352">
        <f t="shared" si="24"/>
        <v>0.39882740156802315</v>
      </c>
      <c r="N352" t="str">
        <f t="shared" si="25"/>
        <v/>
      </c>
    </row>
    <row r="353" spans="3:14" x14ac:dyDescent="0.2">
      <c r="C353">
        <f t="shared" si="26"/>
        <v>252</v>
      </c>
      <c r="D353">
        <f t="shared" si="27"/>
        <v>4.8000000000000043E-2</v>
      </c>
      <c r="E353">
        <f t="shared" si="21"/>
        <v>0.39848296351173551</v>
      </c>
      <c r="F353" t="str">
        <f t="shared" si="22"/>
        <v/>
      </c>
      <c r="K353">
        <f t="shared" si="23"/>
        <v>0.48085812130423855</v>
      </c>
      <c r="M353">
        <f t="shared" si="24"/>
        <v>0.39848296351173551</v>
      </c>
      <c r="N353" t="str">
        <f t="shared" si="25"/>
        <v/>
      </c>
    </row>
    <row r="354" spans="3:14" x14ac:dyDescent="0.2">
      <c r="C354">
        <f t="shared" si="26"/>
        <v>253</v>
      </c>
      <c r="D354">
        <f t="shared" si="27"/>
        <v>7.2000000000000064E-2</v>
      </c>
      <c r="E354">
        <f t="shared" si="21"/>
        <v>0.39790956099317593</v>
      </c>
      <c r="F354" t="str">
        <f t="shared" si="22"/>
        <v/>
      </c>
      <c r="K354">
        <f t="shared" si="23"/>
        <v>0.47130095392636839</v>
      </c>
      <c r="M354">
        <f t="shared" si="24"/>
        <v>0.39790956099317593</v>
      </c>
      <c r="N354" t="str">
        <f t="shared" si="25"/>
        <v/>
      </c>
    </row>
    <row r="355" spans="3:14" x14ac:dyDescent="0.2">
      <c r="C355">
        <f t="shared" si="26"/>
        <v>254</v>
      </c>
      <c r="D355">
        <f t="shared" si="27"/>
        <v>9.6000000000000085E-2</v>
      </c>
      <c r="E355">
        <f t="shared" si="21"/>
        <v>0.39710818337826648</v>
      </c>
      <c r="F355">
        <f t="shared" si="22"/>
        <v>0.39710818337826648</v>
      </c>
      <c r="K355">
        <f t="shared" si="23"/>
        <v>0.46176028628184207</v>
      </c>
      <c r="M355" t="str">
        <f t="shared" si="24"/>
        <v/>
      </c>
      <c r="N355">
        <f t="shared" si="25"/>
        <v>0.39710818337826648</v>
      </c>
    </row>
    <row r="356" spans="3:14" x14ac:dyDescent="0.2">
      <c r="C356">
        <f t="shared" si="26"/>
        <v>255</v>
      </c>
      <c r="D356">
        <f t="shared" si="27"/>
        <v>0.12000000000000011</v>
      </c>
      <c r="E356">
        <f t="shared" si="21"/>
        <v>0.3960802117936561</v>
      </c>
      <c r="F356">
        <f t="shared" si="22"/>
        <v>0.3960802117936561</v>
      </c>
      <c r="K356">
        <f t="shared" si="23"/>
        <v>0.45224157397941611</v>
      </c>
      <c r="M356" t="str">
        <f t="shared" si="24"/>
        <v/>
      </c>
      <c r="N356">
        <f t="shared" si="25"/>
        <v>0.3960802117936561</v>
      </c>
    </row>
    <row r="357" spans="3:14" x14ac:dyDescent="0.2">
      <c r="C357">
        <f t="shared" si="26"/>
        <v>256</v>
      </c>
      <c r="D357">
        <f t="shared" si="27"/>
        <v>0.14400000000000013</v>
      </c>
      <c r="E357">
        <f t="shared" ref="E357:E420" si="28">NORMDIST(D357,mu,sigma,0)</f>
        <v>0.39482741516033976</v>
      </c>
      <c r="F357">
        <f t="shared" ref="F357:F420" si="29">IF(D357&gt;onevalue,E357,"")</f>
        <v>0.39482741516033976</v>
      </c>
      <c r="K357">
        <f t="shared" ref="K357:K420" si="30">1-NORMDIST(D357,mu,sigma,1)</f>
        <v>0.44275023481822995</v>
      </c>
      <c r="M357" t="str">
        <f t="shared" ref="M357:M420" si="31">IF($D357&lt;onevalue,$E357,"")</f>
        <v/>
      </c>
      <c r="N357">
        <f t="shared" ref="N357:N420" si="32">IF(ABS($D357)&gt;=ABS(onevalue),$E357,"")</f>
        <v>0.39482741516033976</v>
      </c>
    </row>
    <row r="358" spans="3:14" x14ac:dyDescent="0.2">
      <c r="C358">
        <f t="shared" ref="C358:C421" si="33">ROW(C358)-101</f>
        <v>257</v>
      </c>
      <c r="D358">
        <f t="shared" ref="D358:D421" si="34">$B$100+($B$101-$B$100)*C358/$B$102</f>
        <v>0.16800000000000015</v>
      </c>
      <c r="E358">
        <f t="shared" si="28"/>
        <v>0.39335194512142974</v>
      </c>
      <c r="F358">
        <f t="shared" si="29"/>
        <v>0.39335194512142974</v>
      </c>
      <c r="K358">
        <f t="shared" si="30"/>
        <v>0.43329163953941541</v>
      </c>
      <c r="M358" t="str">
        <f t="shared" si="31"/>
        <v/>
      </c>
      <c r="N358">
        <f t="shared" si="32"/>
        <v>0.39335194512142974</v>
      </c>
    </row>
    <row r="359" spans="3:14" x14ac:dyDescent="0.2">
      <c r="C359">
        <f t="shared" si="33"/>
        <v>258</v>
      </c>
      <c r="D359">
        <f t="shared" si="34"/>
        <v>0.19200000000000017</v>
      </c>
      <c r="E359">
        <f t="shared" si="28"/>
        <v>0.39165632988443705</v>
      </c>
      <c r="F359">
        <f t="shared" si="29"/>
        <v>0.39165632988443705</v>
      </c>
      <c r="K359">
        <f t="shared" si="30"/>
        <v>0.42387110271251094</v>
      </c>
      <c r="M359" t="str">
        <f t="shared" si="31"/>
        <v/>
      </c>
      <c r="N359">
        <f t="shared" si="32"/>
        <v>0.39165632988443705</v>
      </c>
    </row>
    <row r="360" spans="3:14" x14ac:dyDescent="0.2">
      <c r="C360">
        <f t="shared" si="33"/>
        <v>259</v>
      </c>
      <c r="D360">
        <f t="shared" si="34"/>
        <v>0.21600000000000019</v>
      </c>
      <c r="E360">
        <f t="shared" si="28"/>
        <v>0.38974346700272944</v>
      </c>
      <c r="F360">
        <f t="shared" si="29"/>
        <v>0.38974346700272944</v>
      </c>
      <c r="K360">
        <f t="shared" si="30"/>
        <v>0.41449387378244396</v>
      </c>
      <c r="M360" t="str">
        <f t="shared" si="31"/>
        <v/>
      </c>
      <c r="N360">
        <f t="shared" si="32"/>
        <v>0.38974346700272944</v>
      </c>
    </row>
    <row r="361" spans="3:14" x14ac:dyDescent="0.2">
      <c r="C361">
        <f t="shared" si="33"/>
        <v>260</v>
      </c>
      <c r="D361">
        <f t="shared" si="34"/>
        <v>0.24000000000000021</v>
      </c>
      <c r="E361">
        <f t="shared" si="28"/>
        <v>0.38761661512501411</v>
      </c>
      <c r="F361">
        <f t="shared" si="29"/>
        <v>0.38761661512501411</v>
      </c>
      <c r="K361">
        <f t="shared" si="30"/>
        <v>0.40516512830220397</v>
      </c>
      <c r="M361" t="str">
        <f t="shared" si="31"/>
        <v/>
      </c>
      <c r="N361">
        <f t="shared" si="32"/>
        <v>0.38761661512501411</v>
      </c>
    </row>
    <row r="362" spans="3:14" x14ac:dyDescent="0.2">
      <c r="C362">
        <f t="shared" si="33"/>
        <v>261</v>
      </c>
      <c r="D362">
        <f t="shared" si="34"/>
        <v>0.26400000000000023</v>
      </c>
      <c r="E362">
        <f t="shared" si="28"/>
        <v>0.38527938474572759</v>
      </c>
      <c r="F362">
        <f t="shared" si="29"/>
        <v>0.38527938474572759</v>
      </c>
      <c r="K362">
        <f t="shared" si="30"/>
        <v>0.39588995937558746</v>
      </c>
      <c r="M362" t="str">
        <f t="shared" si="31"/>
        <v/>
      </c>
      <c r="N362">
        <f t="shared" si="32"/>
        <v>0.38527938474572759</v>
      </c>
    </row>
    <row r="363" spans="3:14" x14ac:dyDescent="0.2">
      <c r="C363">
        <f t="shared" si="33"/>
        <v>262</v>
      </c>
      <c r="D363">
        <f t="shared" si="34"/>
        <v>0.28800000000000026</v>
      </c>
      <c r="E363">
        <f t="shared" si="28"/>
        <v>0.38273572799307848</v>
      </c>
      <c r="F363">
        <f t="shared" si="29"/>
        <v>0.38273572799307848</v>
      </c>
      <c r="K363">
        <f t="shared" si="30"/>
        <v>0.38667336933355723</v>
      </c>
      <c r="M363" t="str">
        <f t="shared" si="31"/>
        <v/>
      </c>
      <c r="N363">
        <f t="shared" si="32"/>
        <v>0.38273572799307848</v>
      </c>
    </row>
    <row r="364" spans="3:14" x14ac:dyDescent="0.2">
      <c r="C364">
        <f t="shared" si="33"/>
        <v>263</v>
      </c>
      <c r="D364">
        <f t="shared" si="34"/>
        <v>0.31200000000000028</v>
      </c>
      <c r="E364">
        <f t="shared" si="28"/>
        <v>0.37998992749516874</v>
      </c>
      <c r="F364">
        <f t="shared" si="29"/>
        <v>0.37998992749516874</v>
      </c>
      <c r="K364">
        <f t="shared" si="30"/>
        <v>0.37752026166683827</v>
      </c>
      <c r="M364" t="str">
        <f t="shared" si="31"/>
        <v/>
      </c>
      <c r="N364">
        <f t="shared" si="32"/>
        <v>0.37998992749516874</v>
      </c>
    </row>
    <row r="365" spans="3:14" x14ac:dyDescent="0.2">
      <c r="C365">
        <f t="shared" si="33"/>
        <v>264</v>
      </c>
      <c r="D365">
        <f t="shared" si="34"/>
        <v>0.3360000000000003</v>
      </c>
      <c r="E365">
        <f t="shared" si="28"/>
        <v>0.37704658436808808</v>
      </c>
      <c r="F365">
        <f t="shared" si="29"/>
        <v>0.37704658436808808</v>
      </c>
      <c r="K365">
        <f t="shared" si="30"/>
        <v>0.36843543323635264</v>
      </c>
      <c r="M365" t="str">
        <f t="shared" si="31"/>
        <v/>
      </c>
      <c r="N365">
        <f t="shared" si="32"/>
        <v>0.37704658436808808</v>
      </c>
    </row>
    <row r="366" spans="3:14" x14ac:dyDescent="0.2">
      <c r="C366">
        <f t="shared" si="33"/>
        <v>265</v>
      </c>
      <c r="D366">
        <f t="shared" si="34"/>
        <v>0.36000000000000032</v>
      </c>
      <c r="E366">
        <f t="shared" si="28"/>
        <v>0.37391060537312837</v>
      </c>
      <c r="F366">
        <f t="shared" si="29"/>
        <v>0.37391060537312837</v>
      </c>
      <c r="K366">
        <f t="shared" si="30"/>
        <v>0.3594235667820086</v>
      </c>
      <c r="M366" t="str">
        <f t="shared" si="31"/>
        <v/>
      </c>
      <c r="N366">
        <f t="shared" si="32"/>
        <v>0.37391060537312837</v>
      </c>
    </row>
    <row r="367" spans="3:14" x14ac:dyDescent="0.2">
      <c r="C367">
        <f t="shared" si="33"/>
        <v>266</v>
      </c>
      <c r="D367">
        <f t="shared" si="34"/>
        <v>0.38400000000000034</v>
      </c>
      <c r="E367">
        <f t="shared" si="28"/>
        <v>0.3705871892932735</v>
      </c>
      <c r="F367">
        <f t="shared" si="29"/>
        <v>0.3705871892932735</v>
      </c>
      <c r="K367">
        <f t="shared" si="30"/>
        <v>0.35048922374918845</v>
      </c>
      <c r="M367" t="str">
        <f t="shared" si="31"/>
        <v/>
      </c>
      <c r="N367">
        <f t="shared" si="32"/>
        <v>0.3705871892932735</v>
      </c>
    </row>
    <row r="368" spans="3:14" x14ac:dyDescent="0.2">
      <c r="C368">
        <f t="shared" si="33"/>
        <v>267</v>
      </c>
      <c r="D368">
        <f t="shared" si="34"/>
        <v>0.40800000000000036</v>
      </c>
      <c r="E368">
        <f t="shared" si="28"/>
        <v>0.36708181258188249</v>
      </c>
      <c r="F368">
        <f t="shared" si="29"/>
        <v>0.36708181258188249</v>
      </c>
      <c r="K368">
        <f t="shared" si="30"/>
        <v>0.34163683745104234</v>
      </c>
      <c r="M368" t="str">
        <f t="shared" si="31"/>
        <v/>
      </c>
      <c r="N368">
        <f t="shared" si="32"/>
        <v>0.36708181258188249</v>
      </c>
    </row>
    <row r="369" spans="3:14" x14ac:dyDescent="0.2">
      <c r="C369">
        <f t="shared" si="33"/>
        <v>268</v>
      </c>
      <c r="D369">
        <f t="shared" si="34"/>
        <v>0.43200000000000038</v>
      </c>
      <c r="E369">
        <f t="shared" si="28"/>
        <v>0.36340021433897718</v>
      </c>
      <c r="F369">
        <f t="shared" si="29"/>
        <v>0.36340021433897718</v>
      </c>
      <c r="K369">
        <f t="shared" si="30"/>
        <v>0.33287070658339668</v>
      </c>
      <c r="M369" t="str">
        <f t="shared" si="31"/>
        <v/>
      </c>
      <c r="N369">
        <f t="shared" si="32"/>
        <v>0.36340021433897718</v>
      </c>
    </row>
    <row r="370" spans="3:14" x14ac:dyDescent="0.2">
      <c r="C370">
        <f t="shared" si="33"/>
        <v>269</v>
      </c>
      <c r="D370">
        <f t="shared" si="34"/>
        <v>0.45600000000000041</v>
      </c>
      <c r="E370">
        <f t="shared" si="28"/>
        <v>0.35954838067276951</v>
      </c>
      <c r="F370">
        <f t="shared" si="29"/>
        <v>0.35954838067276951</v>
      </c>
      <c r="K370">
        <f t="shared" si="30"/>
        <v>0.32419498910772415</v>
      </c>
      <c r="M370" t="str">
        <f t="shared" si="31"/>
        <v/>
      </c>
      <c r="N370">
        <f t="shared" si="32"/>
        <v>0.35954838067276951</v>
      </c>
    </row>
    <row r="371" spans="3:14" x14ac:dyDescent="0.2">
      <c r="C371">
        <f t="shared" si="33"/>
        <v>270</v>
      </c>
      <c r="D371">
        <f t="shared" si="34"/>
        <v>0.48000000000000043</v>
      </c>
      <c r="E371">
        <f t="shared" si="28"/>
        <v>0.35553252850599704</v>
      </c>
      <c r="F371">
        <f t="shared" si="29"/>
        <v>0.35553252850599704</v>
      </c>
      <c r="K371">
        <f t="shared" si="30"/>
        <v>0.3156136965162224</v>
      </c>
      <c r="M371" t="str">
        <f t="shared" si="31"/>
        <v/>
      </c>
      <c r="N371">
        <f t="shared" si="32"/>
        <v>0.35553252850599704</v>
      </c>
    </row>
    <row r="372" spans="3:14" x14ac:dyDescent="0.2">
      <c r="C372">
        <f t="shared" si="33"/>
        <v>271</v>
      </c>
      <c r="D372">
        <f t="shared" si="34"/>
        <v>0.50399999999999956</v>
      </c>
      <c r="E372">
        <f t="shared" si="28"/>
        <v>0.3513590888882841</v>
      </c>
      <c r="F372">
        <f t="shared" si="29"/>
        <v>0.3513590888882841</v>
      </c>
      <c r="K372">
        <f t="shared" si="30"/>
        <v>0.3071306884915912</v>
      </c>
      <c r="M372" t="str">
        <f t="shared" si="31"/>
        <v/>
      </c>
      <c r="N372">
        <f t="shared" si="32"/>
        <v>0.3513590888882841</v>
      </c>
    </row>
    <row r="373" spans="3:14" x14ac:dyDescent="0.2">
      <c r="C373">
        <f t="shared" si="33"/>
        <v>272</v>
      </c>
      <c r="D373">
        <f t="shared" si="34"/>
        <v>0.52799999999999958</v>
      </c>
      <c r="E373">
        <f t="shared" si="28"/>
        <v>0.34703468987709241</v>
      </c>
      <c r="F373">
        <f t="shared" si="29"/>
        <v>0.34703468987709241</v>
      </c>
      <c r="K373">
        <f t="shared" si="30"/>
        <v>0.29874966797261482</v>
      </c>
      <c r="M373" t="str">
        <f t="shared" si="31"/>
        <v/>
      </c>
      <c r="N373">
        <f t="shared" si="32"/>
        <v>0.34703468987709241</v>
      </c>
    </row>
    <row r="374" spans="3:14" x14ac:dyDescent="0.2">
      <c r="C374">
        <f t="shared" si="33"/>
        <v>273</v>
      </c>
      <c r="D374">
        <f t="shared" si="34"/>
        <v>0.5519999999999996</v>
      </c>
      <c r="E374">
        <f t="shared" si="28"/>
        <v>0.34256613905087624</v>
      </c>
      <c r="F374">
        <f t="shared" si="29"/>
        <v>0.34256613905087624</v>
      </c>
      <c r="K374">
        <f t="shared" si="30"/>
        <v>0.29047417663514674</v>
      </c>
      <c r="M374" t="str">
        <f t="shared" si="31"/>
        <v/>
      </c>
      <c r="N374">
        <f t="shared" si="32"/>
        <v>0.34256613905087624</v>
      </c>
    </row>
    <row r="375" spans="3:14" x14ac:dyDescent="0.2">
      <c r="C375">
        <f t="shared" si="33"/>
        <v>274</v>
      </c>
      <c r="D375">
        <f t="shared" si="34"/>
        <v>0.57599999999999962</v>
      </c>
      <c r="E375">
        <f t="shared" si="28"/>
        <v>0.33796040571879715</v>
      </c>
      <c r="F375">
        <f t="shared" si="29"/>
        <v>0.33796040571879715</v>
      </c>
      <c r="K375">
        <f t="shared" si="30"/>
        <v>0.28230759079654566</v>
      </c>
      <c r="M375" t="str">
        <f t="shared" si="31"/>
        <v/>
      </c>
      <c r="N375">
        <f t="shared" si="32"/>
        <v>0.33796040571879715</v>
      </c>
    </row>
    <row r="376" spans="3:14" x14ac:dyDescent="0.2">
      <c r="C376">
        <f t="shared" si="33"/>
        <v>275</v>
      </c>
      <c r="D376">
        <f t="shared" si="34"/>
        <v>0.59999999999999964</v>
      </c>
      <c r="E376">
        <f t="shared" si="28"/>
        <v>0.33322460289179973</v>
      </c>
      <c r="F376">
        <f t="shared" si="29"/>
        <v>0.33322460289179973</v>
      </c>
      <c r="K376">
        <f t="shared" si="30"/>
        <v>0.27425311775007366</v>
      </c>
      <c r="M376" t="str">
        <f t="shared" si="31"/>
        <v/>
      </c>
      <c r="N376">
        <f t="shared" si="32"/>
        <v>0.33322460289179973</v>
      </c>
    </row>
    <row r="377" spans="3:14" x14ac:dyDescent="0.2">
      <c r="C377">
        <f t="shared" si="33"/>
        <v>276</v>
      </c>
      <c r="D377">
        <f t="shared" si="34"/>
        <v>0.62399999999999967</v>
      </c>
      <c r="E377">
        <f t="shared" si="28"/>
        <v>0.32836596907998766</v>
      </c>
      <c r="F377">
        <f t="shared" si="29"/>
        <v>0.32836596907998766</v>
      </c>
      <c r="K377">
        <f t="shared" si="30"/>
        <v>0.26631379253420251</v>
      </c>
      <c r="M377" t="str">
        <f t="shared" si="31"/>
        <v/>
      </c>
      <c r="N377">
        <f t="shared" si="32"/>
        <v>0.32836596907998766</v>
      </c>
    </row>
    <row r="378" spans="3:14" x14ac:dyDescent="0.2">
      <c r="C378">
        <f t="shared" si="33"/>
        <v>277</v>
      </c>
      <c r="D378">
        <f t="shared" si="34"/>
        <v>0.64799999999999969</v>
      </c>
      <c r="E378">
        <f t="shared" si="28"/>
        <v>0.32339184998107995</v>
      </c>
      <c r="F378">
        <f t="shared" si="29"/>
        <v>0.32339184998107995</v>
      </c>
      <c r="K378">
        <f t="shared" si="30"/>
        <v>0.25849247514021878</v>
      </c>
      <c r="M378" t="str">
        <f t="shared" si="31"/>
        <v/>
      </c>
      <c r="N378">
        <f t="shared" si="32"/>
        <v>0.32339184998107995</v>
      </c>
    </row>
    <row r="379" spans="3:14" x14ac:dyDescent="0.2">
      <c r="C379">
        <f t="shared" si="33"/>
        <v>278</v>
      </c>
      <c r="D379">
        <f t="shared" si="34"/>
        <v>0.67199999999999971</v>
      </c>
      <c r="E379">
        <f t="shared" si="28"/>
        <v>0.3183096801242743</v>
      </c>
      <c r="F379">
        <f t="shared" si="29"/>
        <v>0.3183096801242743</v>
      </c>
      <c r="K379">
        <f t="shared" si="30"/>
        <v>0.25079184815996969</v>
      </c>
      <c r="M379" t="str">
        <f t="shared" si="31"/>
        <v/>
      </c>
      <c r="N379">
        <f t="shared" si="32"/>
        <v>0.3183096801242743</v>
      </c>
    </row>
    <row r="380" spans="3:14" x14ac:dyDescent="0.2">
      <c r="C380">
        <f t="shared" si="33"/>
        <v>279</v>
      </c>
      <c r="D380">
        <f t="shared" si="34"/>
        <v>0.69599999999999973</v>
      </c>
      <c r="E380">
        <f t="shared" si="28"/>
        <v>0.3131269645331039</v>
      </c>
      <c r="F380">
        <f t="shared" si="29"/>
        <v>0.3131269645331039</v>
      </c>
      <c r="K380">
        <f t="shared" si="30"/>
        <v>0.24321441487405426</v>
      </c>
      <c r="M380" t="str">
        <f t="shared" si="31"/>
        <v/>
      </c>
      <c r="N380">
        <f t="shared" si="32"/>
        <v>0.3131269645331039</v>
      </c>
    </row>
    <row r="381" spans="3:14" x14ac:dyDescent="0.2">
      <c r="C381">
        <f t="shared" si="33"/>
        <v>280</v>
      </c>
      <c r="D381">
        <f t="shared" si="34"/>
        <v>0.71999999999999975</v>
      </c>
      <c r="E381">
        <f t="shared" si="28"/>
        <v>0.30785126046985301</v>
      </c>
      <c r="F381">
        <f t="shared" si="29"/>
        <v>0.30785126046985301</v>
      </c>
      <c r="K381">
        <f t="shared" si="30"/>
        <v>0.23576249777925118</v>
      </c>
      <c r="M381" t="str">
        <f t="shared" si="31"/>
        <v/>
      </c>
      <c r="N381">
        <f t="shared" si="32"/>
        <v>0.30785126046985301</v>
      </c>
    </row>
    <row r="382" spans="3:14" x14ac:dyDescent="0.2">
      <c r="C382">
        <f t="shared" si="33"/>
        <v>281</v>
      </c>
      <c r="D382">
        <f t="shared" si="34"/>
        <v>0.74399999999999977</v>
      </c>
      <c r="E382">
        <f t="shared" si="28"/>
        <v>0.30249015932280471</v>
      </c>
      <c r="F382">
        <f t="shared" si="29"/>
        <v>0.30249015932280471</v>
      </c>
      <c r="K382">
        <f t="shared" si="30"/>
        <v>0.2284382375524876</v>
      </c>
      <c r="M382" t="str">
        <f t="shared" si="31"/>
        <v/>
      </c>
      <c r="N382">
        <f t="shared" si="32"/>
        <v>0.30249015932280471</v>
      </c>
    </row>
    <row r="383" spans="3:14" x14ac:dyDescent="0.2">
      <c r="C383">
        <f t="shared" si="33"/>
        <v>282</v>
      </c>
      <c r="D383">
        <f t="shared" si="34"/>
        <v>0.76799999999999979</v>
      </c>
      <c r="E383">
        <f t="shared" si="28"/>
        <v>0.2970512686960452</v>
      </c>
      <c r="F383">
        <f t="shared" si="29"/>
        <v>0.2970512686960452</v>
      </c>
      <c r="K383">
        <f t="shared" si="30"/>
        <v>0.22124359244720193</v>
      </c>
      <c r="M383" t="str">
        <f t="shared" si="31"/>
        <v/>
      </c>
      <c r="N383">
        <f t="shared" si="32"/>
        <v>0.2970512686960452</v>
      </c>
    </row>
    <row r="384" spans="3:14" x14ac:dyDescent="0.2">
      <c r="C384">
        <f t="shared" si="33"/>
        <v>283</v>
      </c>
      <c r="D384">
        <f t="shared" si="34"/>
        <v>0.79199999999999982</v>
      </c>
      <c r="E384">
        <f t="shared" si="28"/>
        <v>0.29154219475974724</v>
      </c>
      <c r="F384">
        <f t="shared" si="29"/>
        <v>0.29154219475974724</v>
      </c>
      <c r="K384">
        <f t="shared" si="30"/>
        <v>0.21418033811653747</v>
      </c>
      <c r="M384" t="str">
        <f t="shared" si="31"/>
        <v/>
      </c>
      <c r="N384">
        <f t="shared" si="32"/>
        <v>0.29154219475974724</v>
      </c>
    </row>
    <row r="385" spans="3:14" x14ac:dyDescent="0.2">
      <c r="C385">
        <f t="shared" si="33"/>
        <v>284</v>
      </c>
      <c r="D385">
        <f t="shared" si="34"/>
        <v>0.81599999999999984</v>
      </c>
      <c r="E385">
        <f t="shared" si="28"/>
        <v>0.28597052491682845</v>
      </c>
      <c r="F385">
        <f t="shared" si="29"/>
        <v>0.28597052491682845</v>
      </c>
      <c r="K385">
        <f t="shared" si="30"/>
        <v>0.2072500678564454</v>
      </c>
      <c r="M385" t="str">
        <f t="shared" si="31"/>
        <v/>
      </c>
      <c r="N385">
        <f t="shared" si="32"/>
        <v>0.28597052491682845</v>
      </c>
    </row>
    <row r="386" spans="3:14" x14ac:dyDescent="0.2">
      <c r="C386">
        <f t="shared" si="33"/>
        <v>285</v>
      </c>
      <c r="D386">
        <f t="shared" si="34"/>
        <v>0.83999999999999986</v>
      </c>
      <c r="E386">
        <f t="shared" si="28"/>
        <v>0.28034381083962062</v>
      </c>
      <c r="F386">
        <f t="shared" si="29"/>
        <v>0.28034381083962062</v>
      </c>
      <c r="K386">
        <f t="shared" si="30"/>
        <v>0.20045419326044978</v>
      </c>
      <c r="M386" t="str">
        <f t="shared" si="31"/>
        <v/>
      </c>
      <c r="N386">
        <f t="shared" si="32"/>
        <v>0.28034381083962062</v>
      </c>
    </row>
    <row r="387" spans="3:14" x14ac:dyDescent="0.2">
      <c r="C387">
        <f t="shared" si="33"/>
        <v>286</v>
      </c>
      <c r="D387">
        <f t="shared" si="34"/>
        <v>0.86399999999999988</v>
      </c>
      <c r="E387">
        <f t="shared" si="28"/>
        <v>0.27466955192773695</v>
      </c>
      <c r="F387">
        <f t="shared" si="29"/>
        <v>0.27466955192773695</v>
      </c>
      <c r="K387">
        <f t="shared" si="30"/>
        <v>0.19379394527657923</v>
      </c>
      <c r="M387" t="str">
        <f t="shared" si="31"/>
        <v/>
      </c>
      <c r="N387">
        <f t="shared" si="32"/>
        <v>0.27466955192773695</v>
      </c>
    </row>
    <row r="388" spans="3:14" x14ac:dyDescent="0.2">
      <c r="C388">
        <f t="shared" si="33"/>
        <v>287</v>
      </c>
      <c r="D388">
        <f t="shared" si="34"/>
        <v>0.8879999999999999</v>
      </c>
      <c r="E388">
        <f t="shared" si="28"/>
        <v>0.26895517923567464</v>
      </c>
      <c r="F388">
        <f t="shared" si="29"/>
        <v>0.26895517923567464</v>
      </c>
      <c r="K388">
        <f t="shared" si="30"/>
        <v>0.1872703756557681</v>
      </c>
      <c r="M388" t="str">
        <f t="shared" si="31"/>
        <v/>
      </c>
      <c r="N388">
        <f t="shared" si="32"/>
        <v>0.26895517923567464</v>
      </c>
    </row>
    <row r="389" spans="3:14" x14ac:dyDescent="0.2">
      <c r="C389">
        <f t="shared" si="33"/>
        <v>288</v>
      </c>
      <c r="D389">
        <f t="shared" si="34"/>
        <v>0.91199999999999992</v>
      </c>
      <c r="E389">
        <f t="shared" si="28"/>
        <v>0.2632080399158771</v>
      </c>
      <c r="F389">
        <f t="shared" si="29"/>
        <v>0.2632080399158771</v>
      </c>
      <c r="K389">
        <f t="shared" si="30"/>
        <v>0.18088435877989628</v>
      </c>
      <c r="M389" t="str">
        <f t="shared" si="31"/>
        <v/>
      </c>
      <c r="N389">
        <f t="shared" si="32"/>
        <v>0.2632080399158771</v>
      </c>
    </row>
    <row r="390" spans="3:14" x14ac:dyDescent="0.2">
      <c r="C390">
        <f t="shared" si="33"/>
        <v>289</v>
      </c>
      <c r="D390">
        <f t="shared" si="34"/>
        <v>0.93599999999999994</v>
      </c>
      <c r="E390">
        <f t="shared" si="28"/>
        <v>0.25743538222001205</v>
      </c>
      <c r="F390">
        <f t="shared" si="29"/>
        <v>0.25743538222001205</v>
      </c>
      <c r="K390">
        <f t="shared" si="30"/>
        <v>0.17463659385658059</v>
      </c>
      <c r="M390" t="str">
        <f t="shared" si="31"/>
        <v/>
      </c>
      <c r="N390">
        <f t="shared" si="32"/>
        <v>0.25743538222001205</v>
      </c>
    </row>
    <row r="391" spans="3:14" x14ac:dyDescent="0.2">
      <c r="C391">
        <f t="shared" si="33"/>
        <v>290</v>
      </c>
      <c r="D391">
        <f t="shared" si="34"/>
        <v>0.96</v>
      </c>
      <c r="E391">
        <f t="shared" si="28"/>
        <v>0.25164434109811712</v>
      </c>
      <c r="F391">
        <f t="shared" si="29"/>
        <v>0.25164434109811712</v>
      </c>
      <c r="K391">
        <f t="shared" si="30"/>
        <v>0.16852760746683781</v>
      </c>
      <c r="M391" t="str">
        <f t="shared" si="31"/>
        <v/>
      </c>
      <c r="N391">
        <f t="shared" si="32"/>
        <v>0.25164434109811712</v>
      </c>
    </row>
    <row r="392" spans="3:14" x14ac:dyDescent="0.2">
      <c r="C392">
        <f t="shared" si="33"/>
        <v>291</v>
      </c>
      <c r="D392">
        <f t="shared" si="34"/>
        <v>0.98399999999999999</v>
      </c>
      <c r="E392">
        <f t="shared" si="28"/>
        <v>0.24584192443204717</v>
      </c>
      <c r="F392">
        <f t="shared" si="29"/>
        <v>0.24584192443204717</v>
      </c>
      <c r="K392">
        <f t="shared" si="30"/>
        <v>0.16255775645082426</v>
      </c>
      <c r="M392" t="str">
        <f t="shared" si="31"/>
        <v/>
      </c>
      <c r="N392">
        <f t="shared" si="32"/>
        <v>0.24584192443204717</v>
      </c>
    </row>
    <row r="393" spans="3:14" x14ac:dyDescent="0.2">
      <c r="C393">
        <f t="shared" si="33"/>
        <v>292</v>
      </c>
      <c r="D393">
        <f t="shared" si="34"/>
        <v>1.008</v>
      </c>
      <c r="E393">
        <f t="shared" si="28"/>
        <v>0.2400349999363395</v>
      </c>
      <c r="F393">
        <f t="shared" si="29"/>
        <v>0.2400349999363395</v>
      </c>
      <c r="K393">
        <f t="shared" si="30"/>
        <v>0.1567272311160286</v>
      </c>
      <c r="M393" t="str">
        <f t="shared" si="31"/>
        <v/>
      </c>
      <c r="N393">
        <f t="shared" si="32"/>
        <v>0.2400349999363395</v>
      </c>
    </row>
    <row r="394" spans="3:14" x14ac:dyDescent="0.2">
      <c r="C394">
        <f t="shared" si="33"/>
        <v>293</v>
      </c>
      <c r="D394">
        <f t="shared" si="34"/>
        <v>1.032</v>
      </c>
      <c r="E394">
        <f t="shared" si="28"/>
        <v>0.23423028275621952</v>
      </c>
      <c r="F394">
        <f t="shared" si="29"/>
        <v>0.23423028275621952</v>
      </c>
      <c r="K394">
        <f t="shared" si="30"/>
        <v>0.15103605875153214</v>
      </c>
      <c r="M394" t="str">
        <f t="shared" si="31"/>
        <v/>
      </c>
      <c r="N394">
        <f t="shared" si="32"/>
        <v>0.23423028275621952</v>
      </c>
    </row>
    <row r="395" spans="3:14" x14ac:dyDescent="0.2">
      <c r="C395">
        <f t="shared" si="33"/>
        <v>294</v>
      </c>
      <c r="D395">
        <f t="shared" si="34"/>
        <v>1.056</v>
      </c>
      <c r="E395">
        <f t="shared" si="28"/>
        <v>0.22843432378901604</v>
      </c>
      <c r="F395">
        <f t="shared" si="29"/>
        <v>0.22843432378901604</v>
      </c>
      <c r="K395">
        <f t="shared" si="30"/>
        <v>0.14548410743128759</v>
      </c>
      <c r="M395" t="str">
        <f t="shared" si="31"/>
        <v/>
      </c>
      <c r="N395">
        <f t="shared" si="32"/>
        <v>0.22843432378901604</v>
      </c>
    </row>
    <row r="396" spans="3:14" x14ac:dyDescent="0.2">
      <c r="C396">
        <f t="shared" si="33"/>
        <v>295</v>
      </c>
      <c r="D396">
        <f t="shared" si="34"/>
        <v>1.08</v>
      </c>
      <c r="E396">
        <f t="shared" si="28"/>
        <v>0.22265349875176113</v>
      </c>
      <c r="F396">
        <f t="shared" si="29"/>
        <v>0.22265349875176113</v>
      </c>
      <c r="K396">
        <f t="shared" si="30"/>
        <v>0.14007109008876906</v>
      </c>
      <c r="M396" t="str">
        <f t="shared" si="31"/>
        <v/>
      </c>
      <c r="N396">
        <f t="shared" si="32"/>
        <v>0.22265349875176113</v>
      </c>
    </row>
    <row r="397" spans="3:14" x14ac:dyDescent="0.2">
      <c r="C397">
        <f t="shared" si="33"/>
        <v>296</v>
      </c>
      <c r="D397">
        <f t="shared" si="34"/>
        <v>1.1040000000000001</v>
      </c>
      <c r="E397">
        <f t="shared" si="28"/>
        <v>0.21689399801423551</v>
      </c>
      <c r="F397">
        <f t="shared" si="29"/>
        <v>0.21689399801423551</v>
      </c>
      <c r="K397">
        <f t="shared" si="30"/>
        <v>0.13479656884485114</v>
      </c>
      <c r="M397" t="str">
        <f t="shared" si="31"/>
        <v/>
      </c>
      <c r="N397">
        <f t="shared" si="32"/>
        <v>0.21689399801423551</v>
      </c>
    </row>
    <row r="398" spans="3:14" x14ac:dyDescent="0.2">
      <c r="C398">
        <f t="shared" si="33"/>
        <v>297</v>
      </c>
      <c r="D398">
        <f t="shared" si="34"/>
        <v>1.1280000000000001</v>
      </c>
      <c r="E398">
        <f t="shared" si="28"/>
        <v>0.21116181721320312</v>
      </c>
      <c r="F398">
        <f t="shared" si="29"/>
        <v>0.21116181721320312</v>
      </c>
      <c r="K398">
        <f t="shared" si="30"/>
        <v>0.12965995957034815</v>
      </c>
      <c r="M398" t="str">
        <f t="shared" si="31"/>
        <v/>
      </c>
      <c r="N398">
        <f t="shared" si="32"/>
        <v>0.21116181721320312</v>
      </c>
    </row>
    <row r="399" spans="3:14" x14ac:dyDescent="0.2">
      <c r="C399">
        <f t="shared" si="33"/>
        <v>298</v>
      </c>
      <c r="D399">
        <f t="shared" si="34"/>
        <v>1.1520000000000001</v>
      </c>
      <c r="E399">
        <f t="shared" si="28"/>
        <v>0.20546274866007688</v>
      </c>
      <c r="F399">
        <f t="shared" si="29"/>
        <v>0.20546274866007688</v>
      </c>
      <c r="K399">
        <f t="shared" si="30"/>
        <v>0.12466053666431109</v>
      </c>
      <c r="M399" t="str">
        <f t="shared" si="31"/>
        <v/>
      </c>
      <c r="N399">
        <f t="shared" si="32"/>
        <v>0.20546274866007688</v>
      </c>
    </row>
    <row r="400" spans="3:14" x14ac:dyDescent="0.2">
      <c r="C400">
        <f t="shared" si="33"/>
        <v>299</v>
      </c>
      <c r="D400">
        <f t="shared" si="34"/>
        <v>1.1760000000000002</v>
      </c>
      <c r="E400">
        <f t="shared" si="28"/>
        <v>0.19980237355078795</v>
      </c>
      <c r="F400">
        <f t="shared" si="29"/>
        <v>0.19980237355078795</v>
      </c>
      <c r="K400">
        <f t="shared" si="30"/>
        <v>0.11979743802892862</v>
      </c>
      <c r="M400" t="str">
        <f t="shared" si="31"/>
        <v/>
      </c>
      <c r="N400">
        <f t="shared" si="32"/>
        <v>0.19980237355078795</v>
      </c>
    </row>
    <row r="401" spans="3:14" x14ac:dyDescent="0.2">
      <c r="C401">
        <f t="shared" si="33"/>
        <v>300</v>
      </c>
      <c r="D401">
        <f t="shared" si="34"/>
        <v>1.2000000000000002</v>
      </c>
      <c r="E401">
        <f t="shared" si="28"/>
        <v>0.19418605498321292</v>
      </c>
      <c r="F401">
        <f t="shared" si="29"/>
        <v>0.19418605498321292</v>
      </c>
      <c r="K401">
        <f t="shared" si="30"/>
        <v>0.11506967022170822</v>
      </c>
      <c r="M401" t="str">
        <f t="shared" si="31"/>
        <v/>
      </c>
      <c r="N401">
        <f t="shared" si="32"/>
        <v>0.19418605498321292</v>
      </c>
    </row>
    <row r="402" spans="3:14" x14ac:dyDescent="0.2">
      <c r="C402">
        <f t="shared" si="33"/>
        <v>301</v>
      </c>
      <c r="D402">
        <f t="shared" si="34"/>
        <v>1.2240000000000002</v>
      </c>
      <c r="E402">
        <f t="shared" si="28"/>
        <v>0.18861893178415948</v>
      </c>
      <c r="F402">
        <f t="shared" si="29"/>
        <v>0.18861893178415948</v>
      </c>
      <c r="K402">
        <f t="shared" si="30"/>
        <v>0.11047611376552446</v>
      </c>
      <c r="M402" t="str">
        <f t="shared" si="31"/>
        <v/>
      </c>
      <c r="N402">
        <f t="shared" si="32"/>
        <v>0.18861893178415948</v>
      </c>
    </row>
    <row r="403" spans="3:14" x14ac:dyDescent="0.2">
      <c r="C403">
        <f t="shared" si="33"/>
        <v>302</v>
      </c>
      <c r="D403">
        <f t="shared" si="34"/>
        <v>1.2480000000000002</v>
      </c>
      <c r="E403">
        <f t="shared" si="28"/>
        <v>0.18310591314463986</v>
      </c>
      <c r="F403">
        <f t="shared" si="29"/>
        <v>0.18310591314463986</v>
      </c>
      <c r="K403">
        <f t="shared" si="30"/>
        <v>0.10601552859711449</v>
      </c>
      <c r="M403" t="str">
        <f t="shared" si="31"/>
        <v/>
      </c>
      <c r="N403">
        <f t="shared" si="32"/>
        <v>0.18310591314463986</v>
      </c>
    </row>
    <row r="404" spans="3:14" x14ac:dyDescent="0.2">
      <c r="C404">
        <f t="shared" si="33"/>
        <v>303</v>
      </c>
      <c r="D404">
        <f t="shared" si="34"/>
        <v>1.2720000000000002</v>
      </c>
      <c r="E404">
        <f t="shared" si="28"/>
        <v>0.1776516740589851</v>
      </c>
      <c r="F404">
        <f t="shared" si="29"/>
        <v>0.1776516740589851</v>
      </c>
      <c r="K404">
        <f t="shared" si="30"/>
        <v>0.10168655963466955</v>
      </c>
      <c r="M404" t="str">
        <f t="shared" si="31"/>
        <v/>
      </c>
      <c r="N404">
        <f t="shared" si="32"/>
        <v>0.1776516740589851</v>
      </c>
    </row>
    <row r="405" spans="3:14" x14ac:dyDescent="0.2">
      <c r="C405">
        <f t="shared" si="33"/>
        <v>304</v>
      </c>
      <c r="D405">
        <f t="shared" si="34"/>
        <v>1.2960000000000003</v>
      </c>
      <c r="E405">
        <f t="shared" si="28"/>
        <v>0.17226065156028758</v>
      </c>
      <c r="F405">
        <f t="shared" si="29"/>
        <v>0.17226065156028758</v>
      </c>
      <c r="K405">
        <f t="shared" si="30"/>
        <v>9.7487742445312442E-2</v>
      </c>
      <c r="M405" t="str">
        <f t="shared" si="31"/>
        <v/>
      </c>
      <c r="N405">
        <f t="shared" si="32"/>
        <v>0.17226065156028758</v>
      </c>
    </row>
    <row r="406" spans="3:14" x14ac:dyDescent="0.2">
      <c r="C406">
        <f t="shared" si="33"/>
        <v>305</v>
      </c>
      <c r="D406">
        <f t="shared" si="34"/>
        <v>1.3200000000000003</v>
      </c>
      <c r="E406">
        <f t="shared" si="28"/>
        <v>0.16693704174171375</v>
      </c>
      <c r="F406">
        <f t="shared" si="29"/>
        <v>0.16693704174171375</v>
      </c>
      <c r="K406">
        <f t="shared" si="30"/>
        <v>9.3417508993471676E-2</v>
      </c>
      <c r="M406" t="str">
        <f t="shared" si="31"/>
        <v/>
      </c>
      <c r="N406">
        <f t="shared" si="32"/>
        <v>0.16693704174171375</v>
      </c>
    </row>
    <row r="407" spans="3:14" x14ac:dyDescent="0.2">
      <c r="C407">
        <f t="shared" si="33"/>
        <v>306</v>
      </c>
      <c r="D407">
        <f t="shared" si="34"/>
        <v>1.3440000000000003</v>
      </c>
      <c r="E407">
        <f t="shared" si="28"/>
        <v>0.1616847975504194</v>
      </c>
      <c r="F407">
        <f t="shared" si="29"/>
        <v>0.1616847975504194</v>
      </c>
      <c r="K407">
        <f t="shared" si="30"/>
        <v>8.9474193451443029E-2</v>
      </c>
      <c r="M407" t="str">
        <f t="shared" si="31"/>
        <v/>
      </c>
      <c r="N407">
        <f t="shared" si="32"/>
        <v>0.1616847975504194</v>
      </c>
    </row>
    <row r="408" spans="3:14" x14ac:dyDescent="0.2">
      <c r="C408">
        <f t="shared" si="33"/>
        <v>307</v>
      </c>
      <c r="D408">
        <f t="shared" si="34"/>
        <v>1.3680000000000003</v>
      </c>
      <c r="E408">
        <f t="shared" si="28"/>
        <v>0.15650762733813126</v>
      </c>
      <c r="F408">
        <f t="shared" si="29"/>
        <v>0.15650762733813126</v>
      </c>
      <c r="K408">
        <f t="shared" si="30"/>
        <v>8.5656038053781636E-2</v>
      </c>
      <c r="M408" t="str">
        <f t="shared" si="31"/>
        <v/>
      </c>
      <c r="N408">
        <f t="shared" si="32"/>
        <v>0.15650762733813126</v>
      </c>
    </row>
    <row r="409" spans="3:14" x14ac:dyDescent="0.2">
      <c r="C409">
        <f t="shared" si="33"/>
        <v>308</v>
      </c>
      <c r="D409">
        <f t="shared" si="34"/>
        <v>1.3920000000000003</v>
      </c>
      <c r="E409">
        <f t="shared" si="28"/>
        <v>0.15140899414994616</v>
      </c>
      <c r="F409">
        <f t="shared" si="29"/>
        <v>0.15140899414994616</v>
      </c>
      <c r="K409">
        <f t="shared" si="30"/>
        <v>8.196119897758436E-2</v>
      </c>
      <c r="M409" t="str">
        <f t="shared" si="31"/>
        <v/>
      </c>
      <c r="N409">
        <f t="shared" si="32"/>
        <v>0.15140899414994616</v>
      </c>
    </row>
    <row r="410" spans="3:14" x14ac:dyDescent="0.2">
      <c r="C410">
        <f t="shared" si="33"/>
        <v>309</v>
      </c>
      <c r="D410">
        <f t="shared" si="34"/>
        <v>1.4160000000000004</v>
      </c>
      <c r="E410">
        <f t="shared" si="28"/>
        <v>0.1463921157305455</v>
      </c>
      <c r="F410">
        <f t="shared" si="29"/>
        <v>0.1463921157305455</v>
      </c>
      <c r="K410">
        <f t="shared" si="30"/>
        <v>7.8387752231186103E-2</v>
      </c>
      <c r="M410" t="str">
        <f t="shared" si="31"/>
        <v/>
      </c>
      <c r="N410">
        <f t="shared" si="32"/>
        <v>0.1463921157305455</v>
      </c>
    </row>
    <row r="411" spans="3:14" x14ac:dyDescent="0.2">
      <c r="C411">
        <f t="shared" si="33"/>
        <v>310</v>
      </c>
      <c r="D411">
        <f t="shared" si="34"/>
        <v>1.4400000000000004</v>
      </c>
      <c r="E411">
        <f t="shared" si="28"/>
        <v>0.1414599652248387</v>
      </c>
      <c r="F411">
        <f t="shared" si="29"/>
        <v>0.1414599652248387</v>
      </c>
      <c r="K411">
        <f t="shared" si="30"/>
        <v>7.4933699534326936E-2</v>
      </c>
      <c r="M411" t="str">
        <f t="shared" si="31"/>
        <v/>
      </c>
      <c r="N411">
        <f t="shared" si="32"/>
        <v>0.1414599652248387</v>
      </c>
    </row>
    <row r="412" spans="3:14" x14ac:dyDescent="0.2">
      <c r="C412">
        <f t="shared" si="33"/>
        <v>311</v>
      </c>
      <c r="D412">
        <f t="shared" si="34"/>
        <v>1.4640000000000004</v>
      </c>
      <c r="E412">
        <f t="shared" si="28"/>
        <v>0.1366152725480389</v>
      </c>
      <c r="F412">
        <f t="shared" si="29"/>
        <v>0.1366152725480389</v>
      </c>
      <c r="K412">
        <f t="shared" si="30"/>
        <v>7.1596974173418593E-2</v>
      </c>
      <c r="M412" t="str">
        <f t="shared" si="31"/>
        <v/>
      </c>
      <c r="N412">
        <f t="shared" si="32"/>
        <v>0.1366152725480389</v>
      </c>
    </row>
    <row r="413" spans="3:14" x14ac:dyDescent="0.2">
      <c r="C413">
        <f t="shared" si="33"/>
        <v>312</v>
      </c>
      <c r="D413">
        <f t="shared" si="34"/>
        <v>1.4880000000000004</v>
      </c>
      <c r="E413">
        <f t="shared" si="28"/>
        <v>0.13186052639834273</v>
      </c>
      <c r="F413">
        <f t="shared" si="29"/>
        <v>0.13186052639834273</v>
      </c>
      <c r="K413">
        <f t="shared" si="30"/>
        <v>6.83754468161617E-2</v>
      </c>
      <c r="M413" t="str">
        <f t="shared" si="31"/>
        <v/>
      </c>
      <c r="N413">
        <f t="shared" si="32"/>
        <v>0.13186052639834273</v>
      </c>
    </row>
    <row r="414" spans="3:14" x14ac:dyDescent="0.2">
      <c r="C414">
        <f t="shared" si="33"/>
        <v>313</v>
      </c>
      <c r="D414">
        <f t="shared" si="34"/>
        <v>1.5119999999999996</v>
      </c>
      <c r="E414">
        <f t="shared" si="28"/>
        <v>0.12719797688373657</v>
      </c>
      <c r="F414">
        <f t="shared" si="29"/>
        <v>0.12719797688373657</v>
      </c>
      <c r="K414">
        <f t="shared" si="30"/>
        <v>6.5266931270432149E-2</v>
      </c>
      <c r="M414" t="str">
        <f t="shared" si="31"/>
        <v/>
      </c>
      <c r="N414">
        <f t="shared" si="32"/>
        <v>0.12719797688373657</v>
      </c>
    </row>
    <row r="415" spans="3:14" x14ac:dyDescent="0.2">
      <c r="C415">
        <f t="shared" si="33"/>
        <v>314</v>
      </c>
      <c r="D415">
        <f t="shared" si="34"/>
        <v>1.5359999999999996</v>
      </c>
      <c r="E415">
        <f t="shared" si="28"/>
        <v>0.12262963873298507</v>
      </c>
      <c r="F415">
        <f t="shared" si="29"/>
        <v>0.12262963873298507</v>
      </c>
      <c r="K415">
        <f t="shared" si="30"/>
        <v>6.2269190173050992E-2</v>
      </c>
      <c r="M415" t="str">
        <f t="shared" si="31"/>
        <v/>
      </c>
      <c r="N415">
        <f t="shared" si="32"/>
        <v>0.12262963873298507</v>
      </c>
    </row>
    <row r="416" spans="3:14" x14ac:dyDescent="0.2">
      <c r="C416">
        <f t="shared" si="33"/>
        <v>315</v>
      </c>
      <c r="D416">
        <f t="shared" si="34"/>
        <v>1.5599999999999996</v>
      </c>
      <c r="E416">
        <f t="shared" si="28"/>
        <v>0.11815729505958236</v>
      </c>
      <c r="F416">
        <f t="shared" si="29"/>
        <v>0.11815729505958236</v>
      </c>
      <c r="K416">
        <f t="shared" si="30"/>
        <v>5.9379940594793013E-2</v>
      </c>
      <c r="M416" t="str">
        <f t="shared" si="31"/>
        <v/>
      </c>
      <c r="N416">
        <f t="shared" si="32"/>
        <v>0.11815729505958236</v>
      </c>
    </row>
    <row r="417" spans="3:14" x14ac:dyDescent="0.2">
      <c r="C417">
        <f t="shared" si="33"/>
        <v>316</v>
      </c>
      <c r="D417">
        <f t="shared" si="34"/>
        <v>1.5839999999999996</v>
      </c>
      <c r="E417">
        <f t="shared" si="28"/>
        <v>0.11378250164634682</v>
      </c>
      <c r="F417">
        <f t="shared" si="29"/>
        <v>0.11378250164634682</v>
      </c>
      <c r="K417">
        <f t="shared" si="30"/>
        <v>5.659685954874627E-2</v>
      </c>
      <c r="M417" t="str">
        <f t="shared" si="31"/>
        <v/>
      </c>
      <c r="N417">
        <f t="shared" si="32"/>
        <v>0.11378250164634682</v>
      </c>
    </row>
    <row r="418" spans="3:14" x14ac:dyDescent="0.2">
      <c r="C418">
        <f t="shared" si="33"/>
        <v>317</v>
      </c>
      <c r="D418">
        <f t="shared" si="34"/>
        <v>1.6079999999999997</v>
      </c>
      <c r="E418">
        <f t="shared" si="28"/>
        <v>0.1095065917174368</v>
      </c>
      <c r="F418">
        <f t="shared" si="29"/>
        <v>0.1095065917174368</v>
      </c>
      <c r="K418">
        <f t="shared" si="30"/>
        <v>5.3917589389924969E-2</v>
      </c>
      <c r="M418" t="str">
        <f t="shared" si="31"/>
        <v/>
      </c>
      <c r="N418">
        <f t="shared" si="32"/>
        <v>0.1095065917174368</v>
      </c>
    </row>
    <row r="419" spans="3:14" x14ac:dyDescent="0.2">
      <c r="C419">
        <f t="shared" si="33"/>
        <v>318</v>
      </c>
      <c r="D419">
        <f t="shared" si="34"/>
        <v>1.6319999999999997</v>
      </c>
      <c r="E419">
        <f t="shared" si="28"/>
        <v>0.10533068116383558</v>
      </c>
      <c r="F419">
        <f t="shared" si="29"/>
        <v>0.10533068116383558</v>
      </c>
      <c r="K419">
        <f t="shared" si="30"/>
        <v>5.1339743094844348E-2</v>
      </c>
      <c r="M419" t="str">
        <f t="shared" si="31"/>
        <v/>
      </c>
      <c r="N419">
        <f t="shared" si="32"/>
        <v>0.10533068116383558</v>
      </c>
    </row>
    <row r="420" spans="3:14" x14ac:dyDescent="0.2">
      <c r="C420">
        <f t="shared" si="33"/>
        <v>319</v>
      </c>
      <c r="D420">
        <f t="shared" si="34"/>
        <v>1.6559999999999997</v>
      </c>
      <c r="E420">
        <f t="shared" si="28"/>
        <v>0.10125567418780883</v>
      </c>
      <c r="F420">
        <f t="shared" si="29"/>
        <v>0.10125567418780883</v>
      </c>
      <c r="K420">
        <f t="shared" si="30"/>
        <v>4.8860909410586517E-2</v>
      </c>
      <c r="M420" t="str">
        <f t="shared" si="31"/>
        <v/>
      </c>
      <c r="N420">
        <f t="shared" si="32"/>
        <v>0.10125567418780883</v>
      </c>
    </row>
    <row r="421" spans="3:14" x14ac:dyDescent="0.2">
      <c r="C421">
        <f t="shared" si="33"/>
        <v>320</v>
      </c>
      <c r="D421">
        <f t="shared" si="34"/>
        <v>1.6799999999999997</v>
      </c>
      <c r="E421">
        <f t="shared" ref="E421:E484" si="35">NORMDIST(D421,mu,sigma,0)</f>
        <v>9.7282269331467539E-2</v>
      </c>
      <c r="F421">
        <f t="shared" ref="F421:F484" si="36">IF(D421&gt;onevalue,E421,"")</f>
        <v>9.7282269331467539E-2</v>
      </c>
      <c r="K421">
        <f t="shared" ref="K421:K484" si="37">1-NORMDIST(D421,mu,sigma,1)</f>
        <v>4.6478657863720074E-2</v>
      </c>
      <c r="M421" t="str">
        <f t="shared" ref="M421:M484" si="38">IF($D421&lt;onevalue,$E421,"")</f>
        <v/>
      </c>
      <c r="N421">
        <f t="shared" ref="N421:N484" si="39">IF(ABS($D421)&gt;=ABS(onevalue),$E421,"")</f>
        <v>9.7282269331467539E-2</v>
      </c>
    </row>
    <row r="422" spans="3:14" x14ac:dyDescent="0.2">
      <c r="C422">
        <f t="shared" ref="C422:C485" si="40">ROW(C422)-101</f>
        <v>321</v>
      </c>
      <c r="D422">
        <f t="shared" ref="D422:D485" si="41">$B$100+($B$101-$B$100)*C422/$B$102</f>
        <v>1.7039999999999997</v>
      </c>
      <c r="E422">
        <f t="shared" si="35"/>
        <v>9.3410965854371211E-2</v>
      </c>
      <c r="F422">
        <f t="shared" si="36"/>
        <v>9.3410965854371211E-2</v>
      </c>
      <c r="K422">
        <f t="shared" si="37"/>
        <v>4.4190543620275635E-2</v>
      </c>
      <c r="M422" t="str">
        <f t="shared" si="38"/>
        <v/>
      </c>
      <c r="N422">
        <f t="shared" si="39"/>
        <v>9.3410965854371211E-2</v>
      </c>
    </row>
    <row r="423" spans="3:14" x14ac:dyDescent="0.2">
      <c r="C423">
        <f t="shared" si="40"/>
        <v>322</v>
      </c>
      <c r="D423">
        <f t="shared" si="41"/>
        <v>1.7279999999999998</v>
      </c>
      <c r="E423">
        <f t="shared" si="35"/>
        <v>8.9642070425072398E-2</v>
      </c>
      <c r="F423">
        <f t="shared" si="36"/>
        <v>8.9642070425072398E-2</v>
      </c>
      <c r="K423">
        <f t="shared" si="37"/>
        <v>4.199411218882132E-2</v>
      </c>
      <c r="M423" t="str">
        <f t="shared" si="38"/>
        <v/>
      </c>
      <c r="N423">
        <f t="shared" si="39"/>
        <v>8.9642070425072398E-2</v>
      </c>
    </row>
    <row r="424" spans="3:14" x14ac:dyDescent="0.2">
      <c r="C424">
        <f t="shared" si="40"/>
        <v>323</v>
      </c>
      <c r="D424">
        <f t="shared" si="41"/>
        <v>1.7519999999999998</v>
      </c>
      <c r="E424">
        <f t="shared" si="35"/>
        <v>8.5975704091632174E-2</v>
      </c>
      <c r="F424">
        <f t="shared" si="36"/>
        <v>8.5975704091632174E-2</v>
      </c>
      <c r="K424">
        <f t="shared" si="37"/>
        <v>3.9886903959523767E-2</v>
      </c>
      <c r="M424" t="str">
        <f t="shared" si="38"/>
        <v/>
      </c>
      <c r="N424">
        <f t="shared" si="39"/>
        <v>8.5975704091632174E-2</v>
      </c>
    </row>
    <row r="425" spans="3:14" x14ac:dyDescent="0.2">
      <c r="C425">
        <f t="shared" si="40"/>
        <v>324</v>
      </c>
      <c r="D425">
        <f t="shared" si="41"/>
        <v>1.7759999999999998</v>
      </c>
      <c r="E425">
        <f t="shared" si="35"/>
        <v>8.2411809496414523E-2</v>
      </c>
      <c r="F425">
        <f t="shared" si="36"/>
        <v>8.2411809496414523E-2</v>
      </c>
      <c r="K425">
        <f t="shared" si="37"/>
        <v>3.7866458572916706E-2</v>
      </c>
      <c r="M425" t="str">
        <f t="shared" si="38"/>
        <v/>
      </c>
      <c r="N425">
        <f t="shared" si="39"/>
        <v>8.2411809496414523E-2</v>
      </c>
    </row>
    <row r="426" spans="3:14" x14ac:dyDescent="0.2">
      <c r="C426">
        <f t="shared" si="40"/>
        <v>325</v>
      </c>
      <c r="D426">
        <f t="shared" si="41"/>
        <v>1.7999999999999998</v>
      </c>
      <c r="E426">
        <f t="shared" si="35"/>
        <v>7.8950158300894177E-2</v>
      </c>
      <c r="F426">
        <f t="shared" si="36"/>
        <v>7.8950158300894177E-2</v>
      </c>
      <c r="K426">
        <f t="shared" si="37"/>
        <v>3.5930319112925768E-2</v>
      </c>
      <c r="M426" t="str">
        <f t="shared" si="38"/>
        <v/>
      </c>
      <c r="N426">
        <f t="shared" si="39"/>
        <v>7.8950158300894177E-2</v>
      </c>
    </row>
    <row r="427" spans="3:14" x14ac:dyDescent="0.2">
      <c r="C427">
        <f t="shared" si="40"/>
        <v>326</v>
      </c>
      <c r="D427">
        <f t="shared" si="41"/>
        <v>1.8239999999999998</v>
      </c>
      <c r="E427">
        <f t="shared" si="35"/>
        <v>7.5590358786774225E-2</v>
      </c>
      <c r="F427">
        <f t="shared" si="36"/>
        <v>7.5590358786774225E-2</v>
      </c>
      <c r="K427">
        <f t="shared" si="37"/>
        <v>3.4076036119516262E-2</v>
      </c>
      <c r="M427" t="str">
        <f t="shared" si="38"/>
        <v/>
      </c>
      <c r="N427">
        <f t="shared" si="39"/>
        <v>7.5590358786774225E-2</v>
      </c>
    </row>
    <row r="428" spans="3:14" x14ac:dyDescent="0.2">
      <c r="C428">
        <f t="shared" si="40"/>
        <v>327</v>
      </c>
      <c r="D428">
        <f t="shared" si="41"/>
        <v>1.8479999999999999</v>
      </c>
      <c r="E428">
        <f t="shared" si="35"/>
        <v>7.2331863600401836E-2</v>
      </c>
      <c r="F428">
        <f t="shared" si="36"/>
        <v>7.2331863600401836E-2</v>
      </c>
      <c r="K428">
        <f t="shared" si="37"/>
        <v>3.2301171417128183E-2</v>
      </c>
      <c r="M428" t="str">
        <f t="shared" si="38"/>
        <v/>
      </c>
      <c r="N428">
        <f t="shared" si="39"/>
        <v>7.2331863600401836E-2</v>
      </c>
    </row>
    <row r="429" spans="3:14" x14ac:dyDescent="0.2">
      <c r="C429">
        <f t="shared" si="40"/>
        <v>328</v>
      </c>
      <c r="D429">
        <f t="shared" si="41"/>
        <v>1.8719999999999999</v>
      </c>
      <c r="E429">
        <f t="shared" si="35"/>
        <v>6.9173977608282505E-2</v>
      </c>
      <c r="F429">
        <f t="shared" si="36"/>
        <v>6.9173977608282505E-2</v>
      </c>
      <c r="K429">
        <f t="shared" si="37"/>
        <v>3.0603301755849577E-2</v>
      </c>
      <c r="M429" t="str">
        <f t="shared" si="38"/>
        <v/>
      </c>
      <c r="N429">
        <f t="shared" si="39"/>
        <v>6.9173977608282505E-2</v>
      </c>
    </row>
    <row r="430" spans="3:14" x14ac:dyDescent="0.2">
      <c r="C430">
        <f t="shared" si="40"/>
        <v>329</v>
      </c>
      <c r="D430">
        <f t="shared" si="41"/>
        <v>1.8959999999999999</v>
      </c>
      <c r="E430">
        <f t="shared" si="35"/>
        <v>6.6115865832415521E-2</v>
      </c>
      <c r="F430">
        <f t="shared" si="36"/>
        <v>6.6115865832415521E-2</v>
      </c>
      <c r="K430">
        <f t="shared" si="37"/>
        <v>2.8980022263037419E-2</v>
      </c>
      <c r="M430" t="str">
        <f t="shared" si="38"/>
        <v/>
      </c>
      <c r="N430">
        <f t="shared" si="39"/>
        <v>6.6115865832415521E-2</v>
      </c>
    </row>
    <row r="431" spans="3:14" x14ac:dyDescent="0.2">
      <c r="C431">
        <f t="shared" si="40"/>
        <v>330</v>
      </c>
      <c r="D431">
        <f t="shared" si="41"/>
        <v>1.92</v>
      </c>
      <c r="E431">
        <f t="shared" si="35"/>
        <v>6.3156561435198655E-2</v>
      </c>
      <c r="F431">
        <f t="shared" si="36"/>
        <v>6.3156561435198655E-2</v>
      </c>
      <c r="K431">
        <f t="shared" si="37"/>
        <v>2.7428949703836802E-2</v>
      </c>
      <c r="M431" t="str">
        <f t="shared" si="38"/>
        <v/>
      </c>
      <c r="N431">
        <f t="shared" si="39"/>
        <v>6.3156561435198655E-2</v>
      </c>
    </row>
    <row r="432" spans="3:14" x14ac:dyDescent="0.2">
      <c r="C432">
        <f t="shared" si="40"/>
        <v>331</v>
      </c>
      <c r="D432">
        <f t="shared" si="41"/>
        <v>1.944</v>
      </c>
      <c r="E432">
        <f t="shared" si="35"/>
        <v>6.0294973724765701E-2</v>
      </c>
      <c r="F432">
        <f t="shared" si="36"/>
        <v>6.0294973724765701E-2</v>
      </c>
      <c r="K432">
        <f t="shared" si="37"/>
        <v>2.5947725549759659E-2</v>
      </c>
      <c r="M432" t="str">
        <f t="shared" si="38"/>
        <v/>
      </c>
      <c r="N432">
        <f t="shared" si="39"/>
        <v>6.0294973724765701E-2</v>
      </c>
    </row>
    <row r="433" spans="3:14" x14ac:dyDescent="0.2">
      <c r="C433">
        <f t="shared" si="40"/>
        <v>332</v>
      </c>
      <c r="D433">
        <f t="shared" si="41"/>
        <v>1.968</v>
      </c>
      <c r="E433">
        <f t="shared" si="35"/>
        <v>5.7529896152820871E-2</v>
      </c>
      <c r="F433">
        <f t="shared" si="36"/>
        <v>5.7529896152820871E-2</v>
      </c>
      <c r="K433">
        <f t="shared" si="37"/>
        <v>2.4534018855170592E-2</v>
      </c>
      <c r="M433" t="str">
        <f t="shared" si="38"/>
        <v/>
      </c>
      <c r="N433">
        <f t="shared" si="39"/>
        <v>5.7529896152820871E-2</v>
      </c>
    </row>
    <row r="434" spans="3:14" x14ac:dyDescent="0.2">
      <c r="C434">
        <f t="shared" si="40"/>
        <v>333</v>
      </c>
      <c r="D434">
        <f t="shared" si="41"/>
        <v>1.992</v>
      </c>
      <c r="E434">
        <f t="shared" si="35"/>
        <v>5.4860014278304732E-2</v>
      </c>
      <c r="F434">
        <f t="shared" si="36"/>
        <v>5.4860014278304732E-2</v>
      </c>
      <c r="K434">
        <f t="shared" si="37"/>
        <v>2.3185528942183842E-2</v>
      </c>
      <c r="M434" t="str">
        <f t="shared" si="38"/>
        <v/>
      </c>
      <c r="N434">
        <f t="shared" si="39"/>
        <v>5.4860014278304732E-2</v>
      </c>
    </row>
    <row r="435" spans="3:14" x14ac:dyDescent="0.2">
      <c r="C435">
        <f t="shared" si="40"/>
        <v>334</v>
      </c>
      <c r="D435">
        <f t="shared" si="41"/>
        <v>2.016</v>
      </c>
      <c r="E435">
        <f t="shared" si="35"/>
        <v>5.2283913671562113E-2</v>
      </c>
      <c r="F435">
        <f t="shared" si="36"/>
        <v>5.2283913671562113E-2</v>
      </c>
      <c r="K435">
        <f t="shared" si="37"/>
        <v>2.1899987895095063E-2</v>
      </c>
      <c r="M435" t="str">
        <f t="shared" si="38"/>
        <v/>
      </c>
      <c r="N435">
        <f t="shared" si="39"/>
        <v>5.2283913671562113E-2</v>
      </c>
    </row>
    <row r="436" spans="3:14" x14ac:dyDescent="0.2">
      <c r="C436">
        <f t="shared" si="40"/>
        <v>335</v>
      </c>
      <c r="D436">
        <f t="shared" si="41"/>
        <v>2.0399999999999991</v>
      </c>
      <c r="E436">
        <f t="shared" si="35"/>
        <v>4.9800087735070858E-2</v>
      </c>
      <c r="F436">
        <f t="shared" si="36"/>
        <v>4.9800087735070858E-2</v>
      </c>
      <c r="K436">
        <f t="shared" si="37"/>
        <v>2.0675162866070074E-2</v>
      </c>
      <c r="M436" t="str">
        <f t="shared" si="38"/>
        <v/>
      </c>
      <c r="N436">
        <f t="shared" si="39"/>
        <v>4.9800087735070858E-2</v>
      </c>
    </row>
    <row r="437" spans="3:14" x14ac:dyDescent="0.2">
      <c r="C437">
        <f t="shared" si="40"/>
        <v>336</v>
      </c>
      <c r="D437">
        <f t="shared" si="41"/>
        <v>2.0640000000000001</v>
      </c>
      <c r="E437">
        <f t="shared" si="35"/>
        <v>4.7406945418221713E-2</v>
      </c>
      <c r="F437">
        <f t="shared" si="36"/>
        <v>4.7406945418221713E-2</v>
      </c>
      <c r="K437">
        <f t="shared" si="37"/>
        <v>1.9508858194361767E-2</v>
      </c>
      <c r="M437" t="str">
        <f t="shared" si="38"/>
        <v/>
      </c>
      <c r="N437">
        <f t="shared" si="39"/>
        <v>4.7406945418221713E-2</v>
      </c>
    </row>
    <row r="438" spans="3:14" x14ac:dyDescent="0.2">
      <c r="C438">
        <f t="shared" si="40"/>
        <v>337</v>
      </c>
      <c r="D438">
        <f t="shared" si="41"/>
        <v>2.0879999999999992</v>
      </c>
      <c r="E438">
        <f t="shared" si="35"/>
        <v>4.5102818805110099E-2</v>
      </c>
      <c r="F438">
        <f t="shared" si="36"/>
        <v>4.5102818805110099E-2</v>
      </c>
      <c r="K438">
        <f t="shared" si="37"/>
        <v>1.8398917341857723E-2</v>
      </c>
      <c r="M438" t="str">
        <f t="shared" si="38"/>
        <v/>
      </c>
      <c r="N438">
        <f t="shared" si="39"/>
        <v>4.5102818805110099E-2</v>
      </c>
    </row>
    <row r="439" spans="3:14" x14ac:dyDescent="0.2">
      <c r="C439">
        <f t="shared" si="40"/>
        <v>338</v>
      </c>
      <c r="D439">
        <f t="shared" si="41"/>
        <v>2.1120000000000001</v>
      </c>
      <c r="E439">
        <f t="shared" si="35"/>
        <v>4.2885970555787321E-2</v>
      </c>
      <c r="F439">
        <f t="shared" si="36"/>
        <v>4.2885970555787321E-2</v>
      </c>
      <c r="K439">
        <f t="shared" si="37"/>
        <v>1.7343224648239342E-2</v>
      </c>
      <c r="M439" t="str">
        <f t="shared" si="38"/>
        <v/>
      </c>
      <c r="N439">
        <f t="shared" si="39"/>
        <v>4.2885970555787321E-2</v>
      </c>
    </row>
    <row r="440" spans="3:14" x14ac:dyDescent="0.2">
      <c r="C440">
        <f t="shared" si="40"/>
        <v>339</v>
      </c>
      <c r="D440">
        <f t="shared" si="41"/>
        <v>2.1359999999999992</v>
      </c>
      <c r="E440">
        <f t="shared" si="35"/>
        <v>4.0754601182937618E-2</v>
      </c>
      <c r="F440">
        <f t="shared" si="36"/>
        <v>4.0754601182937618E-2</v>
      </c>
      <c r="K440">
        <f t="shared" si="37"/>
        <v>1.6339706909493823E-2</v>
      </c>
      <c r="M440" t="str">
        <f t="shared" si="38"/>
        <v/>
      </c>
      <c r="N440">
        <f t="shared" si="39"/>
        <v>4.0754601182937618E-2</v>
      </c>
    </row>
    <row r="441" spans="3:14" x14ac:dyDescent="0.2">
      <c r="C441">
        <f t="shared" si="40"/>
        <v>340</v>
      </c>
      <c r="D441">
        <f t="shared" si="41"/>
        <v>2.16</v>
      </c>
      <c r="E441">
        <f t="shared" si="35"/>
        <v>3.8706856147455608E-2</v>
      </c>
      <c r="F441">
        <f t="shared" si="36"/>
        <v>3.8706856147455608E-2</v>
      </c>
      <c r="K441">
        <f t="shared" si="37"/>
        <v>1.5386334783925482E-2</v>
      </c>
      <c r="M441" t="str">
        <f t="shared" si="38"/>
        <v/>
      </c>
      <c r="N441">
        <f t="shared" si="39"/>
        <v>3.8706856147455608E-2</v>
      </c>
    </row>
    <row r="442" spans="3:14" x14ac:dyDescent="0.2">
      <c r="C442">
        <f t="shared" si="40"/>
        <v>341</v>
      </c>
      <c r="D442">
        <f t="shared" si="41"/>
        <v>2.1839999999999993</v>
      </c>
      <c r="E442">
        <f t="shared" si="35"/>
        <v>3.6740832757928069E-2</v>
      </c>
      <c r="F442">
        <f t="shared" si="36"/>
        <v>3.6740832757928069E-2</v>
      </c>
      <c r="K442">
        <f t="shared" si="37"/>
        <v>1.4481124030198744E-2</v>
      </c>
      <c r="M442" t="str">
        <f t="shared" si="38"/>
        <v/>
      </c>
      <c r="N442">
        <f t="shared" si="39"/>
        <v>3.6740832757928069E-2</v>
      </c>
    </row>
    <row r="443" spans="3:14" x14ac:dyDescent="0.2">
      <c r="C443">
        <f t="shared" si="40"/>
        <v>342</v>
      </c>
      <c r="D443">
        <f t="shared" si="41"/>
        <v>2.2080000000000002</v>
      </c>
      <c r="E443">
        <f t="shared" si="35"/>
        <v>3.4854586860525415E-2</v>
      </c>
      <c r="F443">
        <f t="shared" si="36"/>
        <v>3.4854586860525415E-2</v>
      </c>
      <c r="K443">
        <f t="shared" si="37"/>
        <v>1.3622136582283506E-2</v>
      </c>
      <c r="M443" t="str">
        <f t="shared" si="38"/>
        <v/>
      </c>
      <c r="N443">
        <f t="shared" si="39"/>
        <v>3.4854586860525415E-2</v>
      </c>
    </row>
    <row r="444" spans="3:14" x14ac:dyDescent="0.2">
      <c r="C444">
        <f t="shared" si="40"/>
        <v>343</v>
      </c>
      <c r="D444">
        <f t="shared" si="41"/>
        <v>2.2319999999999993</v>
      </c>
      <c r="E444">
        <f t="shared" si="35"/>
        <v>3.3046139307314877E-2</v>
      </c>
      <c r="F444">
        <f t="shared" si="36"/>
        <v>3.3046139307314877E-2</v>
      </c>
      <c r="K444">
        <f t="shared" si="37"/>
        <v>1.280748146647892E-2</v>
      </c>
      <c r="M444" t="str">
        <f t="shared" si="38"/>
        <v/>
      </c>
      <c r="N444">
        <f t="shared" si="39"/>
        <v>3.3046139307314877E-2</v>
      </c>
    </row>
    <row r="445" spans="3:14" x14ac:dyDescent="0.2">
      <c r="C445">
        <f t="shared" si="40"/>
        <v>344</v>
      </c>
      <c r="D445">
        <f t="shared" si="41"/>
        <v>2.2560000000000002</v>
      </c>
      <c r="E445">
        <f t="shared" si="35"/>
        <v>3.1313482192474262E-2</v>
      </c>
      <c r="F445">
        <f t="shared" si="36"/>
        <v>3.1313482192474262E-2</v>
      </c>
      <c r="K445">
        <f t="shared" si="37"/>
        <v>1.2035315565963267E-2</v>
      </c>
      <c r="M445" t="str">
        <f t="shared" si="38"/>
        <v/>
      </c>
      <c r="N445">
        <f t="shared" si="39"/>
        <v>3.1313482192474262E-2</v>
      </c>
    </row>
    <row r="446" spans="3:14" x14ac:dyDescent="0.2">
      <c r="C446">
        <f t="shared" si="40"/>
        <v>345</v>
      </c>
      <c r="D446">
        <f t="shared" si="41"/>
        <v>2.2799999999999994</v>
      </c>
      <c r="E446">
        <f t="shared" si="35"/>
        <v>2.9654584847341316E-2</v>
      </c>
      <c r="F446">
        <f t="shared" si="36"/>
        <v>2.9654584847341316E-2</v>
      </c>
      <c r="K446">
        <f t="shared" si="37"/>
        <v>1.1303844238552796E-2</v>
      </c>
      <c r="M446" t="str">
        <f t="shared" si="38"/>
        <v/>
      </c>
      <c r="N446">
        <f t="shared" si="39"/>
        <v>2.9654584847341316E-2</v>
      </c>
    </row>
    <row r="447" spans="3:14" x14ac:dyDescent="0.2">
      <c r="C447">
        <f t="shared" si="40"/>
        <v>346</v>
      </c>
      <c r="D447">
        <f t="shared" si="41"/>
        <v>2.3040000000000003</v>
      </c>
      <c r="E447">
        <f t="shared" si="35"/>
        <v>2.8067399586640077E-2</v>
      </c>
      <c r="F447">
        <f t="shared" si="36"/>
        <v>2.8067399586640077E-2</v>
      </c>
      <c r="K447">
        <f t="shared" si="37"/>
        <v>1.0611321793550177E-2</v>
      </c>
      <c r="M447" t="str">
        <f t="shared" si="38"/>
        <v/>
      </c>
      <c r="N447">
        <f t="shared" si="39"/>
        <v>2.8067399586640077E-2</v>
      </c>
    </row>
    <row r="448" spans="3:14" x14ac:dyDescent="0.2">
      <c r="C448">
        <f t="shared" si="40"/>
        <v>347</v>
      </c>
      <c r="D448">
        <f t="shared" si="41"/>
        <v>2.3279999999999994</v>
      </c>
      <c r="E448">
        <f t="shared" si="35"/>
        <v>2.6549867199608838E-2</v>
      </c>
      <c r="F448">
        <f t="shared" si="36"/>
        <v>2.6549867199608838E-2</v>
      </c>
      <c r="K448">
        <f t="shared" si="37"/>
        <v>9.9560518337346027E-3</v>
      </c>
      <c r="M448" t="str">
        <f t="shared" si="38"/>
        <v/>
      </c>
      <c r="N448">
        <f t="shared" si="39"/>
        <v>2.6549867199608838E-2</v>
      </c>
    </row>
    <row r="449" spans="3:14" x14ac:dyDescent="0.2">
      <c r="C449">
        <f t="shared" si="40"/>
        <v>348</v>
      </c>
      <c r="D449">
        <f t="shared" si="41"/>
        <v>2.3520000000000003</v>
      </c>
      <c r="E449">
        <f t="shared" si="35"/>
        <v>2.5099922181077736E-2</v>
      </c>
      <c r="F449">
        <f t="shared" si="36"/>
        <v>2.5099922181077736E-2</v>
      </c>
      <c r="K449">
        <f t="shared" si="37"/>
        <v>9.3363874686755999E-3</v>
      </c>
      <c r="M449" t="str">
        <f t="shared" si="38"/>
        <v/>
      </c>
      <c r="N449">
        <f t="shared" si="39"/>
        <v>2.5099922181077736E-2</v>
      </c>
    </row>
    <row r="450" spans="3:14" x14ac:dyDescent="0.2">
      <c r="C450">
        <f t="shared" si="40"/>
        <v>349</v>
      </c>
      <c r="D450">
        <f t="shared" si="41"/>
        <v>2.3759999999999994</v>
      </c>
      <c r="E450">
        <f t="shared" si="35"/>
        <v>2.3715497698834888E-2</v>
      </c>
      <c r="F450">
        <f t="shared" si="36"/>
        <v>2.3715497698834888E-2</v>
      </c>
      <c r="K450">
        <f t="shared" si="37"/>
        <v>8.7507314056608498E-3</v>
      </c>
      <c r="M450" t="str">
        <f t="shared" si="38"/>
        <v/>
      </c>
      <c r="N450">
        <f t="shared" si="39"/>
        <v>2.3715497698834888E-2</v>
      </c>
    </row>
    <row r="451" spans="3:14" x14ac:dyDescent="0.2">
      <c r="C451">
        <f t="shared" si="40"/>
        <v>350</v>
      </c>
      <c r="D451">
        <f t="shared" si="41"/>
        <v>2.4000000000000004</v>
      </c>
      <c r="E451">
        <f t="shared" si="35"/>
        <v>2.2394530294842882E-2</v>
      </c>
      <c r="F451">
        <f t="shared" si="36"/>
        <v>2.2394530294842882E-2</v>
      </c>
      <c r="K451">
        <f t="shared" si="37"/>
        <v>8.1975359245961554E-3</v>
      </c>
      <c r="M451" t="str">
        <f t="shared" si="38"/>
        <v/>
      </c>
      <c r="N451">
        <f t="shared" si="39"/>
        <v>2.2394530294842882E-2</v>
      </c>
    </row>
    <row r="452" spans="3:14" x14ac:dyDescent="0.2">
      <c r="C452">
        <f t="shared" si="40"/>
        <v>351</v>
      </c>
      <c r="D452">
        <f t="shared" si="41"/>
        <v>2.4239999999999995</v>
      </c>
      <c r="E452">
        <f t="shared" si="35"/>
        <v>2.1134964319050504E-2</v>
      </c>
      <c r="F452">
        <f t="shared" si="36"/>
        <v>2.1134964319050504E-2</v>
      </c>
      <c r="K452">
        <f t="shared" si="37"/>
        <v>7.6753027432843179E-3</v>
      </c>
      <c r="M452" t="str">
        <f t="shared" si="38"/>
        <v/>
      </c>
      <c r="N452">
        <f t="shared" si="39"/>
        <v>2.1134964319050504E-2</v>
      </c>
    </row>
    <row r="453" spans="3:14" x14ac:dyDescent="0.2">
      <c r="C453">
        <f t="shared" si="40"/>
        <v>352</v>
      </c>
      <c r="D453">
        <f t="shared" si="41"/>
        <v>2.4480000000000004</v>
      </c>
      <c r="E453">
        <f t="shared" si="35"/>
        <v>1.9934756095653629E-2</v>
      </c>
      <c r="F453">
        <f t="shared" si="36"/>
        <v>1.9934756095653629E-2</v>
      </c>
      <c r="K453">
        <f t="shared" si="37"/>
        <v>7.1825827795040098E-3</v>
      </c>
      <c r="M453" t="str">
        <f t="shared" si="38"/>
        <v/>
      </c>
      <c r="N453">
        <f t="shared" si="39"/>
        <v>1.9934756095653629E-2</v>
      </c>
    </row>
    <row r="454" spans="3:14" x14ac:dyDescent="0.2">
      <c r="C454">
        <f t="shared" si="40"/>
        <v>353</v>
      </c>
      <c r="D454">
        <f t="shared" si="41"/>
        <v>2.4719999999999995</v>
      </c>
      <c r="E454">
        <f t="shared" si="35"/>
        <v>1.8791877822721854E-2</v>
      </c>
      <c r="F454">
        <f t="shared" si="36"/>
        <v>1.8791877822721854E-2</v>
      </c>
      <c r="K454">
        <f t="shared" si="37"/>
        <v>6.7179758162999592E-3</v>
      </c>
      <c r="M454" t="str">
        <f t="shared" si="38"/>
        <v/>
      </c>
      <c r="N454">
        <f t="shared" si="39"/>
        <v>1.8791877822721854E-2</v>
      </c>
    </row>
    <row r="455" spans="3:14" x14ac:dyDescent="0.2">
      <c r="C455">
        <f t="shared" si="40"/>
        <v>354</v>
      </c>
      <c r="D455">
        <f t="shared" si="41"/>
        <v>2.4960000000000004</v>
      </c>
      <c r="E455">
        <f t="shared" si="35"/>
        <v>1.7704321207094198E-2</v>
      </c>
      <c r="F455">
        <f t="shared" si="36"/>
        <v>1.7704321207094198E-2</v>
      </c>
      <c r="K455">
        <f t="shared" si="37"/>
        <v>6.2801300768648982E-3</v>
      </c>
      <c r="M455" t="str">
        <f t="shared" si="38"/>
        <v/>
      </c>
      <c r="N455">
        <f t="shared" si="39"/>
        <v>1.7704321207094198E-2</v>
      </c>
    </row>
    <row r="456" spans="3:14" x14ac:dyDescent="0.2">
      <c r="C456">
        <f t="shared" si="40"/>
        <v>355</v>
      </c>
      <c r="D456">
        <f t="shared" si="41"/>
        <v>2.5199999999999996</v>
      </c>
      <c r="E456">
        <f t="shared" si="35"/>
        <v>1.6670100837381078E-2</v>
      </c>
      <c r="F456">
        <f t="shared" si="36"/>
        <v>1.6670100837381078E-2</v>
      </c>
      <c r="K456">
        <f t="shared" si="37"/>
        <v>5.8677417153325528E-3</v>
      </c>
      <c r="M456" t="str">
        <f t="shared" si="38"/>
        <v/>
      </c>
      <c r="N456">
        <f t="shared" si="39"/>
        <v>1.6670100837381078E-2</v>
      </c>
    </row>
    <row r="457" spans="3:14" x14ac:dyDescent="0.2">
      <c r="C457">
        <f t="shared" si="40"/>
        <v>356</v>
      </c>
      <c r="D457">
        <f t="shared" si="41"/>
        <v>2.5440000000000005</v>
      </c>
      <c r="E457">
        <f t="shared" si="35"/>
        <v>1.56872572987681E-2</v>
      </c>
      <c r="F457">
        <f t="shared" si="36"/>
        <v>1.56872572987681E-2</v>
      </c>
      <c r="K457">
        <f t="shared" si="37"/>
        <v>5.4795542297251254E-3</v>
      </c>
      <c r="M457" t="str">
        <f t="shared" si="38"/>
        <v/>
      </c>
      <c r="N457">
        <f t="shared" si="39"/>
        <v>1.56872572987681E-2</v>
      </c>
    </row>
    <row r="458" spans="3:14" x14ac:dyDescent="0.2">
      <c r="C458">
        <f t="shared" si="40"/>
        <v>357</v>
      </c>
      <c r="D458">
        <f t="shared" si="41"/>
        <v>2.5679999999999996</v>
      </c>
      <c r="E458">
        <f t="shared" si="35"/>
        <v>1.4753860034118655E-2</v>
      </c>
      <c r="F458">
        <f t="shared" si="36"/>
        <v>1.4753860034118655E-2</v>
      </c>
      <c r="K458">
        <f t="shared" si="37"/>
        <v>5.1143578031997983E-3</v>
      </c>
      <c r="M458" t="str">
        <f t="shared" si="38"/>
        <v/>
      </c>
      <c r="N458">
        <f t="shared" si="39"/>
        <v>1.4753860034118655E-2</v>
      </c>
    </row>
    <row r="459" spans="3:14" x14ac:dyDescent="0.2">
      <c r="C459">
        <f t="shared" si="40"/>
        <v>358</v>
      </c>
      <c r="D459">
        <f t="shared" si="41"/>
        <v>2.5920000000000005</v>
      </c>
      <c r="E459">
        <f t="shared" si="35"/>
        <v>1.386800995659916E-2</v>
      </c>
      <c r="F459">
        <f t="shared" si="36"/>
        <v>1.386800995659916E-2</v>
      </c>
      <c r="K459">
        <f t="shared" si="37"/>
        <v>4.7709885796218821E-3</v>
      </c>
      <c r="M459" t="str">
        <f t="shared" si="38"/>
        <v/>
      </c>
      <c r="N459">
        <f t="shared" si="39"/>
        <v>1.386800995659916E-2</v>
      </c>
    </row>
    <row r="460" spans="3:14" x14ac:dyDescent="0.2">
      <c r="C460">
        <f t="shared" si="40"/>
        <v>359</v>
      </c>
      <c r="D460">
        <f t="shared" si="41"/>
        <v>2.6159999999999997</v>
      </c>
      <c r="E460">
        <f t="shared" si="35"/>
        <v>1.3027841819719681E-2</v>
      </c>
      <c r="F460">
        <f t="shared" si="36"/>
        <v>1.3027841819719681E-2</v>
      </c>
      <c r="K460">
        <f t="shared" si="37"/>
        <v>4.4483278793583381E-3</v>
      </c>
      <c r="M460" t="str">
        <f t="shared" si="38"/>
        <v/>
      </c>
      <c r="N460">
        <f t="shared" si="39"/>
        <v>1.3027841819719681E-2</v>
      </c>
    </row>
    <row r="461" spans="3:14" x14ac:dyDescent="0.2">
      <c r="C461">
        <f t="shared" si="40"/>
        <v>360</v>
      </c>
      <c r="D461">
        <f t="shared" si="41"/>
        <v>2.6400000000000006</v>
      </c>
      <c r="E461">
        <f t="shared" si="35"/>
        <v>1.2231526351277954E-2</v>
      </c>
      <c r="F461">
        <f t="shared" si="36"/>
        <v>1.2231526351277954E-2</v>
      </c>
      <c r="K461">
        <f t="shared" si="37"/>
        <v>4.14530136103608E-3</v>
      </c>
      <c r="M461" t="str">
        <f t="shared" si="38"/>
        <v/>
      </c>
      <c r="N461">
        <f t="shared" si="39"/>
        <v>1.2231526351277954E-2</v>
      </c>
    </row>
    <row r="462" spans="3:14" x14ac:dyDescent="0.2">
      <c r="C462">
        <f t="shared" si="40"/>
        <v>361</v>
      </c>
      <c r="D462">
        <f t="shared" si="41"/>
        <v>2.6639999999999997</v>
      </c>
      <c r="E462">
        <f t="shared" si="35"/>
        <v>1.1477272158233767E-2</v>
      </c>
      <c r="F462">
        <f t="shared" si="36"/>
        <v>1.1477272158233767E-2</v>
      </c>
      <c r="K462">
        <f t="shared" si="37"/>
        <v>3.8608781348505872E-3</v>
      </c>
      <c r="M462" t="str">
        <f t="shared" si="38"/>
        <v/>
      </c>
      <c r="N462">
        <f t="shared" si="39"/>
        <v>1.1477272158233767E-2</v>
      </c>
    </row>
    <row r="463" spans="3:14" x14ac:dyDescent="0.2">
      <c r="C463">
        <f t="shared" si="40"/>
        <v>362</v>
      </c>
      <c r="D463">
        <f t="shared" si="41"/>
        <v>2.6880000000000006</v>
      </c>
      <c r="E463">
        <f t="shared" si="35"/>
        <v>1.0763327410007729E-2</v>
      </c>
      <c r="F463">
        <f t="shared" si="36"/>
        <v>1.0763327410007729E-2</v>
      </c>
      <c r="K463">
        <f t="shared" si="37"/>
        <v>3.5940698328307263E-3</v>
      </c>
      <c r="M463" t="str">
        <f t="shared" si="38"/>
        <v/>
      </c>
      <c r="N463">
        <f t="shared" si="39"/>
        <v>1.0763327410007729E-2</v>
      </c>
    </row>
    <row r="464" spans="3:14" x14ac:dyDescent="0.2">
      <c r="C464">
        <f t="shared" si="40"/>
        <v>363</v>
      </c>
      <c r="D464">
        <f t="shared" si="41"/>
        <v>2.7119999999999997</v>
      </c>
      <c r="E464">
        <f t="shared" si="35"/>
        <v>1.008798130811189E-2</v>
      </c>
      <c r="F464">
        <f t="shared" si="36"/>
        <v>1.008798130811189E-2</v>
      </c>
      <c r="K464">
        <f t="shared" si="37"/>
        <v>3.3439296412848263E-3</v>
      </c>
      <c r="M464" t="str">
        <f t="shared" si="38"/>
        <v/>
      </c>
      <c r="N464">
        <f t="shared" si="39"/>
        <v>1.008798130811189E-2</v>
      </c>
    </row>
    <row r="465" spans="3:14" x14ac:dyDescent="0.2">
      <c r="C465">
        <f t="shared" si="40"/>
        <v>364</v>
      </c>
      <c r="D465">
        <f t="shared" si="41"/>
        <v>2.7360000000000007</v>
      </c>
      <c r="E465">
        <f t="shared" si="35"/>
        <v>9.449565350364706E-3</v>
      </c>
      <c r="F465">
        <f t="shared" si="36"/>
        <v>9.449565350364706E-3</v>
      </c>
      <c r="K465">
        <f t="shared" si="37"/>
        <v>3.109551300457758E-3</v>
      </c>
      <c r="M465" t="str">
        <f t="shared" si="38"/>
        <v/>
      </c>
      <c r="N465">
        <f t="shared" si="39"/>
        <v>9.449565350364706E-3</v>
      </c>
    </row>
    <row r="466" spans="3:14" x14ac:dyDescent="0.2">
      <c r="C466">
        <f t="shared" si="40"/>
        <v>365</v>
      </c>
      <c r="D466">
        <f t="shared" si="41"/>
        <v>2.76</v>
      </c>
      <c r="E466">
        <f t="shared" si="35"/>
        <v>8.8464543982372315E-3</v>
      </c>
      <c r="F466">
        <f t="shared" si="36"/>
        <v>8.8464543982372315E-3</v>
      </c>
      <c r="K466">
        <f t="shared" si="37"/>
        <v>2.8900680762261599E-3</v>
      </c>
      <c r="M466" t="str">
        <f t="shared" si="38"/>
        <v/>
      </c>
      <c r="N466">
        <f t="shared" si="39"/>
        <v>8.8464543982372315E-3</v>
      </c>
    </row>
    <row r="467" spans="3:14" x14ac:dyDescent="0.2">
      <c r="C467">
        <f t="shared" si="40"/>
        <v>366</v>
      </c>
      <c r="D467">
        <f t="shared" si="41"/>
        <v>2.7840000000000007</v>
      </c>
      <c r="E467">
        <f t="shared" si="35"/>
        <v>8.277067556108476E-3</v>
      </c>
      <c r="F467">
        <f t="shared" si="36"/>
        <v>8.277067556108476E-3</v>
      </c>
      <c r="K467">
        <f t="shared" si="37"/>
        <v>2.6846517084525567E-3</v>
      </c>
      <c r="M467" t="str">
        <f t="shared" si="38"/>
        <v/>
      </c>
      <c r="N467">
        <f t="shared" si="39"/>
        <v>8.277067556108476E-3</v>
      </c>
    </row>
    <row r="468" spans="3:14" x14ac:dyDescent="0.2">
      <c r="C468">
        <f t="shared" si="40"/>
        <v>367</v>
      </c>
      <c r="D468">
        <f t="shared" si="41"/>
        <v>2.8079999999999998</v>
      </c>
      <c r="E468">
        <f t="shared" si="35"/>
        <v>7.739868871391698E-3</v>
      </c>
      <c r="F468">
        <f t="shared" si="36"/>
        <v>7.739868871391698E-3</v>
      </c>
      <c r="K468">
        <f t="shared" si="37"/>
        <v>2.492511340404957E-3</v>
      </c>
      <c r="M468" t="str">
        <f t="shared" si="38"/>
        <v/>
      </c>
      <c r="N468">
        <f t="shared" si="39"/>
        <v>7.739868871391698E-3</v>
      </c>
    </row>
    <row r="469" spans="3:14" x14ac:dyDescent="0.2">
      <c r="C469">
        <f t="shared" si="40"/>
        <v>368</v>
      </c>
      <c r="D469">
        <f t="shared" si="41"/>
        <v>2.8320000000000007</v>
      </c>
      <c r="E469">
        <f t="shared" si="35"/>
        <v>7.2333678646196676E-3</v>
      </c>
      <c r="F469">
        <f t="shared" si="36"/>
        <v>7.2333678646196676E-3</v>
      </c>
      <c r="K469">
        <f t="shared" si="37"/>
        <v>2.3128924334316903E-3</v>
      </c>
      <c r="M469" t="str">
        <f t="shared" si="38"/>
        <v/>
      </c>
      <c r="N469">
        <f t="shared" si="39"/>
        <v>7.2333678646196676E-3</v>
      </c>
    </row>
    <row r="470" spans="3:14" x14ac:dyDescent="0.2">
      <c r="C470">
        <f t="shared" si="40"/>
        <v>369</v>
      </c>
      <c r="D470">
        <f t="shared" si="41"/>
        <v>2.8559999999999999</v>
      </c>
      <c r="E470">
        <f t="shared" si="35"/>
        <v>6.7561198986603012E-3</v>
      </c>
      <c r="F470">
        <f t="shared" si="36"/>
        <v>6.7561198986603012E-3</v>
      </c>
      <c r="K470">
        <f t="shared" si="37"/>
        <v>2.1450756708638608E-3</v>
      </c>
      <c r="M470" t="str">
        <f t="shared" si="38"/>
        <v/>
      </c>
      <c r="N470">
        <f t="shared" si="39"/>
        <v>6.7561198986603012E-3</v>
      </c>
    </row>
    <row r="471" spans="3:14" x14ac:dyDescent="0.2">
      <c r="C471">
        <f t="shared" si="40"/>
        <v>370</v>
      </c>
      <c r="D471">
        <f t="shared" si="41"/>
        <v>2.8800000000000008</v>
      </c>
      <c r="E471">
        <f t="shared" si="35"/>
        <v>6.3067263962659102E-3</v>
      </c>
      <c r="F471">
        <f t="shared" si="36"/>
        <v>6.3067263962659102E-3</v>
      </c>
      <c r="K471">
        <f t="shared" si="37"/>
        <v>1.9883758548943087E-3</v>
      </c>
      <c r="M471" t="str">
        <f t="shared" si="38"/>
        <v/>
      </c>
      <c r="N471">
        <f t="shared" si="39"/>
        <v>6.3067263962659102E-3</v>
      </c>
    </row>
    <row r="472" spans="3:14" x14ac:dyDescent="0.2">
      <c r="C472">
        <f t="shared" si="40"/>
        <v>371</v>
      </c>
      <c r="D472">
        <f t="shared" si="41"/>
        <v>2.9039999999999999</v>
      </c>
      <c r="E472">
        <f t="shared" si="35"/>
        <v>5.883834915153101E-3</v>
      </c>
      <c r="F472">
        <f t="shared" si="36"/>
        <v>5.883834915153101E-3</v>
      </c>
      <c r="K472">
        <f t="shared" si="37"/>
        <v>1.8421407999639205E-3</v>
      </c>
      <c r="M472" t="str">
        <f t="shared" si="38"/>
        <v/>
      </c>
      <c r="N472">
        <f t="shared" si="39"/>
        <v>5.883834915153101E-3</v>
      </c>
    </row>
    <row r="473" spans="3:14" x14ac:dyDescent="0.2">
      <c r="C473">
        <f t="shared" si="40"/>
        <v>372</v>
      </c>
      <c r="D473">
        <f t="shared" si="41"/>
        <v>2.9280000000000008</v>
      </c>
      <c r="E473">
        <f t="shared" si="35"/>
        <v>5.4861390897587908E-3</v>
      </c>
      <c r="F473">
        <f t="shared" si="36"/>
        <v>5.4861390897587908E-3</v>
      </c>
      <c r="K473">
        <f t="shared" si="37"/>
        <v>1.7057502259633095E-3</v>
      </c>
      <c r="M473" t="str">
        <f t="shared" si="38"/>
        <v/>
      </c>
      <c r="N473">
        <f t="shared" si="39"/>
        <v>5.4861390897587908E-3</v>
      </c>
    </row>
    <row r="474" spans="3:14" x14ac:dyDescent="0.2">
      <c r="C474">
        <f t="shared" si="40"/>
        <v>373</v>
      </c>
      <c r="D474">
        <f t="shared" si="41"/>
        <v>2.952</v>
      </c>
      <c r="E474">
        <f t="shared" si="35"/>
        <v>5.1123784487336638E-3</v>
      </c>
      <c r="F474">
        <f t="shared" si="36"/>
        <v>5.1123784487336638E-3</v>
      </c>
      <c r="K474">
        <f t="shared" si="37"/>
        <v>1.5786146543429469E-3</v>
      </c>
      <c r="M474" t="str">
        <f t="shared" si="38"/>
        <v/>
      </c>
      <c r="N474">
        <f t="shared" si="39"/>
        <v>5.1123784487336638E-3</v>
      </c>
    </row>
    <row r="475" spans="3:14" x14ac:dyDescent="0.2">
      <c r="C475">
        <f t="shared" si="40"/>
        <v>374</v>
      </c>
      <c r="D475">
        <f t="shared" si="41"/>
        <v>2.9760000000000009</v>
      </c>
      <c r="E475">
        <f t="shared" si="35"/>
        <v>4.7613381171109914E-3</v>
      </c>
      <c r="F475">
        <f t="shared" si="36"/>
        <v>4.7613381171109914E-3</v>
      </c>
      <c r="K475">
        <f t="shared" si="37"/>
        <v>1.4601743100032261E-3</v>
      </c>
      <c r="M475" t="str">
        <f t="shared" si="38"/>
        <v/>
      </c>
      <c r="N475">
        <f t="shared" si="39"/>
        <v>4.7613381171109914E-3</v>
      </c>
    </row>
    <row r="476" spans="3:14" x14ac:dyDescent="0.2">
      <c r="C476">
        <f t="shared" si="40"/>
        <v>375</v>
      </c>
      <c r="D476">
        <f t="shared" si="41"/>
        <v>3</v>
      </c>
      <c r="E476">
        <f t="shared" si="35"/>
        <v>4.4318484119380075E-3</v>
      </c>
      <c r="F476">
        <f t="shared" si="36"/>
        <v>4.4318484119380075E-3</v>
      </c>
      <c r="K476">
        <f t="shared" si="37"/>
        <v>1.3498980316301035E-3</v>
      </c>
      <c r="M476" t="str">
        <f t="shared" si="38"/>
        <v/>
      </c>
      <c r="N476">
        <f t="shared" si="39"/>
        <v>4.4318484119380075E-3</v>
      </c>
    </row>
    <row r="477" spans="3:14" x14ac:dyDescent="0.2">
      <c r="C477">
        <f t="shared" si="40"/>
        <v>376</v>
      </c>
      <c r="D477">
        <f t="shared" si="41"/>
        <v>3.0239999999999991</v>
      </c>
      <c r="E477">
        <f t="shared" si="35"/>
        <v>4.1227843399737132E-3</v>
      </c>
      <c r="F477">
        <f t="shared" si="36"/>
        <v>4.1227843399737132E-3</v>
      </c>
      <c r="K477">
        <f t="shared" si="37"/>
        <v>1.2472821929265798E-3</v>
      </c>
      <c r="M477" t="str">
        <f t="shared" si="38"/>
        <v/>
      </c>
      <c r="N477">
        <f t="shared" si="39"/>
        <v>4.1227843399737132E-3</v>
      </c>
    </row>
    <row r="478" spans="3:14" x14ac:dyDescent="0.2">
      <c r="C478">
        <f t="shared" si="40"/>
        <v>377</v>
      </c>
      <c r="D478">
        <f t="shared" si="41"/>
        <v>3.048</v>
      </c>
      <c r="E478">
        <f t="shared" si="35"/>
        <v>3.8330650058511109E-3</v>
      </c>
      <c r="F478">
        <f t="shared" si="36"/>
        <v>3.8330650058511109E-3</v>
      </c>
      <c r="K478">
        <f t="shared" si="37"/>
        <v>1.151849636990887E-3</v>
      </c>
      <c r="M478" t="str">
        <f t="shared" si="38"/>
        <v/>
      </c>
      <c r="N478">
        <f t="shared" si="39"/>
        <v>3.8330650058511109E-3</v>
      </c>
    </row>
    <row r="479" spans="3:14" x14ac:dyDescent="0.2">
      <c r="C479">
        <f t="shared" si="40"/>
        <v>378</v>
      </c>
      <c r="D479">
        <f t="shared" si="41"/>
        <v>3.0719999999999992</v>
      </c>
      <c r="E479">
        <f t="shared" si="35"/>
        <v>3.5616529388703441E-3</v>
      </c>
      <c r="F479">
        <f t="shared" si="36"/>
        <v>3.5616529388703441E-3</v>
      </c>
      <c r="K479">
        <f t="shared" si="37"/>
        <v>1.063148625891408E-3</v>
      </c>
      <c r="M479" t="str">
        <f t="shared" si="38"/>
        <v/>
      </c>
      <c r="N479">
        <f t="shared" si="39"/>
        <v>3.5616529388703441E-3</v>
      </c>
    </row>
    <row r="480" spans="3:14" x14ac:dyDescent="0.2">
      <c r="C480">
        <f t="shared" si="40"/>
        <v>379</v>
      </c>
      <c r="D480">
        <f t="shared" si="41"/>
        <v>3.0960000000000001</v>
      </c>
      <c r="E480">
        <f t="shared" si="35"/>
        <v>3.3075533463386006E-3</v>
      </c>
      <c r="F480">
        <f t="shared" si="36"/>
        <v>3.3075533463386006E-3</v>
      </c>
      <c r="K480">
        <f t="shared" si="37"/>
        <v>9.8075180729551015E-4</v>
      </c>
      <c r="M480" t="str">
        <f t="shared" si="38"/>
        <v/>
      </c>
      <c r="N480">
        <f t="shared" si="39"/>
        <v>3.3075533463386006E-3</v>
      </c>
    </row>
    <row r="481" spans="3:14" x14ac:dyDescent="0.2">
      <c r="C481">
        <f t="shared" si="40"/>
        <v>380</v>
      </c>
      <c r="D481">
        <f t="shared" si="41"/>
        <v>3.1199999999999992</v>
      </c>
      <c r="E481">
        <f t="shared" si="35"/>
        <v>3.0698133011047486E-3</v>
      </c>
      <c r="F481">
        <f t="shared" si="36"/>
        <v>3.0698133011047486E-3</v>
      </c>
      <c r="K481">
        <f t="shared" si="37"/>
        <v>9.042551998222903E-4</v>
      </c>
      <c r="M481" t="str">
        <f t="shared" si="38"/>
        <v/>
      </c>
      <c r="N481">
        <f t="shared" si="39"/>
        <v>3.0698133011047486E-3</v>
      </c>
    </row>
    <row r="482" spans="3:14" x14ac:dyDescent="0.2">
      <c r="C482">
        <f t="shared" si="40"/>
        <v>381</v>
      </c>
      <c r="D482">
        <f t="shared" si="41"/>
        <v>3.1440000000000001</v>
      </c>
      <c r="E482">
        <f t="shared" si="35"/>
        <v>2.8475208706519421E-3</v>
      </c>
      <c r="F482">
        <f t="shared" si="36"/>
        <v>2.8475208706519421E-3</v>
      </c>
      <c r="K482">
        <f t="shared" si="37"/>
        <v>8.3327719861159277E-4</v>
      </c>
      <c r="M482" t="str">
        <f t="shared" si="38"/>
        <v/>
      </c>
      <c r="N482">
        <f t="shared" si="39"/>
        <v>2.8475208706519421E-3</v>
      </c>
    </row>
    <row r="483" spans="3:14" x14ac:dyDescent="0.2">
      <c r="C483">
        <f t="shared" si="40"/>
        <v>382</v>
      </c>
      <c r="D483">
        <f t="shared" si="41"/>
        <v>3.1679999999999993</v>
      </c>
      <c r="E483">
        <f t="shared" si="35"/>
        <v>2.6398041948164589E-3</v>
      </c>
      <c r="F483">
        <f t="shared" si="36"/>
        <v>2.6398041948164589E-3</v>
      </c>
      <c r="K483">
        <f t="shared" si="37"/>
        <v>7.6745760242347139E-4</v>
      </c>
      <c r="M483" t="str">
        <f t="shared" si="38"/>
        <v/>
      </c>
      <c r="N483">
        <f t="shared" si="39"/>
        <v>2.6398041948164589E-3</v>
      </c>
    </row>
    <row r="484" spans="3:14" x14ac:dyDescent="0.2">
      <c r="C484">
        <f t="shared" si="40"/>
        <v>383</v>
      </c>
      <c r="D484">
        <f t="shared" si="41"/>
        <v>3.1920000000000002</v>
      </c>
      <c r="E484">
        <f t="shared" si="35"/>
        <v>2.4458305188934013E-3</v>
      </c>
      <c r="F484">
        <f t="shared" si="36"/>
        <v>2.4458305188934013E-3</v>
      </c>
      <c r="K484">
        <f t="shared" si="37"/>
        <v>7.064566634221725E-4</v>
      </c>
      <c r="M484" t="str">
        <f t="shared" si="38"/>
        <v/>
      </c>
      <c r="N484">
        <f t="shared" si="39"/>
        <v>2.4458305188934013E-3</v>
      </c>
    </row>
    <row r="485" spans="3:14" x14ac:dyDescent="0.2">
      <c r="C485">
        <f t="shared" si="40"/>
        <v>384</v>
      </c>
      <c r="D485">
        <f t="shared" si="41"/>
        <v>3.2159999999999993</v>
      </c>
      <c r="E485">
        <f t="shared" ref="E485:E548" si="42">NORMDIST(D485,mu,sigma,0)</f>
        <v>2.2648051885764847E-3</v>
      </c>
      <c r="F485">
        <f t="shared" ref="F485:F548" si="43">IF(D485&gt;onevalue,E485,"")</f>
        <v>2.2648051885764847E-3</v>
      </c>
      <c r="K485">
        <f t="shared" ref="K485:K548" si="44">1-NORMDIST(D485,mu,sigma,1)</f>
        <v>6.4995416063606815E-4</v>
      </c>
      <c r="M485" t="str">
        <f t="shared" ref="M485:M548" si="45">IF($D485&lt;onevalue,$E485,"")</f>
        <v/>
      </c>
      <c r="N485">
        <f t="shared" ref="N485:N548" si="46">IF(ABS($D485)&gt;=ABS(onevalue),$E485,"")</f>
        <v>2.2648051885764847E-3</v>
      </c>
    </row>
    <row r="486" spans="3:14" x14ac:dyDescent="0.2">
      <c r="C486">
        <f t="shared" ref="C486:C549" si="47">ROW(C486)-101</f>
        <v>385</v>
      </c>
      <c r="D486">
        <f t="shared" ref="D486:D549" si="48">$B$100+($B$101-$B$100)*C486/$B$102</f>
        <v>3.24</v>
      </c>
      <c r="E486">
        <f t="shared" si="42"/>
        <v>2.0959706128579419E-3</v>
      </c>
      <c r="F486">
        <f t="shared" si="43"/>
        <v>2.0959706128579419E-3</v>
      </c>
      <c r="K486">
        <f t="shared" si="44"/>
        <v>5.976484979344221E-4</v>
      </c>
      <c r="M486" t="str">
        <f t="shared" si="45"/>
        <v/>
      </c>
      <c r="N486">
        <f t="shared" si="46"/>
        <v>2.0959706128579419E-3</v>
      </c>
    </row>
    <row r="487" spans="3:14" x14ac:dyDescent="0.2">
      <c r="C487">
        <f t="shared" si="47"/>
        <v>386</v>
      </c>
      <c r="D487">
        <f t="shared" si="48"/>
        <v>3.2639999999999993</v>
      </c>
      <c r="E487">
        <f t="shared" si="42"/>
        <v>1.9386052006913198E-3</v>
      </c>
      <c r="F487">
        <f t="shared" si="43"/>
        <v>1.9386052006913198E-3</v>
      </c>
      <c r="K487">
        <f t="shared" si="44"/>
        <v>5.4925582722187283E-4</v>
      </c>
      <c r="M487" t="str">
        <f t="shared" si="45"/>
        <v/>
      </c>
      <c r="N487">
        <f t="shared" si="46"/>
        <v>1.9386052006913198E-3</v>
      </c>
    </row>
    <row r="488" spans="3:14" x14ac:dyDescent="0.2">
      <c r="C488">
        <f t="shared" si="47"/>
        <v>387</v>
      </c>
      <c r="D488">
        <f t="shared" si="48"/>
        <v>3.2880000000000003</v>
      </c>
      <c r="E488">
        <f t="shared" si="42"/>
        <v>1.7920222768931717E-3</v>
      </c>
      <c r="F488">
        <f t="shared" si="43"/>
        <v>1.7920222768931717E-3</v>
      </c>
      <c r="K488">
        <f t="shared" si="44"/>
        <v>5.0450919741229505E-4</v>
      </c>
      <c r="M488" t="str">
        <f t="shared" si="45"/>
        <v/>
      </c>
      <c r="N488">
        <f t="shared" si="46"/>
        <v>1.7920222768931717E-3</v>
      </c>
    </row>
    <row r="489" spans="3:14" x14ac:dyDescent="0.2">
      <c r="C489">
        <f t="shared" si="47"/>
        <v>388</v>
      </c>
      <c r="D489">
        <f t="shared" si="48"/>
        <v>3.3119999999999994</v>
      </c>
      <c r="E489">
        <f t="shared" si="42"/>
        <v>1.6555689824342091E-3</v>
      </c>
      <c r="F489">
        <f t="shared" si="43"/>
        <v>1.6555689824342091E-3</v>
      </c>
      <c r="K489">
        <f t="shared" si="44"/>
        <v>4.6315772961802448E-4</v>
      </c>
      <c r="M489" t="str">
        <f t="shared" si="45"/>
        <v/>
      </c>
      <c r="N489">
        <f t="shared" si="46"/>
        <v>1.6555689824342091E-3</v>
      </c>
    </row>
    <row r="490" spans="3:14" x14ac:dyDescent="0.2">
      <c r="C490">
        <f t="shared" si="47"/>
        <v>389</v>
      </c>
      <c r="D490">
        <f t="shared" si="48"/>
        <v>3.3360000000000003</v>
      </c>
      <c r="E490">
        <f t="shared" si="42"/>
        <v>1.5286251639451411E-3</v>
      </c>
      <c r="F490">
        <f t="shared" si="43"/>
        <v>1.5286251639451411E-3</v>
      </c>
      <c r="K490">
        <f t="shared" si="44"/>
        <v>4.2496581887141449E-4</v>
      </c>
      <c r="M490" t="str">
        <f t="shared" si="45"/>
        <v/>
      </c>
      <c r="N490">
        <f t="shared" si="46"/>
        <v>1.5286251639451411E-3</v>
      </c>
    </row>
    <row r="491" spans="3:14" x14ac:dyDescent="0.2">
      <c r="C491">
        <f t="shared" si="47"/>
        <v>390</v>
      </c>
      <c r="D491">
        <f t="shared" si="48"/>
        <v>3.3599999999999994</v>
      </c>
      <c r="E491">
        <f t="shared" si="42"/>
        <v>1.4106022569413861E-3</v>
      </c>
      <c r="F491">
        <f t="shared" si="43"/>
        <v>1.4106022569413861E-3</v>
      </c>
      <c r="K491">
        <f t="shared" si="44"/>
        <v>3.8971236258200648E-4</v>
      </c>
      <c r="M491" t="str">
        <f t="shared" si="45"/>
        <v/>
      </c>
      <c r="N491">
        <f t="shared" si="46"/>
        <v>1.4106022569413861E-3</v>
      </c>
    </row>
    <row r="492" spans="3:14" x14ac:dyDescent="0.2">
      <c r="C492">
        <f t="shared" si="47"/>
        <v>391</v>
      </c>
      <c r="D492">
        <f t="shared" si="48"/>
        <v>3.3840000000000003</v>
      </c>
      <c r="E492">
        <f t="shared" si="42"/>
        <v>1.3009421669529281E-3</v>
      </c>
      <c r="F492">
        <f t="shared" si="43"/>
        <v>1.3009421669529281E-3</v>
      </c>
      <c r="K492">
        <f t="shared" si="44"/>
        <v>3.5719001582934506E-4</v>
      </c>
      <c r="M492" t="str">
        <f t="shared" si="45"/>
        <v/>
      </c>
      <c r="N492">
        <f t="shared" si="46"/>
        <v>1.3009421669529281E-3</v>
      </c>
    </row>
    <row r="493" spans="3:14" x14ac:dyDescent="0.2">
      <c r="C493">
        <f t="shared" si="47"/>
        <v>392</v>
      </c>
      <c r="D493">
        <f t="shared" si="48"/>
        <v>3.4079999999999995</v>
      </c>
      <c r="E493">
        <f t="shared" si="42"/>
        <v>1.1991161524345115E-3</v>
      </c>
      <c r="F493">
        <f t="shared" si="43"/>
        <v>1.1991161524345115E-3</v>
      </c>
      <c r="K493">
        <f t="shared" si="44"/>
        <v>3.2720447349521287E-4</v>
      </c>
      <c r="M493" t="str">
        <f t="shared" si="45"/>
        <v/>
      </c>
      <c r="N493">
        <f t="shared" si="46"/>
        <v>1.1991161524345115E-3</v>
      </c>
    </row>
    <row r="494" spans="3:14" x14ac:dyDescent="0.2">
      <c r="C494">
        <f t="shared" si="47"/>
        <v>393</v>
      </c>
      <c r="D494">
        <f t="shared" si="48"/>
        <v>3.4320000000000004</v>
      </c>
      <c r="E494">
        <f t="shared" si="42"/>
        <v>1.1046237130258364E-3</v>
      </c>
      <c r="F494">
        <f t="shared" si="43"/>
        <v>1.1046237130258364E-3</v>
      </c>
      <c r="K494">
        <f t="shared" si="44"/>
        <v>2.9957377914813232E-4</v>
      </c>
      <c r="M494" t="str">
        <f t="shared" si="45"/>
        <v/>
      </c>
      <c r="N494">
        <f t="shared" si="46"/>
        <v>1.1046237130258364E-3</v>
      </c>
    </row>
    <row r="495" spans="3:14" x14ac:dyDescent="0.2">
      <c r="C495">
        <f t="shared" si="47"/>
        <v>394</v>
      </c>
      <c r="D495">
        <f t="shared" si="48"/>
        <v>3.4559999999999995</v>
      </c>
      <c r="E495">
        <f t="shared" si="42"/>
        <v>1.0169914864347654E-3</v>
      </c>
      <c r="F495">
        <f t="shared" si="43"/>
        <v>1.0169914864347654E-3</v>
      </c>
      <c r="K495">
        <f t="shared" si="44"/>
        <v>2.7412766051271298E-4</v>
      </c>
      <c r="M495" t="str">
        <f t="shared" si="45"/>
        <v/>
      </c>
      <c r="N495">
        <f t="shared" si="46"/>
        <v>1.0169914864347654E-3</v>
      </c>
    </row>
    <row r="496" spans="3:14" x14ac:dyDescent="0.2">
      <c r="C496">
        <f t="shared" si="47"/>
        <v>395</v>
      </c>
      <c r="D496">
        <f t="shared" si="48"/>
        <v>3.4800000000000004</v>
      </c>
      <c r="E496">
        <f t="shared" si="42"/>
        <v>9.3577215692747804E-4</v>
      </c>
      <c r="F496">
        <f t="shared" si="43"/>
        <v>9.3577215692747804E-4</v>
      </c>
      <c r="K496">
        <f t="shared" si="44"/>
        <v>2.5070689128048329E-4</v>
      </c>
      <c r="M496" t="str">
        <f t="shared" si="45"/>
        <v/>
      </c>
      <c r="N496">
        <f t="shared" si="46"/>
        <v>9.3577215692747804E-4</v>
      </c>
    </row>
    <row r="497" spans="3:14" x14ac:dyDescent="0.2">
      <c r="C497">
        <f t="shared" si="47"/>
        <v>396</v>
      </c>
      <c r="D497">
        <f t="shared" si="48"/>
        <v>3.5039999999999996</v>
      </c>
      <c r="E497">
        <f t="shared" si="42"/>
        <v>8.6054337813075866E-4</v>
      </c>
      <c r="F497">
        <f t="shared" si="43"/>
        <v>8.6054337813075866E-4</v>
      </c>
      <c r="K497">
        <f t="shared" si="44"/>
        <v>2.2916267894967923E-4</v>
      </c>
      <c r="M497" t="str">
        <f t="shared" si="45"/>
        <v/>
      </c>
      <c r="N497">
        <f t="shared" si="46"/>
        <v>8.6054337813075866E-4</v>
      </c>
    </row>
    <row r="498" spans="3:14" x14ac:dyDescent="0.2">
      <c r="C498">
        <f t="shared" si="47"/>
        <v>397</v>
      </c>
      <c r="D498">
        <f t="shared" si="48"/>
        <v>3.5280000000000005</v>
      </c>
      <c r="E498">
        <f t="shared" si="42"/>
        <v>7.9090671258203685E-4</v>
      </c>
      <c r="F498">
        <f t="shared" si="43"/>
        <v>7.9090671258203685E-4</v>
      </c>
      <c r="K498">
        <f t="shared" si="44"/>
        <v>2.0935607832162084E-4</v>
      </c>
      <c r="M498" t="str">
        <f t="shared" si="45"/>
        <v/>
      </c>
      <c r="N498">
        <f t="shared" si="46"/>
        <v>7.9090671258203685E-4</v>
      </c>
    </row>
    <row r="499" spans="3:14" x14ac:dyDescent="0.2">
      <c r="C499">
        <f t="shared" si="47"/>
        <v>398</v>
      </c>
      <c r="D499">
        <f t="shared" si="48"/>
        <v>3.5519999999999996</v>
      </c>
      <c r="E499">
        <f t="shared" si="42"/>
        <v>7.2648659020460235E-4</v>
      </c>
      <c r="F499">
        <f t="shared" si="43"/>
        <v>7.2648659020460235E-4</v>
      </c>
      <c r="K499">
        <f t="shared" si="44"/>
        <v>1.9115743022546372E-4</v>
      </c>
      <c r="M499" t="str">
        <f t="shared" si="45"/>
        <v/>
      </c>
      <c r="N499">
        <f t="shared" si="46"/>
        <v>7.2648659020460235E-4</v>
      </c>
    </row>
    <row r="500" spans="3:14" x14ac:dyDescent="0.2">
      <c r="C500">
        <f t="shared" si="47"/>
        <v>399</v>
      </c>
      <c r="D500">
        <f t="shared" si="48"/>
        <v>3.5760000000000005</v>
      </c>
      <c r="E500">
        <f t="shared" si="42"/>
        <v>6.6692928763750108E-4</v>
      </c>
      <c r="F500">
        <f t="shared" si="43"/>
        <v>6.6692928763750108E-4</v>
      </c>
      <c r="K500">
        <f t="shared" si="44"/>
        <v>1.7444582499215322E-4</v>
      </c>
      <c r="M500" t="str">
        <f t="shared" si="45"/>
        <v/>
      </c>
      <c r="N500">
        <f t="shared" si="46"/>
        <v>6.6692928763750108E-4</v>
      </c>
    </row>
    <row r="501" spans="3:14" x14ac:dyDescent="0.2">
      <c r="C501">
        <f t="shared" si="47"/>
        <v>400</v>
      </c>
      <c r="D501">
        <f t="shared" si="48"/>
        <v>3.5999999999999996</v>
      </c>
      <c r="E501">
        <f t="shared" si="42"/>
        <v>6.1190193011377298E-4</v>
      </c>
      <c r="F501">
        <f t="shared" si="43"/>
        <v>6.1190193011377298E-4</v>
      </c>
      <c r="K501">
        <f t="shared" si="44"/>
        <v>1.5910859015755285E-4</v>
      </c>
      <c r="M501" t="str">
        <f t="shared" si="45"/>
        <v/>
      </c>
      <c r="N501">
        <f t="shared" si="46"/>
        <v>6.1190193011377298E-4</v>
      </c>
    </row>
    <row r="502" spans="3:14" x14ac:dyDescent="0.2">
      <c r="C502">
        <f t="shared" si="47"/>
        <v>401</v>
      </c>
      <c r="D502">
        <f t="shared" si="48"/>
        <v>3.6240000000000006</v>
      </c>
      <c r="E502">
        <f t="shared" si="42"/>
        <v>5.610915173558204E-4</v>
      </c>
      <c r="F502">
        <f t="shared" si="43"/>
        <v>5.610915173558204E-4</v>
      </c>
      <c r="K502">
        <f t="shared" si="44"/>
        <v>1.4504080183452839E-4</v>
      </c>
      <c r="M502" t="str">
        <f t="shared" si="45"/>
        <v/>
      </c>
      <c r="N502">
        <f t="shared" si="46"/>
        <v>5.610915173558204E-4</v>
      </c>
    </row>
    <row r="503" spans="3:14" x14ac:dyDescent="0.2">
      <c r="C503">
        <f t="shared" si="47"/>
        <v>402</v>
      </c>
      <c r="D503">
        <f t="shared" si="48"/>
        <v>3.6479999999999997</v>
      </c>
      <c r="E503">
        <f t="shared" si="42"/>
        <v>5.1420397474424406E-4</v>
      </c>
      <c r="F503">
        <f t="shared" si="43"/>
        <v>5.1420397474424406E-4</v>
      </c>
      <c r="K503">
        <f t="shared" si="44"/>
        <v>1.3214481916323795E-4</v>
      </c>
      <c r="M503" t="str">
        <f t="shared" si="45"/>
        <v/>
      </c>
      <c r="N503">
        <f t="shared" si="46"/>
        <v>5.1420397474424406E-4</v>
      </c>
    </row>
    <row r="504" spans="3:14" x14ac:dyDescent="0.2">
      <c r="C504">
        <f t="shared" si="47"/>
        <v>403</v>
      </c>
      <c r="D504">
        <f t="shared" si="48"/>
        <v>3.6720000000000006</v>
      </c>
      <c r="E504">
        <f t="shared" si="42"/>
        <v>4.7096323081532873E-4</v>
      </c>
      <c r="F504">
        <f t="shared" si="43"/>
        <v>4.7096323081532873E-4</v>
      </c>
      <c r="K504">
        <f t="shared" si="44"/>
        <v>1.2032984121856938E-4</v>
      </c>
      <c r="M504" t="str">
        <f t="shared" si="45"/>
        <v/>
      </c>
      <c r="N504">
        <f t="shared" si="46"/>
        <v>4.7096323081532873E-4</v>
      </c>
    </row>
    <row r="505" spans="3:14" x14ac:dyDescent="0.2">
      <c r="C505">
        <f t="shared" si="47"/>
        <v>404</v>
      </c>
      <c r="D505">
        <f t="shared" si="48"/>
        <v>3.6959999999999997</v>
      </c>
      <c r="E505">
        <f t="shared" si="42"/>
        <v>4.3111032195367678E-4</v>
      </c>
      <c r="F505">
        <f t="shared" si="43"/>
        <v>4.3111032195367678E-4</v>
      </c>
      <c r="K505">
        <f t="shared" si="44"/>
        <v>1.0951148573346003E-4</v>
      </c>
      <c r="M505" t="str">
        <f t="shared" si="45"/>
        <v/>
      </c>
      <c r="N505">
        <f t="shared" si="46"/>
        <v>4.3111032195367678E-4</v>
      </c>
    </row>
    <row r="506" spans="3:14" x14ac:dyDescent="0.2">
      <c r="C506">
        <f t="shared" si="47"/>
        <v>405</v>
      </c>
      <c r="D506">
        <f t="shared" si="48"/>
        <v>3.7200000000000006</v>
      </c>
      <c r="E506">
        <f t="shared" si="42"/>
        <v>3.9440252496915552E-4</v>
      </c>
      <c r="F506">
        <f t="shared" si="43"/>
        <v>3.9440252496915552E-4</v>
      </c>
      <c r="K506">
        <f t="shared" si="44"/>
        <v>9.9611388975962001E-5</v>
      </c>
      <c r="M506" t="str">
        <f t="shared" si="45"/>
        <v/>
      </c>
      <c r="N506">
        <f t="shared" si="46"/>
        <v>3.9440252496915552E-4</v>
      </c>
    </row>
    <row r="507" spans="3:14" x14ac:dyDescent="0.2">
      <c r="C507">
        <f t="shared" si="47"/>
        <v>406</v>
      </c>
      <c r="D507">
        <f t="shared" si="48"/>
        <v>3.7439999999999998</v>
      </c>
      <c r="E507">
        <f t="shared" si="42"/>
        <v>3.6061251808220806E-4</v>
      </c>
      <c r="F507">
        <f t="shared" si="43"/>
        <v>3.6061251808220806E-4</v>
      </c>
      <c r="K507">
        <f t="shared" si="44"/>
        <v>9.0556826104259969E-5</v>
      </c>
      <c r="M507" t="str">
        <f t="shared" si="45"/>
        <v/>
      </c>
      <c r="N507">
        <f t="shared" si="46"/>
        <v>3.6061251808220806E-4</v>
      </c>
    </row>
    <row r="508" spans="3:14" x14ac:dyDescent="0.2">
      <c r="C508">
        <f t="shared" si="47"/>
        <v>407</v>
      </c>
      <c r="D508">
        <f t="shared" si="48"/>
        <v>3.7680000000000007</v>
      </c>
      <c r="E508">
        <f t="shared" si="42"/>
        <v>3.2952757068762842E-4</v>
      </c>
      <c r="F508">
        <f t="shared" si="43"/>
        <v>3.2952757068762842E-4</v>
      </c>
      <c r="K508">
        <f t="shared" si="44"/>
        <v>8.2280351313746003E-5</v>
      </c>
      <c r="M508" t="str">
        <f t="shared" si="45"/>
        <v/>
      </c>
      <c r="N508">
        <f t="shared" si="46"/>
        <v>3.2952757068762842E-4</v>
      </c>
    </row>
    <row r="509" spans="3:14" x14ac:dyDescent="0.2">
      <c r="C509">
        <f t="shared" si="47"/>
        <v>408</v>
      </c>
      <c r="D509">
        <f t="shared" si="48"/>
        <v>3.7919999999999998</v>
      </c>
      <c r="E509">
        <f t="shared" si="42"/>
        <v>3.0094876212471999E-4</v>
      </c>
      <c r="F509">
        <f t="shared" si="43"/>
        <v>3.0094876212471999E-4</v>
      </c>
      <c r="K509">
        <f t="shared" si="44"/>
        <v>7.4719457081706686E-5</v>
      </c>
      <c r="M509" t="str">
        <f t="shared" si="45"/>
        <v/>
      </c>
      <c r="N509">
        <f t="shared" si="46"/>
        <v>3.0094876212471999E-4</v>
      </c>
    </row>
    <row r="510" spans="3:14" x14ac:dyDescent="0.2">
      <c r="C510">
        <f t="shared" si="47"/>
        <v>409</v>
      </c>
      <c r="D510">
        <f t="shared" si="48"/>
        <v>3.8160000000000007</v>
      </c>
      <c r="E510">
        <f t="shared" si="42"/>
        <v>2.746902295503147E-4</v>
      </c>
      <c r="F510">
        <f t="shared" si="43"/>
        <v>2.746902295503147E-4</v>
      </c>
      <c r="K510">
        <f t="shared" si="44"/>
        <v>6.7816251812180539E-5</v>
      </c>
      <c r="M510" t="str">
        <f t="shared" si="45"/>
        <v/>
      </c>
      <c r="N510">
        <f t="shared" si="46"/>
        <v>2.746902295503147E-4</v>
      </c>
    </row>
    <row r="511" spans="3:14" x14ac:dyDescent="0.2">
      <c r="C511">
        <f t="shared" si="47"/>
        <v>410</v>
      </c>
      <c r="D511">
        <f t="shared" si="48"/>
        <v>3.84</v>
      </c>
      <c r="E511">
        <f t="shared" si="42"/>
        <v>2.5057844489086075E-4</v>
      </c>
      <c r="F511">
        <f t="shared" si="43"/>
        <v>2.5057844489086075E-4</v>
      </c>
      <c r="K511">
        <f t="shared" si="44"/>
        <v>6.1517155183210548E-5</v>
      </c>
      <c r="M511" t="str">
        <f t="shared" si="45"/>
        <v/>
      </c>
      <c r="N511">
        <f t="shared" si="46"/>
        <v>2.5057844489086075E-4</v>
      </c>
    </row>
    <row r="512" spans="3:14" x14ac:dyDescent="0.2">
      <c r="C512">
        <f t="shared" si="47"/>
        <v>411</v>
      </c>
      <c r="D512">
        <f t="shared" si="48"/>
        <v>3.8640000000000008</v>
      </c>
      <c r="E512">
        <f t="shared" si="42"/>
        <v>2.2845152073967183E-4</v>
      </c>
      <c r="F512">
        <f t="shared" si="43"/>
        <v>2.2845152073967183E-4</v>
      </c>
      <c r="K512">
        <f t="shared" si="44"/>
        <v>5.5772610499271735E-5</v>
      </c>
      <c r="M512" t="str">
        <f t="shared" si="45"/>
        <v/>
      </c>
      <c r="N512">
        <f t="shared" si="46"/>
        <v>2.2845152073967183E-4</v>
      </c>
    </row>
    <row r="513" spans="3:14" x14ac:dyDescent="0.2">
      <c r="C513">
        <f t="shared" si="47"/>
        <v>412</v>
      </c>
      <c r="D513">
        <f t="shared" si="48"/>
        <v>3.8879999999999999</v>
      </c>
      <c r="E513">
        <f t="shared" si="42"/>
        <v>2.0815854496572918E-4</v>
      </c>
      <c r="F513">
        <f t="shared" si="43"/>
        <v>2.0815854496572918E-4</v>
      </c>
      <c r="K513">
        <f t="shared" si="44"/>
        <v>5.0536813356760746E-5</v>
      </c>
      <c r="M513" t="str">
        <f t="shared" si="45"/>
        <v/>
      </c>
      <c r="N513">
        <f t="shared" si="46"/>
        <v>2.0815854496572918E-4</v>
      </c>
    </row>
    <row r="514" spans="3:14" x14ac:dyDescent="0.2">
      <c r="C514">
        <f t="shared" si="47"/>
        <v>413</v>
      </c>
      <c r="D514">
        <f t="shared" si="48"/>
        <v>3.9120000000000008</v>
      </c>
      <c r="E514">
        <f t="shared" si="42"/>
        <v>1.8955894371021248E-4</v>
      </c>
      <c r="F514">
        <f t="shared" si="43"/>
        <v>1.8955894371021248E-4</v>
      </c>
      <c r="K514">
        <f t="shared" si="44"/>
        <v>4.5767455938316992E-5</v>
      </c>
      <c r="M514" t="str">
        <f t="shared" si="45"/>
        <v/>
      </c>
      <c r="N514">
        <f t="shared" si="46"/>
        <v>1.8955894371021248E-4</v>
      </c>
    </row>
    <row r="515" spans="3:14" x14ac:dyDescent="0.2">
      <c r="C515">
        <f t="shared" si="47"/>
        <v>414</v>
      </c>
      <c r="D515">
        <f t="shared" si="48"/>
        <v>3.9359999999999999</v>
      </c>
      <c r="E515">
        <f t="shared" si="42"/>
        <v>1.7252187236626288E-4</v>
      </c>
      <c r="F515">
        <f t="shared" si="43"/>
        <v>1.7252187236626288E-4</v>
      </c>
      <c r="K515">
        <f t="shared" si="44"/>
        <v>4.1425486257851141E-5</v>
      </c>
      <c r="M515" t="str">
        <f t="shared" si="45"/>
        <v/>
      </c>
      <c r="N515">
        <f t="shared" si="46"/>
        <v>1.7252187236626288E-4</v>
      </c>
    </row>
    <row r="516" spans="3:14" x14ac:dyDescent="0.2">
      <c r="C516">
        <f t="shared" si="47"/>
        <v>415</v>
      </c>
      <c r="D516">
        <f t="shared" si="48"/>
        <v>3.9600000000000009</v>
      </c>
      <c r="E516">
        <f t="shared" si="42"/>
        <v>1.5692563406553169E-4</v>
      </c>
      <c r="F516">
        <f t="shared" si="43"/>
        <v>1.5692563406553169E-4</v>
      </c>
      <c r="K516">
        <f t="shared" si="44"/>
        <v>3.74748816910353E-5</v>
      </c>
      <c r="M516" t="str">
        <f t="shared" si="45"/>
        <v/>
      </c>
      <c r="N516">
        <f t="shared" si="46"/>
        <v>1.5692563406553169E-4</v>
      </c>
    </row>
    <row r="517" spans="3:14" x14ac:dyDescent="0.2">
      <c r="C517">
        <f t="shared" si="47"/>
        <v>416</v>
      </c>
      <c r="D517">
        <f t="shared" si="48"/>
        <v>3.984</v>
      </c>
      <c r="E517">
        <f t="shared" si="42"/>
        <v>1.4265712513176652E-4</v>
      </c>
      <c r="F517">
        <f t="shared" si="43"/>
        <v>1.4265712513176652E-4</v>
      </c>
      <c r="K517">
        <f t="shared" si="44"/>
        <v>3.3882436137666616E-5</v>
      </c>
      <c r="M517" t="str">
        <f t="shared" si="45"/>
        <v/>
      </c>
      <c r="N517">
        <f t="shared" si="46"/>
        <v>1.4265712513176652E-4</v>
      </c>
    </row>
    <row r="518" spans="3:14" x14ac:dyDescent="0.2">
      <c r="C518">
        <f t="shared" si="47"/>
        <v>417</v>
      </c>
      <c r="D518">
        <f t="shared" si="48"/>
        <v>4.0079999999999991</v>
      </c>
      <c r="E518">
        <f t="shared" si="42"/>
        <v>1.2961130690625436E-4</v>
      </c>
      <c r="F518">
        <f t="shared" si="43"/>
        <v>1.2961130690625436E-4</v>
      </c>
      <c r="K518">
        <f t="shared" si="44"/>
        <v>3.0617560174972525E-5</v>
      </c>
      <c r="M518" t="str">
        <f t="shared" si="45"/>
        <v/>
      </c>
      <c r="N518">
        <f t="shared" si="46"/>
        <v>1.2961130690625436E-4</v>
      </c>
    </row>
    <row r="519" spans="3:14" x14ac:dyDescent="0.2">
      <c r="C519">
        <f t="shared" si="47"/>
        <v>418</v>
      </c>
      <c r="D519">
        <f t="shared" si="48"/>
        <v>4.032</v>
      </c>
      <c r="E519">
        <f t="shared" si="42"/>
        <v>1.1769070330224524E-4</v>
      </c>
      <c r="F519">
        <f t="shared" si="43"/>
        <v>1.1769070330224524E-4</v>
      </c>
      <c r="K519">
        <f t="shared" si="44"/>
        <v>2.7652093577801296E-5</v>
      </c>
      <c r="M519" t="str">
        <f t="shared" si="45"/>
        <v/>
      </c>
      <c r="N519">
        <f t="shared" si="46"/>
        <v>1.1769070330224524E-4</v>
      </c>
    </row>
    <row r="520" spans="3:14" x14ac:dyDescent="0.2">
      <c r="C520">
        <f t="shared" si="47"/>
        <v>419</v>
      </c>
      <c r="D520">
        <f t="shared" si="48"/>
        <v>4.0559999999999992</v>
      </c>
      <c r="E520">
        <f t="shared" si="42"/>
        <v>1.0680492340481808E-4</v>
      </c>
      <c r="F520">
        <f t="shared" si="43"/>
        <v>1.0680492340481808E-4</v>
      </c>
      <c r="K520">
        <f t="shared" si="44"/>
        <v>2.496012959463112E-5</v>
      </c>
      <c r="M520" t="str">
        <f t="shared" si="45"/>
        <v/>
      </c>
      <c r="N520">
        <f t="shared" si="46"/>
        <v>1.0680492340481808E-4</v>
      </c>
    </row>
    <row r="521" spans="3:14" x14ac:dyDescent="0.2">
      <c r="C521">
        <f t="shared" si="47"/>
        <v>420</v>
      </c>
      <c r="D521">
        <f t="shared" si="48"/>
        <v>4.08</v>
      </c>
      <c r="E521">
        <f t="shared" si="42"/>
        <v>9.687020839871926E-5</v>
      </c>
      <c r="F521">
        <f t="shared" si="43"/>
        <v>9.687020839871926E-5</v>
      </c>
      <c r="K521">
        <f t="shared" si="44"/>
        <v>2.2517850388537042E-5</v>
      </c>
      <c r="M521" t="str">
        <f t="shared" si="45"/>
        <v/>
      </c>
      <c r="N521">
        <f t="shared" si="46"/>
        <v>9.687020839871926E-5</v>
      </c>
    </row>
    <row r="522" spans="3:14" x14ac:dyDescent="0.2">
      <c r="C522">
        <f t="shared" si="47"/>
        <v>421</v>
      </c>
      <c r="D522">
        <f t="shared" si="48"/>
        <v>4.1039999999999992</v>
      </c>
      <c r="E522">
        <f t="shared" si="42"/>
        <v>8.7809002079064554E-5</v>
      </c>
      <c r="F522">
        <f t="shared" si="43"/>
        <v>8.7809002079064554E-5</v>
      </c>
      <c r="K522">
        <f t="shared" si="44"/>
        <v>2.0303373066909991E-5</v>
      </c>
      <c r="M522" t="str">
        <f t="shared" si="45"/>
        <v/>
      </c>
      <c r="N522">
        <f t="shared" si="46"/>
        <v>8.7809002079064554E-5</v>
      </c>
    </row>
    <row r="523" spans="3:14" x14ac:dyDescent="0.2">
      <c r="C523">
        <f t="shared" si="47"/>
        <v>422</v>
      </c>
      <c r="D523">
        <f t="shared" si="48"/>
        <v>4.1280000000000001</v>
      </c>
      <c r="E523">
        <f t="shared" si="42"/>
        <v>7.9549544177881284E-5</v>
      </c>
      <c r="F523">
        <f t="shared" si="43"/>
        <v>7.9549544177881284E-5</v>
      </c>
      <c r="K523">
        <f t="shared" si="44"/>
        <v>1.8296605743706174E-5</v>
      </c>
      <c r="M523" t="str">
        <f t="shared" si="45"/>
        <v/>
      </c>
      <c r="N523">
        <f t="shared" si="46"/>
        <v>7.9549544177881284E-5</v>
      </c>
    </row>
    <row r="524" spans="3:14" x14ac:dyDescent="0.2">
      <c r="C524">
        <f t="shared" si="47"/>
        <v>423</v>
      </c>
      <c r="D524">
        <f t="shared" si="48"/>
        <v>4.1519999999999992</v>
      </c>
      <c r="E524">
        <f t="shared" si="42"/>
        <v>7.2025485723041421E-5</v>
      </c>
      <c r="F524">
        <f t="shared" si="43"/>
        <v>7.2025485723041421E-5</v>
      </c>
      <c r="K524">
        <f t="shared" si="44"/>
        <v>1.647911309621275E-5</v>
      </c>
      <c r="M524" t="str">
        <f t="shared" si="45"/>
        <v/>
      </c>
      <c r="N524">
        <f t="shared" si="46"/>
        <v>7.2025485723041421E-5</v>
      </c>
    </row>
    <row r="525" spans="3:14" x14ac:dyDescent="0.2">
      <c r="C525">
        <f t="shared" si="47"/>
        <v>424</v>
      </c>
      <c r="D525">
        <f t="shared" si="48"/>
        <v>4.1760000000000002</v>
      </c>
      <c r="E525">
        <f t="shared" si="42"/>
        <v>6.5175525634586447E-5</v>
      </c>
      <c r="F525">
        <f t="shared" si="43"/>
        <v>6.5175525634586447E-5</v>
      </c>
      <c r="K525">
        <f t="shared" si="44"/>
        <v>1.4833990896079285E-5</v>
      </c>
      <c r="M525" t="str">
        <f t="shared" si="45"/>
        <v/>
      </c>
      <c r="N525">
        <f t="shared" si="46"/>
        <v>6.5175525634586447E-5</v>
      </c>
    </row>
    <row r="526" spans="3:14" x14ac:dyDescent="0.2">
      <c r="C526">
        <f t="shared" si="47"/>
        <v>425</v>
      </c>
      <c r="D526">
        <f t="shared" si="48"/>
        <v>4.1999999999999993</v>
      </c>
      <c r="E526">
        <f t="shared" si="42"/>
        <v>5.8943067756540058E-5</v>
      </c>
      <c r="F526">
        <f t="shared" si="43"/>
        <v>5.8943067756540058E-5</v>
      </c>
      <c r="K526">
        <f t="shared" si="44"/>
        <v>1.3345749015902797E-5</v>
      </c>
      <c r="M526" t="str">
        <f t="shared" si="45"/>
        <v/>
      </c>
      <c r="N526">
        <f t="shared" si="46"/>
        <v>5.8943067756540058E-5</v>
      </c>
    </row>
    <row r="527" spans="3:14" x14ac:dyDescent="0.2">
      <c r="C527">
        <f t="shared" si="47"/>
        <v>426</v>
      </c>
      <c r="D527">
        <f t="shared" si="48"/>
        <v>4.2240000000000002</v>
      </c>
      <c r="E527">
        <f t="shared" si="42"/>
        <v>5.3275897519493968E-5</v>
      </c>
      <c r="F527">
        <f t="shared" si="43"/>
        <v>5.3275897519493968E-5</v>
      </c>
      <c r="K527">
        <f t="shared" si="44"/>
        <v>1.2000202429307549E-5</v>
      </c>
      <c r="M527" t="str">
        <f t="shared" si="45"/>
        <v/>
      </c>
      <c r="N527">
        <f t="shared" si="46"/>
        <v>5.3275897519493968E-5</v>
      </c>
    </row>
    <row r="528" spans="3:14" x14ac:dyDescent="0.2">
      <c r="C528">
        <f t="shared" si="47"/>
        <v>427</v>
      </c>
      <c r="D528">
        <f t="shared" si="48"/>
        <v>4.2479999999999993</v>
      </c>
      <c r="E528">
        <f t="shared" si="42"/>
        <v>4.8125877430297145E-5</v>
      </c>
      <c r="F528">
        <f t="shared" si="43"/>
        <v>4.8125877430297145E-5</v>
      </c>
      <c r="K528">
        <f t="shared" si="44"/>
        <v>1.0784369744110123E-5</v>
      </c>
      <c r="M528" t="str">
        <f t="shared" si="45"/>
        <v/>
      </c>
      <c r="N528">
        <f t="shared" si="46"/>
        <v>4.8125877430297145E-5</v>
      </c>
    </row>
    <row r="529" spans="3:14" x14ac:dyDescent="0.2">
      <c r="C529">
        <f t="shared" si="47"/>
        <v>428</v>
      </c>
      <c r="D529">
        <f t="shared" si="48"/>
        <v>4.2720000000000002</v>
      </c>
      <c r="E529">
        <f t="shared" si="42"/>
        <v>4.3448660589589352E-5</v>
      </c>
      <c r="F529">
        <f t="shared" si="43"/>
        <v>4.3448660589589352E-5</v>
      </c>
      <c r="K529">
        <f t="shared" si="44"/>
        <v>9.6863788251466687E-6</v>
      </c>
      <c r="M529" t="str">
        <f t="shared" si="45"/>
        <v/>
      </c>
      <c r="N529">
        <f t="shared" si="46"/>
        <v>4.3448660589589352E-5</v>
      </c>
    </row>
    <row r="530" spans="3:14" x14ac:dyDescent="0.2">
      <c r="C530">
        <f t="shared" si="47"/>
        <v>429</v>
      </c>
      <c r="D530">
        <f t="shared" si="48"/>
        <v>4.2959999999999994</v>
      </c>
      <c r="E530">
        <f t="shared" si="42"/>
        <v>3.9203421445463147E-5</v>
      </c>
      <c r="F530">
        <f t="shared" si="43"/>
        <v>3.9203421445463147E-5</v>
      </c>
      <c r="K530">
        <f t="shared" si="44"/>
        <v>8.6953790853216972E-6</v>
      </c>
      <c r="M530" t="str">
        <f t="shared" si="45"/>
        <v/>
      </c>
      <c r="N530">
        <f t="shared" si="46"/>
        <v>3.9203421445463147E-5</v>
      </c>
    </row>
    <row r="531" spans="3:14" x14ac:dyDescent="0.2">
      <c r="C531">
        <f t="shared" si="47"/>
        <v>430</v>
      </c>
      <c r="D531">
        <f t="shared" si="48"/>
        <v>4.32</v>
      </c>
      <c r="E531">
        <f t="shared" si="42"/>
        <v>3.5352603001773097E-5</v>
      </c>
      <c r="F531">
        <f t="shared" si="43"/>
        <v>3.5352603001773097E-5</v>
      </c>
      <c r="K531">
        <f t="shared" si="44"/>
        <v>7.801460038092678E-6</v>
      </c>
      <c r="M531" t="str">
        <f t="shared" si="45"/>
        <v/>
      </c>
      <c r="N531">
        <f t="shared" si="46"/>
        <v>3.5352603001773097E-5</v>
      </c>
    </row>
    <row r="532" spans="3:14" x14ac:dyDescent="0.2">
      <c r="C532">
        <f t="shared" si="47"/>
        <v>431</v>
      </c>
      <c r="D532">
        <f t="shared" si="48"/>
        <v>4.3439999999999994</v>
      </c>
      <c r="E532">
        <f t="shared" si="42"/>
        <v>3.1861679712324632E-5</v>
      </c>
      <c r="F532">
        <f t="shared" si="43"/>
        <v>3.1861679712324632E-5</v>
      </c>
      <c r="K532">
        <f t="shared" si="44"/>
        <v>6.9955757286965792E-6</v>
      </c>
      <c r="M532" t="str">
        <f t="shared" si="45"/>
        <v/>
      </c>
      <c r="N532">
        <f t="shared" si="46"/>
        <v>3.1861679712324632E-5</v>
      </c>
    </row>
    <row r="533" spans="3:14" x14ac:dyDescent="0.2">
      <c r="C533">
        <f t="shared" si="47"/>
        <v>432</v>
      </c>
      <c r="D533">
        <f t="shared" si="48"/>
        <v>4.3680000000000003</v>
      </c>
      <c r="E533">
        <f t="shared" si="42"/>
        <v>2.8698935306977618E-5</v>
      </c>
      <c r="F533">
        <f t="shared" si="43"/>
        <v>2.8698935306977618E-5</v>
      </c>
      <c r="K533">
        <f t="shared" si="44"/>
        <v>6.2694746740810103E-6</v>
      </c>
      <c r="M533" t="str">
        <f t="shared" si="45"/>
        <v/>
      </c>
      <c r="N533">
        <f t="shared" si="46"/>
        <v>2.8698935306977618E-5</v>
      </c>
    </row>
    <row r="534" spans="3:14" x14ac:dyDescent="0.2">
      <c r="C534">
        <f t="shared" si="47"/>
        <v>433</v>
      </c>
      <c r="D534">
        <f t="shared" si="48"/>
        <v>4.3919999999999995</v>
      </c>
      <c r="E534">
        <f t="shared" si="42"/>
        <v>2.5835254812390093E-5</v>
      </c>
      <c r="F534">
        <f t="shared" si="43"/>
        <v>2.5835254812390093E-5</v>
      </c>
      <c r="K534">
        <f t="shared" si="44"/>
        <v>5.6156349640401615E-6</v>
      </c>
      <c r="M534" t="str">
        <f t="shared" si="45"/>
        <v/>
      </c>
      <c r="N534">
        <f t="shared" si="46"/>
        <v>2.5835254812390093E-5</v>
      </c>
    </row>
    <row r="535" spans="3:14" x14ac:dyDescent="0.2">
      <c r="C535">
        <f t="shared" si="47"/>
        <v>434</v>
      </c>
      <c r="D535">
        <f t="shared" si="48"/>
        <v>4.4160000000000004</v>
      </c>
      <c r="E535">
        <f t="shared" si="42"/>
        <v>2.3243930048373714E-5</v>
      </c>
      <c r="F535">
        <f t="shared" si="43"/>
        <v>2.3243930048373714E-5</v>
      </c>
      <c r="K535">
        <f t="shared" si="44"/>
        <v>5.0272041902665876E-6</v>
      </c>
      <c r="M535" t="str">
        <f t="shared" si="45"/>
        <v/>
      </c>
      <c r="N535">
        <f t="shared" si="46"/>
        <v>2.3243930048373714E-5</v>
      </c>
    </row>
    <row r="536" spans="3:14" x14ac:dyDescent="0.2">
      <c r="C536">
        <f t="shared" si="47"/>
        <v>435</v>
      </c>
      <c r="D536">
        <f t="shared" si="48"/>
        <v>4.4399999999999995</v>
      </c>
      <c r="E536">
        <f t="shared" si="42"/>
        <v>2.0900477900450482E-5</v>
      </c>
      <c r="F536">
        <f t="shared" si="43"/>
        <v>2.0900477900450482E-5</v>
      </c>
      <c r="K536">
        <f t="shared" si="44"/>
        <v>4.4979438885706102E-6</v>
      </c>
      <c r="M536" t="str">
        <f t="shared" si="45"/>
        <v/>
      </c>
      <c r="N536">
        <f t="shared" si="46"/>
        <v>2.0900477900450482E-5</v>
      </c>
    </row>
    <row r="537" spans="3:14" x14ac:dyDescent="0.2">
      <c r="C537">
        <f t="shared" si="47"/>
        <v>436</v>
      </c>
      <c r="D537">
        <f t="shared" si="48"/>
        <v>4.4640000000000004</v>
      </c>
      <c r="E537">
        <f t="shared" si="42"/>
        <v>1.8782470689901945E-5</v>
      </c>
      <c r="F537">
        <f t="shared" si="43"/>
        <v>1.8782470689901945E-5</v>
      </c>
      <c r="K537">
        <f t="shared" si="44"/>
        <v>4.022178197060633E-6</v>
      </c>
      <c r="M537" t="str">
        <f t="shared" si="45"/>
        <v/>
      </c>
      <c r="N537">
        <f t="shared" si="46"/>
        <v>1.8782470689901945E-5</v>
      </c>
    </row>
    <row r="538" spans="3:14" x14ac:dyDescent="0.2">
      <c r="C538">
        <f t="shared" si="47"/>
        <v>437</v>
      </c>
      <c r="D538">
        <f t="shared" si="48"/>
        <v>4.4879999999999995</v>
      </c>
      <c r="E538">
        <f t="shared" si="42"/>
        <v>1.6869377984230626E-5</v>
      </c>
      <c r="F538">
        <f t="shared" si="43"/>
        <v>1.6869377984230626E-5</v>
      </c>
      <c r="K538">
        <f t="shared" si="44"/>
        <v>3.5947464457342093E-6</v>
      </c>
      <c r="M538" t="str">
        <f t="shared" si="45"/>
        <v/>
      </c>
      <c r="N538">
        <f t="shared" si="46"/>
        <v>1.6869377984230626E-5</v>
      </c>
    </row>
    <row r="539" spans="3:14" x14ac:dyDescent="0.2">
      <c r="C539">
        <f t="shared" si="47"/>
        <v>438</v>
      </c>
      <c r="D539">
        <f t="shared" si="48"/>
        <v>4.5120000000000005</v>
      </c>
      <c r="E539">
        <f t="shared" si="42"/>
        <v>1.5142419213261371E-5</v>
      </c>
      <c r="F539">
        <f t="shared" si="43"/>
        <v>1.5142419213261371E-5</v>
      </c>
      <c r="K539">
        <f t="shared" si="44"/>
        <v>3.2109594121365603E-6</v>
      </c>
      <c r="M539" t="str">
        <f t="shared" si="45"/>
        <v/>
      </c>
      <c r="N539">
        <f t="shared" si="46"/>
        <v>1.5142419213261371E-5</v>
      </c>
    </row>
    <row r="540" spans="3:14" x14ac:dyDescent="0.2">
      <c r="C540">
        <f t="shared" si="47"/>
        <v>439</v>
      </c>
      <c r="D540">
        <f t="shared" si="48"/>
        <v>4.5359999999999996</v>
      </c>
      <c r="E540">
        <f t="shared" si="42"/>
        <v>1.3584426478963919E-5</v>
      </c>
      <c r="F540">
        <f t="shared" si="43"/>
        <v>1.3584426478963919E-5</v>
      </c>
      <c r="K540">
        <f t="shared" si="44"/>
        <v>2.8665589909548927E-6</v>
      </c>
      <c r="M540" t="str">
        <f t="shared" si="45"/>
        <v/>
      </c>
      <c r="N540">
        <f t="shared" si="46"/>
        <v>1.3584426478963919E-5</v>
      </c>
    </row>
    <row r="541" spans="3:14" x14ac:dyDescent="0.2">
      <c r="C541">
        <f t="shared" si="47"/>
        <v>440</v>
      </c>
      <c r="D541">
        <f t="shared" si="48"/>
        <v>4.5600000000000005</v>
      </c>
      <c r="E541">
        <f t="shared" si="42"/>
        <v>1.2179716970268655E-5</v>
      </c>
      <c r="F541">
        <f t="shared" si="43"/>
        <v>1.2179716970268655E-5</v>
      </c>
      <c r="K541">
        <f t="shared" si="44"/>
        <v>2.5576810394056793E-6</v>
      </c>
      <c r="M541" t="str">
        <f t="shared" si="45"/>
        <v/>
      </c>
      <c r="N541">
        <f t="shared" si="46"/>
        <v>1.2179716970268655E-5</v>
      </c>
    </row>
    <row r="542" spans="3:14" x14ac:dyDescent="0.2">
      <c r="C542">
        <f t="shared" si="47"/>
        <v>441</v>
      </c>
      <c r="D542">
        <f t="shared" si="48"/>
        <v>4.5839999999999996</v>
      </c>
      <c r="E542">
        <f t="shared" si="42"/>
        <v>1.0913974417565564E-5</v>
      </c>
      <c r="F542">
        <f t="shared" si="43"/>
        <v>1.0913974417565564E-5</v>
      </c>
      <c r="K542">
        <f t="shared" si="44"/>
        <v>2.2808211754821173E-6</v>
      </c>
      <c r="M542" t="str">
        <f t="shared" si="45"/>
        <v/>
      </c>
      <c r="N542">
        <f t="shared" si="46"/>
        <v>1.0913974417565564E-5</v>
      </c>
    </row>
    <row r="543" spans="3:14" x14ac:dyDescent="0.2">
      <c r="C543">
        <f t="shared" si="47"/>
        <v>442</v>
      </c>
      <c r="D543">
        <f t="shared" si="48"/>
        <v>4.6080000000000005</v>
      </c>
      <c r="E543">
        <f t="shared" si="42"/>
        <v>9.7741390450493509E-6</v>
      </c>
      <c r="F543">
        <f t="shared" si="43"/>
        <v>9.7741390450493509E-6</v>
      </c>
      <c r="K543">
        <f t="shared" si="44"/>
        <v>2.0328033175642801E-6</v>
      </c>
      <c r="M543" t="str">
        <f t="shared" si="45"/>
        <v/>
      </c>
      <c r="N543">
        <f t="shared" si="46"/>
        <v>9.7741390450493509E-6</v>
      </c>
    </row>
    <row r="544" spans="3:14" x14ac:dyDescent="0.2">
      <c r="C544">
        <f t="shared" si="47"/>
        <v>443</v>
      </c>
      <c r="D544">
        <f t="shared" si="48"/>
        <v>4.6319999999999997</v>
      </c>
      <c r="E544">
        <f t="shared" si="42"/>
        <v>8.7483055025099134E-6</v>
      </c>
      <c r="F544">
        <f t="shared" si="43"/>
        <v>8.7483055025099134E-6</v>
      </c>
      <c r="K544">
        <f t="shared" si="44"/>
        <v>1.8107507691045299E-6</v>
      </c>
      <c r="M544" t="str">
        <f t="shared" si="45"/>
        <v/>
      </c>
      <c r="N544">
        <f t="shared" si="46"/>
        <v>8.7483055025099134E-6</v>
      </c>
    </row>
    <row r="545" spans="3:14" x14ac:dyDescent="0.2">
      <c r="C545">
        <f t="shared" si="47"/>
        <v>444</v>
      </c>
      <c r="D545">
        <f t="shared" si="48"/>
        <v>4.6560000000000006</v>
      </c>
      <c r="E545">
        <f t="shared" si="42"/>
        <v>7.8256282814302102E-6</v>
      </c>
      <c r="F545">
        <f t="shared" si="43"/>
        <v>7.8256282814302102E-6</v>
      </c>
      <c r="K545">
        <f t="shared" si="44"/>
        <v>1.6120596619817462E-6</v>
      </c>
      <c r="M545" t="str">
        <f t="shared" si="45"/>
        <v/>
      </c>
      <c r="N545">
        <f t="shared" si="46"/>
        <v>7.8256282814302102E-6</v>
      </c>
    </row>
    <row r="546" spans="3:14" x14ac:dyDescent="0.2">
      <c r="C546">
        <f t="shared" si="47"/>
        <v>445</v>
      </c>
      <c r="D546">
        <f t="shared" si="48"/>
        <v>4.68</v>
      </c>
      <c r="E546">
        <f t="shared" si="42"/>
        <v>6.996234143270405E-6</v>
      </c>
      <c r="F546">
        <f t="shared" si="43"/>
        <v>6.996234143270405E-6</v>
      </c>
      <c r="K546">
        <f t="shared" si="44"/>
        <v>1.4343745844414002E-6</v>
      </c>
      <c r="M546" t="str">
        <f t="shared" si="45"/>
        <v/>
      </c>
      <c r="N546">
        <f t="shared" si="46"/>
        <v>6.996234143270405E-6</v>
      </c>
    </row>
    <row r="547" spans="3:14" x14ac:dyDescent="0.2">
      <c r="C547">
        <f t="shared" si="47"/>
        <v>446</v>
      </c>
      <c r="D547">
        <f t="shared" si="48"/>
        <v>4.7040000000000006</v>
      </c>
      <c r="E547">
        <f t="shared" si="42"/>
        <v>6.2511411104785215E-6</v>
      </c>
      <c r="F547">
        <f t="shared" si="43"/>
        <v>6.2511411104785215E-6</v>
      </c>
      <c r="K547">
        <f t="shared" si="44"/>
        <v>1.2755662317509575E-6</v>
      </c>
      <c r="M547" t="str">
        <f t="shared" si="45"/>
        <v/>
      </c>
      <c r="N547">
        <f t="shared" si="46"/>
        <v>6.2511411104785215E-6</v>
      </c>
    </row>
    <row r="548" spans="3:14" x14ac:dyDescent="0.2">
      <c r="C548">
        <f t="shared" si="47"/>
        <v>447</v>
      </c>
      <c r="D548">
        <f t="shared" si="48"/>
        <v>4.7279999999999998</v>
      </c>
      <c r="E548">
        <f t="shared" si="42"/>
        <v>5.5821835930201659E-6</v>
      </c>
      <c r="F548">
        <f t="shared" si="43"/>
        <v>5.5821835930201659E-6</v>
      </c>
      <c r="K548">
        <f t="shared" si="44"/>
        <v>1.1337109261377876E-6</v>
      </c>
      <c r="M548" t="str">
        <f t="shared" si="45"/>
        <v/>
      </c>
      <c r="N548">
        <f t="shared" si="46"/>
        <v>5.5821835930201659E-6</v>
      </c>
    </row>
    <row r="549" spans="3:14" x14ac:dyDescent="0.2">
      <c r="C549">
        <f t="shared" si="47"/>
        <v>448</v>
      </c>
      <c r="D549">
        <f t="shared" si="48"/>
        <v>4.7520000000000007</v>
      </c>
      <c r="E549">
        <f t="shared" ref="E549:E601" si="49">NORMDIST(D549,mu,sigma,0)</f>
        <v>4.9819432449787756E-6</v>
      </c>
      <c r="F549">
        <f t="shared" ref="F549:F601" si="50">IF(D549&gt;onevalue,E549,"")</f>
        <v>4.9819432449787756E-6</v>
      </c>
      <c r="K549">
        <f t="shared" ref="K549:K601" si="51">1-NORMDIST(D549,mu,sigma,1)</f>
        <v>1.0070718640120546E-6</v>
      </c>
      <c r="M549" t="str">
        <f t="shared" ref="M549:M601" si="52">IF($D549&lt;onevalue,$E549,"")</f>
        <v/>
      </c>
      <c r="N549">
        <f t="shared" ref="N549:N601" si="53">IF(ABS($D549)&gt;=ABS(onevalue),$E549,"")</f>
        <v>4.9819432449787756E-6</v>
      </c>
    </row>
    <row r="550" spans="3:14" x14ac:dyDescent="0.2">
      <c r="C550">
        <f t="shared" ref="C550:C601" si="54">ROW(C550)-101</f>
        <v>449</v>
      </c>
      <c r="D550">
        <f t="shared" ref="D550:D601" si="55">$B$100+($B$101-$B$100)*C550/$B$102</f>
        <v>4.7759999999999998</v>
      </c>
      <c r="E550">
        <f t="shared" si="49"/>
        <v>4.443685167005601E-6</v>
      </c>
      <c r="F550">
        <f t="shared" si="50"/>
        <v>4.443685167005601E-6</v>
      </c>
      <c r="K550">
        <f t="shared" si="51"/>
        <v>8.940819585800952E-7</v>
      </c>
      <c r="M550" t="str">
        <f t="shared" si="52"/>
        <v/>
      </c>
      <c r="N550">
        <f t="shared" si="53"/>
        <v>4.443685167005601E-6</v>
      </c>
    </row>
    <row r="551" spans="3:14" x14ac:dyDescent="0.2">
      <c r="C551">
        <f t="shared" si="54"/>
        <v>450</v>
      </c>
      <c r="D551">
        <f t="shared" si="55"/>
        <v>4.8000000000000007</v>
      </c>
      <c r="E551">
        <f t="shared" si="49"/>
        <v>3.9612990910320609E-6</v>
      </c>
      <c r="F551">
        <f t="shared" si="50"/>
        <v>3.9612990910320609E-6</v>
      </c>
      <c r="K551">
        <f t="shared" si="51"/>
        <v>7.9332815194899098E-7</v>
      </c>
      <c r="M551" t="str">
        <f t="shared" si="52"/>
        <v/>
      </c>
      <c r="N551">
        <f t="shared" si="53"/>
        <v>3.9612990910320609E-6</v>
      </c>
    </row>
    <row r="552" spans="3:14" x14ac:dyDescent="0.2">
      <c r="C552">
        <f t="shared" si="54"/>
        <v>451</v>
      </c>
      <c r="D552">
        <f t="shared" si="55"/>
        <v>4.8239999999999998</v>
      </c>
      <c r="E552">
        <f t="shared" si="49"/>
        <v>3.5292452036728565E-6</v>
      </c>
      <c r="F552">
        <f t="shared" si="50"/>
        <v>3.5292452036728565E-6</v>
      </c>
      <c r="K552">
        <f t="shared" si="51"/>
        <v>7.0353708336856613E-7</v>
      </c>
      <c r="M552" t="str">
        <f t="shared" si="52"/>
        <v/>
      </c>
      <c r="N552">
        <f t="shared" si="53"/>
        <v>3.5292452036728565E-6</v>
      </c>
    </row>
    <row r="553" spans="3:14" x14ac:dyDescent="0.2">
      <c r="C553">
        <f t="shared" si="54"/>
        <v>452</v>
      </c>
      <c r="D553">
        <f t="shared" si="55"/>
        <v>4.8480000000000008</v>
      </c>
      <c r="E553">
        <f t="shared" si="49"/>
        <v>3.1425042841019365E-6</v>
      </c>
      <c r="F553">
        <f t="shared" si="50"/>
        <v>3.1425042841019365E-6</v>
      </c>
      <c r="K553">
        <f t="shared" si="51"/>
        <v>6.2356200491997527E-7</v>
      </c>
      <c r="M553" t="str">
        <f t="shared" si="52"/>
        <v/>
      </c>
      <c r="N553">
        <f t="shared" si="53"/>
        <v>3.1425042841019365E-6</v>
      </c>
    </row>
    <row r="554" spans="3:14" x14ac:dyDescent="0.2">
      <c r="C554">
        <f t="shared" si="54"/>
        <v>453</v>
      </c>
      <c r="D554">
        <f t="shared" si="55"/>
        <v>4.8719999999999999</v>
      </c>
      <c r="E554">
        <f t="shared" si="49"/>
        <v>2.7965318508624735E-6</v>
      </c>
      <c r="F554">
        <f t="shared" si="50"/>
        <v>2.7965318508624735E-6</v>
      </c>
      <c r="K554">
        <f t="shared" si="51"/>
        <v>5.5237084517489876E-7</v>
      </c>
      <c r="M554" t="str">
        <f t="shared" si="52"/>
        <v/>
      </c>
      <c r="N554">
        <f t="shared" si="53"/>
        <v>2.7965318508624735E-6</v>
      </c>
    </row>
    <row r="555" spans="3:14" x14ac:dyDescent="0.2">
      <c r="C555">
        <f t="shared" si="54"/>
        <v>454</v>
      </c>
      <c r="D555">
        <f t="shared" si="55"/>
        <v>4.8960000000000008</v>
      </c>
      <c r="E555">
        <f t="shared" si="49"/>
        <v>2.4872160300486709E-6</v>
      </c>
      <c r="F555">
        <f t="shared" si="50"/>
        <v>2.4872160300486709E-6</v>
      </c>
      <c r="K555">
        <f t="shared" si="51"/>
        <v>4.8903532812172301E-7</v>
      </c>
      <c r="M555" t="str">
        <f t="shared" si="52"/>
        <v/>
      </c>
      <c r="N555">
        <f t="shared" si="53"/>
        <v>2.4872160300486709E-6</v>
      </c>
    </row>
    <row r="556" spans="3:14" x14ac:dyDescent="0.2">
      <c r="C556">
        <f t="shared" si="54"/>
        <v>455</v>
      </c>
      <c r="D556">
        <f t="shared" si="55"/>
        <v>4.92</v>
      </c>
      <c r="E556">
        <f t="shared" si="49"/>
        <v>2.2108388745684212E-6</v>
      </c>
      <c r="F556">
        <f t="shared" si="50"/>
        <v>2.2108388745684212E-6</v>
      </c>
      <c r="K556">
        <f t="shared" si="51"/>
        <v>4.327210618715327E-7</v>
      </c>
      <c r="M556" t="str">
        <f t="shared" si="52"/>
        <v/>
      </c>
      <c r="N556">
        <f t="shared" si="53"/>
        <v>2.2108388745684212E-6</v>
      </c>
    </row>
    <row r="557" spans="3:14" x14ac:dyDescent="0.2">
      <c r="C557">
        <f t="shared" si="54"/>
        <v>456</v>
      </c>
      <c r="D557">
        <f t="shared" si="55"/>
        <v>4.9440000000000008</v>
      </c>
      <c r="E557">
        <f t="shared" si="49"/>
        <v>1.9640408807463227E-6</v>
      </c>
      <c r="F557">
        <f t="shared" si="50"/>
        <v>1.9640408807463227E-6</v>
      </c>
      <c r="K557">
        <f t="shared" si="51"/>
        <v>3.8267851565354505E-7</v>
      </c>
      <c r="M557" t="str">
        <f t="shared" si="52"/>
        <v/>
      </c>
      <c r="N557">
        <f t="shared" si="53"/>
        <v>1.9640408807463227E-6</v>
      </c>
    </row>
    <row r="558" spans="3:14" x14ac:dyDescent="0.2">
      <c r="C558">
        <f t="shared" si="54"/>
        <v>457</v>
      </c>
      <c r="D558">
        <f t="shared" si="55"/>
        <v>4.968</v>
      </c>
      <c r="E558">
        <f t="shared" si="49"/>
        <v>1.7437884643617589E-6</v>
      </c>
      <c r="F558">
        <f t="shared" si="50"/>
        <v>1.7437884643617589E-6</v>
      </c>
      <c r="K558">
        <f t="shared" si="51"/>
        <v>3.3823481382366793E-7</v>
      </c>
      <c r="M558" t="str">
        <f t="shared" si="52"/>
        <v/>
      </c>
      <c r="N558">
        <f t="shared" si="53"/>
        <v>1.7437884643617589E-6</v>
      </c>
    </row>
    <row r="559" spans="3:14" x14ac:dyDescent="0.2">
      <c r="C559">
        <f t="shared" si="54"/>
        <v>458</v>
      </c>
      <c r="D559">
        <f t="shared" si="55"/>
        <v>4.9920000000000009</v>
      </c>
      <c r="E559">
        <f t="shared" si="49"/>
        <v>1.5473441733317354E-6</v>
      </c>
      <c r="F559">
        <f t="shared" si="50"/>
        <v>1.5473441733317354E-6</v>
      </c>
      <c r="K559">
        <f t="shared" si="51"/>
        <v>2.987862760539528E-7</v>
      </c>
      <c r="M559" t="str">
        <f t="shared" si="52"/>
        <v/>
      </c>
      <c r="N559">
        <f t="shared" si="53"/>
        <v>1.5473441733317354E-6</v>
      </c>
    </row>
    <row r="560" spans="3:14" x14ac:dyDescent="0.2">
      <c r="C560">
        <f t="shared" si="54"/>
        <v>459</v>
      </c>
      <c r="D560">
        <f t="shared" si="55"/>
        <v>5.016</v>
      </c>
      <c r="E560">
        <f t="shared" si="49"/>
        <v>1.3722394286545041E-6</v>
      </c>
      <c r="F560">
        <f t="shared" si="50"/>
        <v>1.3722394286545041E-6</v>
      </c>
      <c r="K560">
        <f t="shared" si="51"/>
        <v>2.6379164219658691E-7</v>
      </c>
      <c r="M560" t="str">
        <f t="shared" si="52"/>
        <v/>
      </c>
      <c r="N560">
        <f t="shared" si="53"/>
        <v>1.3722394286545041E-6</v>
      </c>
    </row>
    <row r="561" spans="3:14" x14ac:dyDescent="0.2">
      <c r="C561">
        <f t="shared" si="54"/>
        <v>460</v>
      </c>
      <c r="D561">
        <f t="shared" si="55"/>
        <v>5.0399999999999991</v>
      </c>
      <c r="E561">
        <f t="shared" si="49"/>
        <v>1.2162495989313246E-6</v>
      </c>
      <c r="F561">
        <f t="shared" si="50"/>
        <v>1.2162495989313246E-6</v>
      </c>
      <c r="K561">
        <f t="shared" si="51"/>
        <v>2.327659230916268E-7</v>
      </c>
      <c r="M561" t="str">
        <f t="shared" si="52"/>
        <v/>
      </c>
      <c r="N561">
        <f t="shared" si="53"/>
        <v>1.2162495989313246E-6</v>
      </c>
    </row>
    <row r="562" spans="3:14" x14ac:dyDescent="0.2">
      <c r="C562">
        <f t="shared" si="54"/>
        <v>461</v>
      </c>
      <c r="D562">
        <f t="shared" si="55"/>
        <v>5.0640000000000001</v>
      </c>
      <c r="E562">
        <f t="shared" si="49"/>
        <v>1.0773712267960586E-6</v>
      </c>
      <c r="F562">
        <f t="shared" si="50"/>
        <v>1.0773712267960586E-6</v>
      </c>
      <c r="K562">
        <f t="shared" si="51"/>
        <v>2.0527482313958956E-7</v>
      </c>
      <c r="M562" t="str">
        <f t="shared" si="52"/>
        <v/>
      </c>
      <c r="N562">
        <f t="shared" si="53"/>
        <v>1.0773712267960586E-6</v>
      </c>
    </row>
    <row r="563" spans="3:14" x14ac:dyDescent="0.2">
      <c r="C563">
        <f t="shared" si="54"/>
        <v>462</v>
      </c>
      <c r="D563">
        <f t="shared" si="55"/>
        <v>5.0879999999999992</v>
      </c>
      <c r="E563">
        <f t="shared" si="49"/>
        <v>9.5380123791647633E-7</v>
      </c>
      <c r="F563">
        <f t="shared" si="50"/>
        <v>9.5380123791647633E-7</v>
      </c>
      <c r="K563">
        <f t="shared" si="51"/>
        <v>1.8092968545602162E-7</v>
      </c>
      <c r="M563" t="str">
        <f t="shared" si="52"/>
        <v/>
      </c>
      <c r="N563">
        <f t="shared" si="53"/>
        <v>9.5380123791647633E-7</v>
      </c>
    </row>
    <row r="564" spans="3:14" x14ac:dyDescent="0.2">
      <c r="C564">
        <f t="shared" si="54"/>
        <v>463</v>
      </c>
      <c r="D564">
        <f t="shared" si="55"/>
        <v>5.1120000000000001</v>
      </c>
      <c r="E564">
        <f t="shared" si="49"/>
        <v>8.4391797490514879E-7</v>
      </c>
      <c r="F564">
        <f t="shared" si="50"/>
        <v>8.4391797490514879E-7</v>
      </c>
      <c r="K564">
        <f t="shared" si="51"/>
        <v>1.5938291364481216E-7</v>
      </c>
      <c r="M564" t="str">
        <f t="shared" si="52"/>
        <v/>
      </c>
      <c r="N564">
        <f t="shared" si="53"/>
        <v>8.4391797490514879E-7</v>
      </c>
    </row>
    <row r="565" spans="3:14" x14ac:dyDescent="0.2">
      <c r="C565">
        <f t="shared" si="54"/>
        <v>464</v>
      </c>
      <c r="D565">
        <f t="shared" si="55"/>
        <v>5.1359999999999992</v>
      </c>
      <c r="E565">
        <f t="shared" si="49"/>
        <v>7.4626390950944681E-7</v>
      </c>
      <c r="F565">
        <f t="shared" si="50"/>
        <v>7.4626390950944681E-7</v>
      </c>
      <c r="K565">
        <f t="shared" si="51"/>
        <v>1.4032382855688752E-7</v>
      </c>
      <c r="M565" t="str">
        <f t="shared" si="52"/>
        <v/>
      </c>
      <c r="N565">
        <f t="shared" si="53"/>
        <v>7.4626390950944681E-7</v>
      </c>
    </row>
    <row r="566" spans="3:14" x14ac:dyDescent="0.2">
      <c r="C566">
        <f t="shared" si="54"/>
        <v>465</v>
      </c>
      <c r="D566">
        <f t="shared" si="55"/>
        <v>5.16</v>
      </c>
      <c r="E566">
        <f t="shared" si="49"/>
        <v>6.5952989685752167E-7</v>
      </c>
      <c r="F566">
        <f t="shared" si="50"/>
        <v>6.5952989685752167E-7</v>
      </c>
      <c r="K566">
        <f t="shared" si="51"/>
        <v>1.2347492128750304E-7</v>
      </c>
      <c r="M566" t="str">
        <f t="shared" si="52"/>
        <v/>
      </c>
      <c r="N566">
        <f t="shared" si="53"/>
        <v>6.5952989685752167E-7</v>
      </c>
    </row>
    <row r="567" spans="3:14" x14ac:dyDescent="0.2">
      <c r="C567">
        <f t="shared" si="54"/>
        <v>466</v>
      </c>
      <c r="D567">
        <f t="shared" si="55"/>
        <v>5.1839999999999993</v>
      </c>
      <c r="E567">
        <f t="shared" si="49"/>
        <v>5.8254084534283518E-7</v>
      </c>
      <c r="F567">
        <f t="shared" si="50"/>
        <v>5.8254084534283518E-7</v>
      </c>
      <c r="K567">
        <f t="shared" si="51"/>
        <v>1.0858846610783957E-7</v>
      </c>
      <c r="M567" t="str">
        <f t="shared" si="52"/>
        <v/>
      </c>
      <c r="N567">
        <f t="shared" si="53"/>
        <v>5.8254084534283518E-7</v>
      </c>
    </row>
    <row r="568" spans="3:14" x14ac:dyDescent="0.2">
      <c r="C568">
        <f t="shared" si="54"/>
        <v>467</v>
      </c>
      <c r="D568">
        <f t="shared" si="55"/>
        <v>5.2080000000000002</v>
      </c>
      <c r="E568">
        <f t="shared" si="49"/>
        <v>5.1424268495308647E-7</v>
      </c>
      <c r="F568">
        <f t="shared" si="50"/>
        <v>5.1424268495308647E-7</v>
      </c>
      <c r="K568">
        <f t="shared" si="51"/>
        <v>9.5443462577726734E-8</v>
      </c>
      <c r="M568" t="str">
        <f t="shared" si="52"/>
        <v/>
      </c>
      <c r="N568">
        <f t="shared" si="53"/>
        <v>5.1424268495308647E-7</v>
      </c>
    </row>
    <row r="569" spans="3:14" x14ac:dyDescent="0.2">
      <c r="C569">
        <f t="shared" si="54"/>
        <v>468</v>
      </c>
      <c r="D569">
        <f t="shared" si="55"/>
        <v>5.2319999999999993</v>
      </c>
      <c r="E569">
        <f t="shared" si="49"/>
        <v>4.5369052551441447E-7</v>
      </c>
      <c r="F569">
        <f t="shared" si="50"/>
        <v>4.5369052551441447E-7</v>
      </c>
      <c r="K569">
        <f t="shared" si="51"/>
        <v>8.3842875420181429E-8</v>
      </c>
      <c r="M569" t="str">
        <f t="shared" si="52"/>
        <v/>
      </c>
      <c r="N569">
        <f t="shared" si="53"/>
        <v>4.5369052551441447E-7</v>
      </c>
    </row>
    <row r="570" spans="3:14" x14ac:dyDescent="0.2">
      <c r="C570">
        <f t="shared" si="54"/>
        <v>469</v>
      </c>
      <c r="D570">
        <f t="shared" si="55"/>
        <v>5.2560000000000002</v>
      </c>
      <c r="E570">
        <f t="shared" si="49"/>
        <v>4.0003790444932249E-7</v>
      </c>
      <c r="F570">
        <f t="shared" si="50"/>
        <v>4.0003790444932249E-7</v>
      </c>
      <c r="K570">
        <f t="shared" si="51"/>
        <v>7.3611144735252765E-8</v>
      </c>
      <c r="M570" t="str">
        <f t="shared" si="52"/>
        <v/>
      </c>
      <c r="N570">
        <f t="shared" si="53"/>
        <v>4.0003790444932249E-7</v>
      </c>
    </row>
    <row r="571" spans="3:14" x14ac:dyDescent="0.2">
      <c r="C571">
        <f t="shared" si="54"/>
        <v>470</v>
      </c>
      <c r="D571">
        <f t="shared" si="55"/>
        <v>5.2799999999999994</v>
      </c>
      <c r="E571">
        <f t="shared" si="49"/>
        <v>3.5252703126140567E-7</v>
      </c>
      <c r="F571">
        <f t="shared" si="50"/>
        <v>3.5252703126140567E-7</v>
      </c>
      <c r="K571">
        <f t="shared" si="51"/>
        <v>6.4591943238490046E-8</v>
      </c>
      <c r="M571" t="str">
        <f t="shared" si="52"/>
        <v/>
      </c>
      <c r="N571">
        <f t="shared" si="53"/>
        <v>3.5252703126140567E-7</v>
      </c>
    </row>
    <row r="572" spans="3:14" x14ac:dyDescent="0.2">
      <c r="C572">
        <f t="shared" si="54"/>
        <v>471</v>
      </c>
      <c r="D572">
        <f t="shared" si="55"/>
        <v>5.3040000000000003</v>
      </c>
      <c r="E572">
        <f t="shared" si="49"/>
        <v>3.104799430831489E-7</v>
      </c>
      <c r="F572">
        <f t="shared" si="50"/>
        <v>3.104799430831489E-7</v>
      </c>
      <c r="K572">
        <f t="shared" si="51"/>
        <v>5.6646155988104852E-8</v>
      </c>
      <c r="M572" t="str">
        <f t="shared" si="52"/>
        <v/>
      </c>
      <c r="N572">
        <f t="shared" si="53"/>
        <v>3.104799430831489E-7</v>
      </c>
    </row>
    <row r="573" spans="3:14" x14ac:dyDescent="0.2">
      <c r="C573">
        <f t="shared" si="54"/>
        <v>472</v>
      </c>
      <c r="D573">
        <f t="shared" si="55"/>
        <v>5.3279999999999994</v>
      </c>
      <c r="E573">
        <f t="shared" si="49"/>
        <v>2.7329049227913364E-7</v>
      </c>
      <c r="F573">
        <f t="shared" si="50"/>
        <v>2.7329049227913364E-7</v>
      </c>
      <c r="K573">
        <f t="shared" si="51"/>
        <v>4.9650062061701306E-8</v>
      </c>
      <c r="M573" t="str">
        <f t="shared" si="52"/>
        <v/>
      </c>
      <c r="N573">
        <f t="shared" si="53"/>
        <v>2.7329049227913364E-7</v>
      </c>
    </row>
    <row r="574" spans="3:14" x14ac:dyDescent="0.2">
      <c r="C574">
        <f t="shared" si="54"/>
        <v>473</v>
      </c>
      <c r="D574">
        <f t="shared" si="55"/>
        <v>5.3520000000000003</v>
      </c>
      <c r="E574">
        <f t="shared" si="49"/>
        <v>2.4041709330746573E-7</v>
      </c>
      <c r="F574">
        <f t="shared" si="50"/>
        <v>2.4041709330746573E-7</v>
      </c>
      <c r="K574">
        <f t="shared" si="51"/>
        <v>4.3493699419805409E-8</v>
      </c>
      <c r="M574" t="str">
        <f t="shared" si="52"/>
        <v/>
      </c>
      <c r="N574">
        <f t="shared" si="53"/>
        <v>2.4041709330746573E-7</v>
      </c>
    </row>
    <row r="575" spans="3:14" x14ac:dyDescent="0.2">
      <c r="C575">
        <f t="shared" si="54"/>
        <v>474</v>
      </c>
      <c r="D575">
        <f t="shared" si="55"/>
        <v>5.3759999999999994</v>
      </c>
      <c r="E575">
        <f t="shared" si="49"/>
        <v>2.1137616183074136E-7</v>
      </c>
      <c r="F575">
        <f t="shared" si="50"/>
        <v>2.1137616183074136E-7</v>
      </c>
      <c r="K575">
        <f t="shared" si="51"/>
        <v>3.8079395747736555E-8</v>
      </c>
      <c r="M575" t="str">
        <f t="shared" si="52"/>
        <v/>
      </c>
      <c r="N575">
        <f t="shared" si="53"/>
        <v>2.1137616183074136E-7</v>
      </c>
    </row>
    <row r="576" spans="3:14" x14ac:dyDescent="0.2">
      <c r="C576">
        <f t="shared" si="54"/>
        <v>475</v>
      </c>
      <c r="D576">
        <f t="shared" si="55"/>
        <v>5.4</v>
      </c>
      <c r="E576">
        <f t="shared" si="49"/>
        <v>1.8573618445552897E-7</v>
      </c>
      <c r="F576">
        <f t="shared" si="50"/>
        <v>1.8573618445552897E-7</v>
      </c>
      <c r="K576">
        <f t="shared" si="51"/>
        <v>3.3320448511453549E-8</v>
      </c>
      <c r="M576" t="str">
        <f t="shared" si="52"/>
        <v/>
      </c>
      <c r="N576">
        <f t="shared" si="53"/>
        <v>1.8573618445552897E-7</v>
      </c>
    </row>
    <row r="577" spans="3:14" x14ac:dyDescent="0.2">
      <c r="C577">
        <f t="shared" si="54"/>
        <v>476</v>
      </c>
      <c r="D577">
        <f t="shared" si="55"/>
        <v>5.4239999999999995</v>
      </c>
      <c r="E577">
        <f t="shared" si="49"/>
        <v>1.6311236248861543E-7</v>
      </c>
      <c r="F577">
        <f t="shared" si="50"/>
        <v>1.6311236248861543E-7</v>
      </c>
      <c r="K577">
        <f t="shared" si="51"/>
        <v>2.9139940793676544E-8</v>
      </c>
      <c r="M577" t="str">
        <f t="shared" si="52"/>
        <v/>
      </c>
      <c r="N577">
        <f t="shared" si="53"/>
        <v>1.6311236248861543E-7</v>
      </c>
    </row>
    <row r="578" spans="3:14" x14ac:dyDescent="0.2">
      <c r="C578">
        <f t="shared" si="54"/>
        <v>477</v>
      </c>
      <c r="D578">
        <f t="shared" si="55"/>
        <v>5.4480000000000004</v>
      </c>
      <c r="E578">
        <f t="shared" si="49"/>
        <v>1.4316177774957213E-7</v>
      </c>
      <c r="F578">
        <f t="shared" si="50"/>
        <v>1.4316177774957213E-7</v>
      </c>
      <c r="K578">
        <f t="shared" si="51"/>
        <v>2.5469679143519386E-8</v>
      </c>
      <c r="M578" t="str">
        <f t="shared" si="52"/>
        <v/>
      </c>
      <c r="N578">
        <f t="shared" si="53"/>
        <v>1.4316177774957213E-7</v>
      </c>
    </row>
    <row r="579" spans="3:14" x14ac:dyDescent="0.2">
      <c r="C579">
        <f t="shared" si="54"/>
        <v>478</v>
      </c>
      <c r="D579">
        <f t="shared" si="55"/>
        <v>5.4719999999999995</v>
      </c>
      <c r="E579">
        <f t="shared" si="49"/>
        <v>1.2557903279356918E-7</v>
      </c>
      <c r="F579">
        <f t="shared" si="50"/>
        <v>1.2557903279356918E-7</v>
      </c>
      <c r="K579">
        <f t="shared" si="51"/>
        <v>2.2249241671268294E-8</v>
      </c>
      <c r="M579" t="str">
        <f t="shared" si="52"/>
        <v/>
      </c>
      <c r="N579">
        <f t="shared" si="53"/>
        <v>1.2557903279356918E-7</v>
      </c>
    </row>
    <row r="580" spans="3:14" x14ac:dyDescent="0.2">
      <c r="C580">
        <f t="shared" si="54"/>
        <v>479</v>
      </c>
      <c r="D580">
        <f t="shared" si="55"/>
        <v>5.4960000000000004</v>
      </c>
      <c r="E580">
        <f t="shared" si="49"/>
        <v>1.1009232189518106E-7</v>
      </c>
      <c r="F580">
        <f t="shared" si="50"/>
        <v>1.1009232189518106E-7</v>
      </c>
      <c r="K580">
        <f t="shared" si="51"/>
        <v>1.942512528607665E-8</v>
      </c>
      <c r="M580" t="str">
        <f t="shared" si="52"/>
        <v/>
      </c>
      <c r="N580">
        <f t="shared" si="53"/>
        <v>1.1009232189518106E-7</v>
      </c>
    </row>
    <row r="581" spans="3:14" x14ac:dyDescent="0.2">
      <c r="C581">
        <f t="shared" si="54"/>
        <v>480</v>
      </c>
      <c r="D581">
        <f t="shared" si="55"/>
        <v>5.52</v>
      </c>
      <c r="E581">
        <f t="shared" si="49"/>
        <v>9.6459892842733842E-8</v>
      </c>
      <c r="F581">
        <f t="shared" si="50"/>
        <v>9.6459892842733842E-8</v>
      </c>
      <c r="K581">
        <f t="shared" si="51"/>
        <v>1.6949983083769382E-8</v>
      </c>
      <c r="M581" t="str">
        <f t="shared" si="52"/>
        <v/>
      </c>
      <c r="N581">
        <f t="shared" si="53"/>
        <v>9.6459892842733842E-8</v>
      </c>
    </row>
    <row r="582" spans="3:14" x14ac:dyDescent="0.2">
      <c r="C582">
        <f t="shared" si="54"/>
        <v>481</v>
      </c>
      <c r="D582">
        <f t="shared" si="55"/>
        <v>5.5440000000000005</v>
      </c>
      <c r="E582">
        <f t="shared" si="49"/>
        <v>8.4466863011587931E-8</v>
      </c>
      <c r="F582">
        <f t="shared" si="50"/>
        <v>8.4466863011587931E-8</v>
      </c>
      <c r="K582">
        <f t="shared" si="51"/>
        <v>1.4781941670705123E-8</v>
      </c>
      <c r="M582" t="str">
        <f t="shared" si="52"/>
        <v/>
      </c>
      <c r="N582">
        <f t="shared" si="53"/>
        <v>8.4466863011587931E-8</v>
      </c>
    </row>
    <row r="583" spans="3:14" x14ac:dyDescent="0.2">
      <c r="C583">
        <f t="shared" si="54"/>
        <v>482</v>
      </c>
      <c r="D583">
        <f t="shared" si="55"/>
        <v>5.5679999999999996</v>
      </c>
      <c r="E583">
        <f t="shared" si="49"/>
        <v>7.3922356341658018E-8</v>
      </c>
      <c r="F583">
        <f t="shared" si="50"/>
        <v>7.3922356341658018E-8</v>
      </c>
      <c r="K583">
        <f t="shared" si="51"/>
        <v>1.2883991207246481E-8</v>
      </c>
      <c r="M583" t="str">
        <f t="shared" si="52"/>
        <v/>
      </c>
      <c r="N583">
        <f t="shared" si="53"/>
        <v>7.3922356341658018E-8</v>
      </c>
    </row>
    <row r="584" spans="3:14" x14ac:dyDescent="0.2">
      <c r="C584">
        <f t="shared" si="54"/>
        <v>483</v>
      </c>
      <c r="D584">
        <f t="shared" si="55"/>
        <v>5.5920000000000005</v>
      </c>
      <c r="E584">
        <f t="shared" si="49"/>
        <v>6.4656930756044859E-8</v>
      </c>
      <c r="F584">
        <f t="shared" si="50"/>
        <v>6.4656930756044859E-8</v>
      </c>
      <c r="K584">
        <f t="shared" si="51"/>
        <v>1.1223441065411066E-8</v>
      </c>
      <c r="M584" t="str">
        <f t="shared" si="52"/>
        <v/>
      </c>
      <c r="N584">
        <f t="shared" si="53"/>
        <v>6.4656930756044859E-8</v>
      </c>
    </row>
    <row r="585" spans="3:14" x14ac:dyDescent="0.2">
      <c r="C585">
        <f t="shared" si="54"/>
        <v>484</v>
      </c>
      <c r="D585">
        <f t="shared" si="55"/>
        <v>5.6159999999999997</v>
      </c>
      <c r="E585">
        <f t="shared" si="49"/>
        <v>5.6520268240340859E-8</v>
      </c>
      <c r="F585">
        <f t="shared" si="50"/>
        <v>5.6520268240340859E-8</v>
      </c>
      <c r="K585">
        <f t="shared" si="51"/>
        <v>9.7714329960751911E-9</v>
      </c>
      <c r="M585" t="str">
        <f t="shared" si="52"/>
        <v/>
      </c>
      <c r="N585">
        <f t="shared" si="53"/>
        <v>5.6520268240340859E-8</v>
      </c>
    </row>
    <row r="586" spans="3:14" x14ac:dyDescent="0.2">
      <c r="C586">
        <f t="shared" si="54"/>
        <v>485</v>
      </c>
      <c r="D586">
        <f t="shared" si="55"/>
        <v>5.6400000000000006</v>
      </c>
      <c r="E586">
        <f t="shared" si="49"/>
        <v>4.9379102271104225E-8</v>
      </c>
      <c r="F586">
        <f t="shared" si="50"/>
        <v>4.9379102271104225E-8</v>
      </c>
      <c r="K586">
        <f t="shared" si="51"/>
        <v>8.5025082530165719E-9</v>
      </c>
      <c r="M586" t="str">
        <f t="shared" si="52"/>
        <v/>
      </c>
      <c r="N586">
        <f t="shared" si="53"/>
        <v>4.9379102271104225E-8</v>
      </c>
    </row>
    <row r="587" spans="3:14" x14ac:dyDescent="0.2">
      <c r="C587">
        <f t="shared" si="54"/>
        <v>486</v>
      </c>
      <c r="D587">
        <f t="shared" si="55"/>
        <v>5.6639999999999997</v>
      </c>
      <c r="E587">
        <f t="shared" si="49"/>
        <v>4.3115359552033492E-8</v>
      </c>
      <c r="F587">
        <f t="shared" si="50"/>
        <v>4.3115359552033492E-8</v>
      </c>
      <c r="K587">
        <f t="shared" si="51"/>
        <v>7.394220347123337E-9</v>
      </c>
      <c r="M587" t="str">
        <f t="shared" si="52"/>
        <v/>
      </c>
      <c r="N587">
        <f t="shared" si="53"/>
        <v>4.3115359552033492E-8</v>
      </c>
    </row>
    <row r="588" spans="3:14" x14ac:dyDescent="0.2">
      <c r="C588">
        <f t="shared" si="54"/>
        <v>487</v>
      </c>
      <c r="D588">
        <f t="shared" si="55"/>
        <v>5.6880000000000006</v>
      </c>
      <c r="E588">
        <f t="shared" si="49"/>
        <v>3.7624495101197867E-8</v>
      </c>
      <c r="F588">
        <f t="shared" si="50"/>
        <v>3.7624495101197867E-8</v>
      </c>
      <c r="K588">
        <f t="shared" si="51"/>
        <v>6.4267910993009991E-9</v>
      </c>
      <c r="M588" t="str">
        <f t="shared" si="52"/>
        <v/>
      </c>
      <c r="N588">
        <f t="shared" si="53"/>
        <v>3.7624495101197867E-8</v>
      </c>
    </row>
    <row r="589" spans="3:14" x14ac:dyDescent="0.2">
      <c r="C589">
        <f t="shared" si="54"/>
        <v>488</v>
      </c>
      <c r="D589">
        <f t="shared" si="55"/>
        <v>5.7119999999999997</v>
      </c>
      <c r="E589">
        <f t="shared" si="49"/>
        <v>3.2814001645590985E-8</v>
      </c>
      <c r="F589">
        <f t="shared" si="50"/>
        <v>3.2814001645590985E-8</v>
      </c>
      <c r="K589">
        <f t="shared" si="51"/>
        <v>5.5828044409622635E-9</v>
      </c>
      <c r="M589" t="str">
        <f t="shared" si="52"/>
        <v/>
      </c>
      <c r="N589">
        <f t="shared" si="53"/>
        <v>3.2814001645590985E-8</v>
      </c>
    </row>
    <row r="590" spans="3:14" x14ac:dyDescent="0.2">
      <c r="C590">
        <f t="shared" si="54"/>
        <v>489</v>
      </c>
      <c r="D590">
        <f t="shared" si="55"/>
        <v>5.7360000000000007</v>
      </c>
      <c r="E590">
        <f t="shared" si="49"/>
        <v>2.8602076032539976E-8</v>
      </c>
      <c r="F590">
        <f t="shared" si="50"/>
        <v>2.8602076032539976E-8</v>
      </c>
      <c r="K590">
        <f t="shared" si="51"/>
        <v>4.846933077118365E-9</v>
      </c>
      <c r="M590" t="str">
        <f t="shared" si="52"/>
        <v/>
      </c>
      <c r="N590">
        <f t="shared" si="53"/>
        <v>2.8602076032539976E-8</v>
      </c>
    </row>
    <row r="591" spans="3:14" x14ac:dyDescent="0.2">
      <c r="C591">
        <f t="shared" si="54"/>
        <v>490</v>
      </c>
      <c r="D591">
        <f t="shared" si="55"/>
        <v>5.76</v>
      </c>
      <c r="E591">
        <f t="shared" si="49"/>
        <v>2.4916426972950989E-8</v>
      </c>
      <c r="F591">
        <f t="shared" si="50"/>
        <v>2.4916426972950989E-8</v>
      </c>
      <c r="K591">
        <f t="shared" si="51"/>
        <v>4.2056967908266074E-9</v>
      </c>
      <c r="M591" t="str">
        <f t="shared" si="52"/>
        <v/>
      </c>
      <c r="N591">
        <f t="shared" si="53"/>
        <v>2.4916426972950989E-8</v>
      </c>
    </row>
    <row r="592" spans="3:14" x14ac:dyDescent="0.2">
      <c r="C592">
        <f t="shared" si="54"/>
        <v>491</v>
      </c>
      <c r="D592">
        <f t="shared" si="55"/>
        <v>5.7840000000000007</v>
      </c>
      <c r="E592">
        <f t="shared" si="49"/>
        <v>2.1693209899897903E-8</v>
      </c>
      <c r="F592">
        <f t="shared" si="50"/>
        <v>2.1693209899897903E-8</v>
      </c>
      <c r="K592">
        <f t="shared" si="51"/>
        <v>3.6472470599235862E-9</v>
      </c>
      <c r="M592" t="str">
        <f t="shared" si="52"/>
        <v/>
      </c>
      <c r="N592">
        <f t="shared" si="53"/>
        <v>2.1693209899897903E-8</v>
      </c>
    </row>
    <row r="593" spans="3:14" x14ac:dyDescent="0.2">
      <c r="C593">
        <f t="shared" si="54"/>
        <v>492</v>
      </c>
      <c r="D593">
        <f t="shared" si="55"/>
        <v>5.8079999999999998</v>
      </c>
      <c r="E593">
        <f t="shared" si="49"/>
        <v>1.8876076068122808E-8</v>
      </c>
      <c r="F593">
        <f t="shared" si="50"/>
        <v>1.8876076068122808E-8</v>
      </c>
      <c r="K593">
        <f t="shared" si="51"/>
        <v>3.1611758766203479E-9</v>
      </c>
      <c r="M593" t="str">
        <f t="shared" si="52"/>
        <v/>
      </c>
      <c r="N593">
        <f t="shared" si="53"/>
        <v>1.8876076068122808E-8</v>
      </c>
    </row>
    <row r="594" spans="3:14" x14ac:dyDescent="0.2">
      <c r="C594">
        <f t="shared" si="54"/>
        <v>493</v>
      </c>
      <c r="D594">
        <f t="shared" si="55"/>
        <v>5.8320000000000007</v>
      </c>
      <c r="E594">
        <f t="shared" si="49"/>
        <v>1.6415324245220292E-8</v>
      </c>
      <c r="F594">
        <f t="shared" si="50"/>
        <v>1.6415324245220292E-8</v>
      </c>
      <c r="K594">
        <f t="shared" si="51"/>
        <v>2.7383459944019251E-9</v>
      </c>
      <c r="M594" t="str">
        <f t="shared" si="52"/>
        <v/>
      </c>
      <c r="N594">
        <f t="shared" si="53"/>
        <v>1.6415324245220292E-8</v>
      </c>
    </row>
    <row r="595" spans="3:14" x14ac:dyDescent="0.2">
      <c r="C595">
        <f t="shared" si="54"/>
        <v>494</v>
      </c>
      <c r="D595">
        <f t="shared" si="55"/>
        <v>5.8559999999999999</v>
      </c>
      <c r="E595">
        <f t="shared" si="49"/>
        <v>1.4267144462795874E-8</v>
      </c>
      <c r="F595">
        <f t="shared" si="50"/>
        <v>1.4267144462795874E-8</v>
      </c>
      <c r="K595">
        <f t="shared" si="51"/>
        <v>2.3707410479190116E-9</v>
      </c>
      <c r="M595" t="str">
        <f t="shared" si="52"/>
        <v/>
      </c>
      <c r="N595">
        <f t="shared" si="53"/>
        <v>1.4267144462795874E-8</v>
      </c>
    </row>
    <row r="596" spans="3:14" x14ac:dyDescent="0.2">
      <c r="C596">
        <f t="shared" si="54"/>
        <v>495</v>
      </c>
      <c r="D596">
        <f t="shared" si="55"/>
        <v>5.8800000000000008</v>
      </c>
      <c r="E596">
        <f t="shared" si="49"/>
        <v>1.239294431415004E-8</v>
      </c>
      <c r="F596">
        <f t="shared" si="50"/>
        <v>1.239294431415004E-8</v>
      </c>
      <c r="K596">
        <f t="shared" si="51"/>
        <v>2.0513324372473107E-9</v>
      </c>
      <c r="M596" t="str">
        <f t="shared" si="52"/>
        <v/>
      </c>
      <c r="N596">
        <f t="shared" si="53"/>
        <v>1.239294431415004E-8</v>
      </c>
    </row>
    <row r="597" spans="3:14" x14ac:dyDescent="0.2">
      <c r="C597">
        <f t="shared" si="54"/>
        <v>496</v>
      </c>
      <c r="D597">
        <f t="shared" si="55"/>
        <v>5.9039999999999999</v>
      </c>
      <c r="E597">
        <f t="shared" si="49"/>
        <v>1.0758749212031231E-8</v>
      </c>
      <c r="F597">
        <f t="shared" si="50"/>
        <v>1.0758749212031231E-8</v>
      </c>
      <c r="K597">
        <f t="shared" si="51"/>
        <v>1.7739607560685045E-9</v>
      </c>
      <c r="M597" t="str">
        <f t="shared" si="52"/>
        <v/>
      </c>
      <c r="N597">
        <f t="shared" si="53"/>
        <v>1.0758749212031231E-8</v>
      </c>
    </row>
    <row r="598" spans="3:14" x14ac:dyDescent="0.2">
      <c r="C598">
        <f t="shared" si="54"/>
        <v>497</v>
      </c>
      <c r="D598">
        <f t="shared" si="55"/>
        <v>5.9280000000000008</v>
      </c>
      <c r="E598">
        <f t="shared" si="49"/>
        <v>9.3346688630663104E-9</v>
      </c>
      <c r="F598">
        <f t="shared" si="50"/>
        <v>9.3346688630663104E-9</v>
      </c>
      <c r="K598">
        <f t="shared" si="51"/>
        <v>1.5332325409289638E-9</v>
      </c>
      <c r="M598" t="str">
        <f t="shared" si="52"/>
        <v/>
      </c>
      <c r="N598">
        <f t="shared" si="53"/>
        <v>9.3346688630663104E-9</v>
      </c>
    </row>
    <row r="599" spans="3:14" x14ac:dyDescent="0.2">
      <c r="C599">
        <f t="shared" si="54"/>
        <v>498</v>
      </c>
      <c r="D599">
        <f t="shared" si="55"/>
        <v>5.952</v>
      </c>
      <c r="E599">
        <f t="shared" si="49"/>
        <v>8.094422981541427E-9</v>
      </c>
      <c r="F599">
        <f t="shared" si="50"/>
        <v>8.094422981541427E-9</v>
      </c>
      <c r="K599">
        <f t="shared" si="51"/>
        <v>1.3244269014833776E-9</v>
      </c>
      <c r="M599" t="str">
        <f t="shared" si="52"/>
        <v/>
      </c>
      <c r="N599">
        <f t="shared" si="53"/>
        <v>8.094422981541427E-9</v>
      </c>
    </row>
    <row r="600" spans="3:14" x14ac:dyDescent="0.2">
      <c r="C600">
        <f t="shared" si="54"/>
        <v>499</v>
      </c>
      <c r="D600">
        <f t="shared" si="55"/>
        <v>5.9760000000000009</v>
      </c>
      <c r="E600">
        <f t="shared" si="49"/>
        <v>7.0149199606205826E-9</v>
      </c>
      <c r="F600">
        <f t="shared" si="50"/>
        <v>7.0149199606205826E-9</v>
      </c>
      <c r="K600">
        <f t="shared" si="51"/>
        <v>1.1434150293254675E-9</v>
      </c>
      <c r="M600" t="str">
        <f t="shared" si="52"/>
        <v/>
      </c>
      <c r="N600">
        <f t="shared" si="53"/>
        <v>7.0149199606205826E-9</v>
      </c>
    </row>
    <row r="601" spans="3:14" x14ac:dyDescent="0.2">
      <c r="C601">
        <f t="shared" si="54"/>
        <v>500</v>
      </c>
      <c r="D601">
        <f t="shared" si="55"/>
        <v>6</v>
      </c>
      <c r="E601">
        <f t="shared" si="49"/>
        <v>6.0758828498232861E-9</v>
      </c>
      <c r="F601">
        <f t="shared" si="50"/>
        <v>6.0758828498232861E-9</v>
      </c>
      <c r="K601">
        <f t="shared" si="51"/>
        <v>9.8658770042447941E-10</v>
      </c>
      <c r="M601" t="str">
        <f t="shared" si="52"/>
        <v/>
      </c>
      <c r="N601">
        <f t="shared" si="53"/>
        <v>6.0758828498232861E-9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ample1">
                <anchor moveWithCells="1" sizeWithCells="1">
                  <from>
                    <xdr:col>4</xdr:col>
                    <xdr:colOff>0</xdr:colOff>
                    <xdr:row>8</xdr:row>
                    <xdr:rowOff>180975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4.s1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752475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/>
  </sheetPr>
  <dimension ref="A2:L600"/>
  <sheetViews>
    <sheetView showGridLines="0" showRowColHeaders="0" zoomScale="75" zoomScaleNormal="75" workbookViewId="0">
      <selection activeCell="F14" sqref="F14"/>
    </sheetView>
  </sheetViews>
  <sheetFormatPr defaultRowHeight="15" x14ac:dyDescent="0.2"/>
  <cols>
    <col min="2" max="2" width="11.33203125" customWidth="1"/>
    <col min="3" max="3" width="10.21875" customWidth="1"/>
  </cols>
  <sheetData>
    <row r="2" spans="2:5" ht="18.75" x14ac:dyDescent="0.3">
      <c r="B2" s="36" t="s">
        <v>123</v>
      </c>
    </row>
    <row r="7" spans="2:5" x14ac:dyDescent="0.2">
      <c r="B7" s="47" t="s">
        <v>23</v>
      </c>
      <c r="C7" s="15">
        <v>0</v>
      </c>
    </row>
    <row r="8" spans="2:5" x14ac:dyDescent="0.2">
      <c r="B8" s="47" t="s">
        <v>83</v>
      </c>
      <c r="C8" s="2">
        <v>1</v>
      </c>
    </row>
    <row r="9" spans="2:5" x14ac:dyDescent="0.2">
      <c r="E9" s="14"/>
    </row>
    <row r="10" spans="2:5" x14ac:dyDescent="0.2">
      <c r="B10" t="s">
        <v>1</v>
      </c>
      <c r="C10" s="31" t="s">
        <v>118</v>
      </c>
      <c r="D10" s="2">
        <v>5</v>
      </c>
      <c r="E10" s="14"/>
    </row>
    <row r="11" spans="2:5" x14ac:dyDescent="0.2">
      <c r="B11" s="1" t="s">
        <v>3</v>
      </c>
      <c r="E11" s="16" t="s">
        <v>45</v>
      </c>
    </row>
    <row r="12" spans="2:5" x14ac:dyDescent="0.2">
      <c r="B12" s="31" t="s">
        <v>2</v>
      </c>
      <c r="C12" s="4">
        <v>4.5034760236740114E-2</v>
      </c>
    </row>
    <row r="13" spans="2:5" x14ac:dyDescent="0.2">
      <c r="B13" s="1" t="s">
        <v>4</v>
      </c>
      <c r="C13" s="4">
        <v>0.6284683016862167</v>
      </c>
    </row>
    <row r="14" spans="2:5" x14ac:dyDescent="0.2">
      <c r="B14" s="1" t="s">
        <v>5</v>
      </c>
      <c r="C14" s="4">
        <f>C13/SQRT(D10)</f>
        <v>0.28105956885484523</v>
      </c>
    </row>
    <row r="22" spans="1:4" x14ac:dyDescent="0.2">
      <c r="C22" t="s">
        <v>61</v>
      </c>
    </row>
    <row r="23" spans="1:4" x14ac:dyDescent="0.2">
      <c r="B23" s="1" t="s">
        <v>89</v>
      </c>
      <c r="C23" t="s">
        <v>84</v>
      </c>
      <c r="D23" s="4">
        <f>(C12-C7)/C14</f>
        <v>0.16023208325633831</v>
      </c>
    </row>
    <row r="25" spans="1:4" x14ac:dyDescent="0.2">
      <c r="A25" s="7"/>
    </row>
    <row r="32" spans="1:4" x14ac:dyDescent="0.2">
      <c r="C32" s="4"/>
    </row>
    <row r="33" spans="2:8" x14ac:dyDescent="0.2">
      <c r="B33" s="1" t="s">
        <v>101</v>
      </c>
      <c r="C33" s="4">
        <f>TDIST(ABS(D23),D10-1,2)</f>
        <v>0.88046442410469783</v>
      </c>
    </row>
    <row r="43" spans="2:8" x14ac:dyDescent="0.2">
      <c r="H43" s="7"/>
    </row>
    <row r="59" spans="2:2" x14ac:dyDescent="0.2">
      <c r="B59" s="3"/>
    </row>
    <row r="97" spans="1:12" x14ac:dyDescent="0.2">
      <c r="E97" t="s">
        <v>19</v>
      </c>
      <c r="G97">
        <f>D10-1</f>
        <v>4</v>
      </c>
    </row>
    <row r="98" spans="1:12" x14ac:dyDescent="0.2">
      <c r="E98" t="s">
        <v>17</v>
      </c>
      <c r="F98">
        <v>-6</v>
      </c>
    </row>
    <row r="99" spans="1:12" x14ac:dyDescent="0.2">
      <c r="A99" t="s">
        <v>16</v>
      </c>
      <c r="E99" t="s">
        <v>18</v>
      </c>
      <c r="F99">
        <v>6</v>
      </c>
      <c r="G99" t="s">
        <v>20</v>
      </c>
      <c r="H99" t="s">
        <v>8</v>
      </c>
      <c r="I99" t="s">
        <v>22</v>
      </c>
      <c r="J99" t="s">
        <v>21</v>
      </c>
      <c r="L99" t="s">
        <v>42</v>
      </c>
    </row>
    <row r="100" spans="1:12" x14ac:dyDescent="0.2">
      <c r="A100">
        <v>0.4</v>
      </c>
      <c r="B100">
        <v>-0.78327262401580811</v>
      </c>
      <c r="C100" s="53" t="s">
        <v>7</v>
      </c>
      <c r="E100">
        <f>ROW(E100)-100</f>
        <v>0</v>
      </c>
      <c r="F100">
        <f t="shared" ref="F100:F163" si="0">$F$98+($F$99-$F$98)/500*E100</f>
        <v>-6</v>
      </c>
      <c r="G100">
        <f t="shared" ref="G100:G163" si="1">tpdf(F100,$G$97)</f>
        <v>1.1858541225631424E-3</v>
      </c>
      <c r="H100">
        <f>NORMDIST(F100,0,1,0)</f>
        <v>6.0758828498232861E-9</v>
      </c>
      <c r="I100">
        <f>IF(ABS(F100)&gt;ABS($K$100),G100,"")</f>
        <v>1.1858541225631424E-3</v>
      </c>
      <c r="J100" t="s">
        <v>0</v>
      </c>
      <c r="K100" s="6">
        <f>D23</f>
        <v>0.16023208325633831</v>
      </c>
      <c r="L100">
        <f t="shared" ref="L100:L163" si="2">NORMDIST(F100,$C$7,$C$8,0)</f>
        <v>6.0758828498232861E-9</v>
      </c>
    </row>
    <row r="101" spans="1:12" x14ac:dyDescent="0.2">
      <c r="A101">
        <v>0.60000000000000009</v>
      </c>
      <c r="B101">
        <v>-8.0284088850021362E-2</v>
      </c>
      <c r="C101" s="53">
        <v>-0.5</v>
      </c>
      <c r="E101">
        <f t="shared" ref="E101:E164" si="3">ROW(E101)-100</f>
        <v>1</v>
      </c>
      <c r="F101">
        <f t="shared" si="0"/>
        <v>-5.976</v>
      </c>
      <c r="G101">
        <f t="shared" si="1"/>
        <v>1.2074275990859437E-3</v>
      </c>
      <c r="H101">
        <f t="shared" ref="H101:H164" si="4">NORMDIST(F101,0,1,0)</f>
        <v>7.014919960620633E-9</v>
      </c>
      <c r="I101">
        <f t="shared" ref="I101:I164" si="5">IF(ABS(F101)&gt;ABS($K$100),G101,"")</f>
        <v>1.2074275990859437E-3</v>
      </c>
      <c r="J101" t="s">
        <v>6</v>
      </c>
      <c r="K101">
        <v>0</v>
      </c>
      <c r="L101">
        <f t="shared" si="2"/>
        <v>7.014919960620633E-9</v>
      </c>
    </row>
    <row r="102" spans="1:12" x14ac:dyDescent="0.2">
      <c r="A102">
        <v>0.8</v>
      </c>
      <c r="B102">
        <v>0.66306257247924805</v>
      </c>
      <c r="E102">
        <f t="shared" si="3"/>
        <v>2</v>
      </c>
      <c r="F102">
        <f t="shared" si="0"/>
        <v>-5.952</v>
      </c>
      <c r="G102">
        <f t="shared" si="1"/>
        <v>1.2294647466724814E-3</v>
      </c>
      <c r="H102">
        <f t="shared" si="4"/>
        <v>8.094422981541427E-9</v>
      </c>
      <c r="I102">
        <f t="shared" si="5"/>
        <v>1.2294647466724814E-3</v>
      </c>
      <c r="L102">
        <f t="shared" si="2"/>
        <v>8.094422981541427E-9</v>
      </c>
    </row>
    <row r="103" spans="1:12" x14ac:dyDescent="0.2">
      <c r="A103">
        <v>1</v>
      </c>
      <c r="B103">
        <v>0.68177968263626099</v>
      </c>
      <c r="E103">
        <f t="shared" si="3"/>
        <v>3</v>
      </c>
      <c r="F103">
        <f t="shared" si="0"/>
        <v>-5.9279999999999999</v>
      </c>
      <c r="G103">
        <f t="shared" si="1"/>
        <v>1.2519769964117219E-3</v>
      </c>
      <c r="H103">
        <f t="shared" si="4"/>
        <v>9.3346688630663452E-9</v>
      </c>
      <c r="I103">
        <f t="shared" si="5"/>
        <v>1.2519769964117219E-3</v>
      </c>
      <c r="L103">
        <f t="shared" si="2"/>
        <v>9.3346688630663452E-9</v>
      </c>
    </row>
    <row r="104" spans="1:12" x14ac:dyDescent="0.2">
      <c r="A104">
        <v>1.2</v>
      </c>
      <c r="B104">
        <v>-0.256111741065979</v>
      </c>
      <c r="E104">
        <f t="shared" si="3"/>
        <v>4</v>
      </c>
      <c r="F104">
        <f t="shared" si="0"/>
        <v>-5.9039999999999999</v>
      </c>
      <c r="G104">
        <f t="shared" si="1"/>
        <v>1.274976095478737E-3</v>
      </c>
      <c r="H104">
        <f t="shared" si="4"/>
        <v>1.0758749212031231E-8</v>
      </c>
      <c r="I104">
        <f t="shared" si="5"/>
        <v>1.274976095478737E-3</v>
      </c>
      <c r="L104">
        <f t="shared" si="2"/>
        <v>1.0758749212031231E-8</v>
      </c>
    </row>
    <row r="105" spans="1:12" x14ac:dyDescent="0.2">
      <c r="E105">
        <f t="shared" si="3"/>
        <v>5</v>
      </c>
      <c r="F105">
        <f t="shared" si="0"/>
        <v>-5.88</v>
      </c>
      <c r="G105">
        <f t="shared" si="1"/>
        <v>1.2984741167604388E-3</v>
      </c>
      <c r="H105">
        <f t="shared" si="4"/>
        <v>1.239294431415013E-8</v>
      </c>
      <c r="I105">
        <f t="shared" si="5"/>
        <v>1.2984741167604388E-3</v>
      </c>
      <c r="L105">
        <f t="shared" si="2"/>
        <v>1.239294431415013E-8</v>
      </c>
    </row>
    <row r="106" spans="1:12" x14ac:dyDescent="0.2">
      <c r="E106">
        <f t="shared" si="3"/>
        <v>6</v>
      </c>
      <c r="F106">
        <f t="shared" si="0"/>
        <v>-5.8559999999999999</v>
      </c>
      <c r="G106">
        <f t="shared" si="1"/>
        <v>1.3224834687990369E-3</v>
      </c>
      <c r="H106">
        <f t="shared" si="4"/>
        <v>1.4267144462795874E-8</v>
      </c>
      <c r="I106">
        <f t="shared" si="5"/>
        <v>1.3224834687990369E-3</v>
      </c>
      <c r="L106">
        <f t="shared" si="2"/>
        <v>1.4267144462795874E-8</v>
      </c>
    </row>
    <row r="107" spans="1:12" x14ac:dyDescent="0.2">
      <c r="E107">
        <f t="shared" si="3"/>
        <v>7</v>
      </c>
      <c r="F107">
        <f t="shared" si="0"/>
        <v>-5.8319999999999999</v>
      </c>
      <c r="G107">
        <f t="shared" si="1"/>
        <v>1.3470169060644192E-3</v>
      </c>
      <c r="H107">
        <f t="shared" si="4"/>
        <v>1.6415324245220411E-8</v>
      </c>
      <c r="I107">
        <f t="shared" si="5"/>
        <v>1.3470169060644192E-3</v>
      </c>
      <c r="L107">
        <f t="shared" si="2"/>
        <v>1.6415324245220411E-8</v>
      </c>
    </row>
    <row r="108" spans="1:12" x14ac:dyDescent="0.2">
      <c r="E108">
        <f t="shared" si="3"/>
        <v>8</v>
      </c>
      <c r="F108">
        <f t="shared" si="0"/>
        <v>-5.8079999999999998</v>
      </c>
      <c r="G108">
        <f t="shared" si="1"/>
        <v>1.3720875395670609E-3</v>
      </c>
      <c r="H108">
        <f t="shared" si="4"/>
        <v>1.8876076068122808E-8</v>
      </c>
      <c r="I108">
        <f t="shared" si="5"/>
        <v>1.3720875395670609E-3</v>
      </c>
      <c r="L108">
        <f t="shared" si="2"/>
        <v>1.8876076068122808E-8</v>
      </c>
    </row>
    <row r="109" spans="1:12" x14ac:dyDescent="0.2">
      <c r="E109">
        <f t="shared" si="3"/>
        <v>9</v>
      </c>
      <c r="F109">
        <f t="shared" si="0"/>
        <v>-5.7839999999999998</v>
      </c>
      <c r="G109">
        <f t="shared" si="1"/>
        <v>1.397708847823512E-3</v>
      </c>
      <c r="H109">
        <f t="shared" si="4"/>
        <v>2.1693209899897982E-8</v>
      </c>
      <c r="I109">
        <f t="shared" si="5"/>
        <v>1.397708847823512E-3</v>
      </c>
      <c r="L109">
        <f t="shared" si="2"/>
        <v>2.1693209899897982E-8</v>
      </c>
    </row>
    <row r="110" spans="1:12" x14ac:dyDescent="0.2">
      <c r="E110">
        <f t="shared" si="3"/>
        <v>10</v>
      </c>
      <c r="F110">
        <f t="shared" si="0"/>
        <v>-5.76</v>
      </c>
      <c r="G110">
        <f t="shared" si="1"/>
        <v>1.4238946881869421E-3</v>
      </c>
      <c r="H110">
        <f t="shared" si="4"/>
        <v>2.4916426972950989E-8</v>
      </c>
      <c r="I110">
        <f t="shared" si="5"/>
        <v>1.4238946881869421E-3</v>
      </c>
      <c r="L110">
        <f t="shared" si="2"/>
        <v>2.4916426972950989E-8</v>
      </c>
    </row>
    <row r="111" spans="1:12" x14ac:dyDescent="0.2">
      <c r="E111">
        <f t="shared" si="3"/>
        <v>11</v>
      </c>
      <c r="F111">
        <f t="shared" si="0"/>
        <v>-5.7359999999999998</v>
      </c>
      <c r="G111">
        <f t="shared" si="1"/>
        <v>1.4506593085557018E-3</v>
      </c>
      <c r="H111">
        <f t="shared" si="4"/>
        <v>2.8602076032540175E-8</v>
      </c>
      <c r="I111">
        <f t="shared" si="5"/>
        <v>1.4506593085557018E-3</v>
      </c>
      <c r="L111">
        <f t="shared" si="2"/>
        <v>2.8602076032540175E-8</v>
      </c>
    </row>
    <row r="112" spans="1:12" x14ac:dyDescent="0.2">
      <c r="E112">
        <f t="shared" si="3"/>
        <v>12</v>
      </c>
      <c r="F112">
        <f t="shared" si="0"/>
        <v>-5.7119999999999997</v>
      </c>
      <c r="G112">
        <f t="shared" si="1"/>
        <v>1.4780173594733288E-3</v>
      </c>
      <c r="H112">
        <f t="shared" si="4"/>
        <v>3.2814001645590985E-8</v>
      </c>
      <c r="I112">
        <f t="shared" si="5"/>
        <v>1.4780173594733288E-3</v>
      </c>
      <c r="L112">
        <f t="shared" si="2"/>
        <v>3.2814001645590985E-8</v>
      </c>
    </row>
    <row r="113" spans="5:12" x14ac:dyDescent="0.2">
      <c r="E113">
        <f t="shared" si="3"/>
        <v>13</v>
      </c>
      <c r="F113">
        <f t="shared" si="0"/>
        <v>-5.6879999999999997</v>
      </c>
      <c r="G113">
        <f t="shared" si="1"/>
        <v>1.5059839066339381E-3</v>
      </c>
      <c r="H113">
        <f t="shared" si="4"/>
        <v>3.7624495101197993E-8</v>
      </c>
      <c r="I113">
        <f t="shared" si="5"/>
        <v>1.5059839066339381E-3</v>
      </c>
      <c r="L113">
        <f t="shared" si="2"/>
        <v>3.7624495101197993E-8</v>
      </c>
    </row>
    <row r="114" spans="5:12" x14ac:dyDescent="0.2">
      <c r="E114">
        <f t="shared" si="3"/>
        <v>14</v>
      </c>
      <c r="F114">
        <f t="shared" si="0"/>
        <v>-5.6639999999999997</v>
      </c>
      <c r="G114">
        <f t="shared" si="1"/>
        <v>1.5345744438074443E-3</v>
      </c>
      <c r="H114">
        <f t="shared" si="4"/>
        <v>4.3115359552033492E-8</v>
      </c>
      <c r="I114">
        <f t="shared" si="5"/>
        <v>1.5345744438074443E-3</v>
      </c>
      <c r="L114">
        <f t="shared" si="2"/>
        <v>4.3115359552033492E-8</v>
      </c>
    </row>
    <row r="115" spans="5:12" x14ac:dyDescent="0.2">
      <c r="E115">
        <f t="shared" si="3"/>
        <v>15</v>
      </c>
      <c r="F115">
        <f t="shared" si="0"/>
        <v>-5.64</v>
      </c>
      <c r="G115">
        <f t="shared" si="1"/>
        <v>1.5638049061996008E-3</v>
      </c>
      <c r="H115">
        <f t="shared" si="4"/>
        <v>4.937910227110449E-8</v>
      </c>
      <c r="I115">
        <f t="shared" si="5"/>
        <v>1.5638049061996008E-3</v>
      </c>
      <c r="L115">
        <f t="shared" si="2"/>
        <v>4.937910227110449E-8</v>
      </c>
    </row>
    <row r="116" spans="5:12" x14ac:dyDescent="0.2">
      <c r="E116">
        <f t="shared" si="3"/>
        <v>16</v>
      </c>
      <c r="F116">
        <f t="shared" si="0"/>
        <v>-5.6159999999999997</v>
      </c>
      <c r="G116">
        <f t="shared" si="1"/>
        <v>1.5936916842624253E-3</v>
      </c>
      <c r="H116">
        <f t="shared" si="4"/>
        <v>5.6520268240340859E-8</v>
      </c>
      <c r="I116">
        <f t="shared" si="5"/>
        <v>1.5936916842624253E-3</v>
      </c>
      <c r="L116">
        <f t="shared" si="2"/>
        <v>5.6520268240340859E-8</v>
      </c>
    </row>
    <row r="117" spans="5:12" x14ac:dyDescent="0.2">
      <c r="E117">
        <f t="shared" si="3"/>
        <v>17</v>
      </c>
      <c r="F117">
        <f t="shared" si="0"/>
        <v>-5.5919999999999996</v>
      </c>
      <c r="G117">
        <f t="shared" si="1"/>
        <v>1.6242516379711208E-3</v>
      </c>
      <c r="H117">
        <f t="shared" si="4"/>
        <v>6.465693075604519E-8</v>
      </c>
      <c r="I117">
        <f t="shared" si="5"/>
        <v>1.6242516379711208E-3</v>
      </c>
      <c r="L117">
        <f t="shared" si="2"/>
        <v>6.465693075604519E-8</v>
      </c>
    </row>
    <row r="118" spans="5:12" x14ac:dyDescent="0.2">
      <c r="E118">
        <f t="shared" si="3"/>
        <v>18</v>
      </c>
      <c r="F118">
        <f t="shared" si="0"/>
        <v>-5.5679999999999996</v>
      </c>
      <c r="G118">
        <f t="shared" si="1"/>
        <v>1.6555021115842359E-3</v>
      </c>
      <c r="H118">
        <f t="shared" si="4"/>
        <v>7.3922356341658018E-8</v>
      </c>
      <c r="I118">
        <f t="shared" si="5"/>
        <v>1.6555021115842359E-3</v>
      </c>
      <c r="L118">
        <f t="shared" si="2"/>
        <v>7.3922356341658018E-8</v>
      </c>
    </row>
    <row r="119" spans="5:12" x14ac:dyDescent="0.2">
      <c r="E119">
        <f t="shared" si="3"/>
        <v>19</v>
      </c>
      <c r="F119">
        <f t="shared" si="0"/>
        <v>-5.5439999999999996</v>
      </c>
      <c r="G119">
        <f t="shared" si="1"/>
        <v>1.6874609489044262E-3</v>
      </c>
      <c r="H119">
        <f t="shared" si="4"/>
        <v>8.4466863011588381E-8</v>
      </c>
      <c r="I119">
        <f t="shared" si="5"/>
        <v>1.6874609489044262E-3</v>
      </c>
      <c r="L119">
        <f t="shared" si="2"/>
        <v>8.4466863011588381E-8</v>
      </c>
    </row>
    <row r="120" spans="5:12" x14ac:dyDescent="0.2">
      <c r="E120">
        <f t="shared" si="3"/>
        <v>20</v>
      </c>
      <c r="F120">
        <f t="shared" si="0"/>
        <v>-5.52</v>
      </c>
      <c r="G120">
        <f t="shared" si="1"/>
        <v>1.7201465090578147E-3</v>
      </c>
      <c r="H120">
        <f t="shared" si="4"/>
        <v>9.6459892842733842E-8</v>
      </c>
      <c r="I120">
        <f t="shared" si="5"/>
        <v>1.7201465090578147E-3</v>
      </c>
      <c r="L120">
        <f t="shared" si="2"/>
        <v>9.6459892842733842E-8</v>
      </c>
    </row>
    <row r="121" spans="5:12" x14ac:dyDescent="0.2">
      <c r="E121">
        <f t="shared" si="3"/>
        <v>21</v>
      </c>
      <c r="F121">
        <f t="shared" si="0"/>
        <v>-5.4960000000000004</v>
      </c>
      <c r="G121">
        <f t="shared" si="1"/>
        <v>1.7535776828106458E-3</v>
      </c>
      <c r="H121">
        <f t="shared" si="4"/>
        <v>1.1009232189518106E-7</v>
      </c>
      <c r="I121">
        <f t="shared" si="5"/>
        <v>1.7535776828106458E-3</v>
      </c>
      <c r="L121">
        <f t="shared" si="2"/>
        <v>1.1009232189518106E-7</v>
      </c>
    </row>
    <row r="122" spans="5:12" x14ac:dyDescent="0.2">
      <c r="E122">
        <f t="shared" si="3"/>
        <v>22</v>
      </c>
      <c r="F122">
        <f t="shared" si="0"/>
        <v>-5.4719999999999995</v>
      </c>
      <c r="G122">
        <f t="shared" si="1"/>
        <v>1.7877739094426049E-3</v>
      </c>
      <c r="H122">
        <f t="shared" si="4"/>
        <v>1.2557903279356918E-7</v>
      </c>
      <c r="I122">
        <f t="shared" si="5"/>
        <v>1.7877739094426049E-3</v>
      </c>
      <c r="L122">
        <f t="shared" si="2"/>
        <v>1.2557903279356918E-7</v>
      </c>
    </row>
    <row r="123" spans="5:12" x14ac:dyDescent="0.2">
      <c r="E123">
        <f t="shared" si="3"/>
        <v>23</v>
      </c>
      <c r="F123">
        <f t="shared" si="0"/>
        <v>-5.4480000000000004</v>
      </c>
      <c r="G123">
        <f t="shared" si="1"/>
        <v>1.822755194196903E-3</v>
      </c>
      <c r="H123">
        <f t="shared" si="4"/>
        <v>1.4316177774957213E-7</v>
      </c>
      <c r="I123">
        <f t="shared" si="5"/>
        <v>1.822755194196903E-3</v>
      </c>
      <c r="L123">
        <f t="shared" si="2"/>
        <v>1.4316177774957213E-7</v>
      </c>
    </row>
    <row r="124" spans="5:12" x14ac:dyDescent="0.2">
      <c r="E124">
        <f t="shared" si="3"/>
        <v>24</v>
      </c>
      <c r="F124">
        <f t="shared" si="0"/>
        <v>-5.4239999999999995</v>
      </c>
      <c r="G124">
        <f t="shared" si="1"/>
        <v>1.8585421263280259E-3</v>
      </c>
      <c r="H124">
        <f t="shared" si="4"/>
        <v>1.6311236248861543E-7</v>
      </c>
      <c r="I124">
        <f t="shared" si="5"/>
        <v>1.8585421263280259E-3</v>
      </c>
      <c r="L124">
        <f t="shared" si="2"/>
        <v>1.6311236248861543E-7</v>
      </c>
    </row>
    <row r="125" spans="5:12" x14ac:dyDescent="0.2">
      <c r="E125">
        <f t="shared" si="3"/>
        <v>25</v>
      </c>
      <c r="F125">
        <f t="shared" si="0"/>
        <v>-5.4</v>
      </c>
      <c r="G125">
        <f t="shared" si="1"/>
        <v>1.8951558977687263E-3</v>
      </c>
      <c r="H125">
        <f t="shared" si="4"/>
        <v>1.8573618445552897E-7</v>
      </c>
      <c r="I125">
        <f t="shared" si="5"/>
        <v>1.8951558977687263E-3</v>
      </c>
      <c r="L125">
        <f t="shared" si="2"/>
        <v>1.8573618445552897E-7</v>
      </c>
    </row>
    <row r="126" spans="5:12" x14ac:dyDescent="0.2">
      <c r="E126">
        <f t="shared" si="3"/>
        <v>26</v>
      </c>
      <c r="F126">
        <f t="shared" si="0"/>
        <v>-5.3760000000000003</v>
      </c>
      <c r="G126">
        <f t="shared" si="1"/>
        <v>1.9326183224387824E-3</v>
      </c>
      <c r="H126">
        <f t="shared" si="4"/>
        <v>2.1137616183074064E-7</v>
      </c>
      <c r="I126">
        <f t="shared" si="5"/>
        <v>1.9326183224387824E-3</v>
      </c>
      <c r="L126">
        <f t="shared" si="2"/>
        <v>2.1137616183074064E-7</v>
      </c>
    </row>
    <row r="127" spans="5:12" x14ac:dyDescent="0.2">
      <c r="E127">
        <f t="shared" si="3"/>
        <v>27</v>
      </c>
      <c r="F127">
        <f t="shared" si="0"/>
        <v>-5.3520000000000003</v>
      </c>
      <c r="G127">
        <f t="shared" si="1"/>
        <v>1.9709518562187616E-3</v>
      </c>
      <c r="H127">
        <f t="shared" si="4"/>
        <v>2.4041709330746573E-7</v>
      </c>
      <c r="I127">
        <f t="shared" si="5"/>
        <v>1.9709518562187616E-3</v>
      </c>
      <c r="L127">
        <f t="shared" si="2"/>
        <v>2.4041709330746573E-7</v>
      </c>
    </row>
    <row r="128" spans="5:12" x14ac:dyDescent="0.2">
      <c r="E128">
        <f t="shared" si="3"/>
        <v>28</v>
      </c>
      <c r="F128">
        <f t="shared" si="0"/>
        <v>-5.3280000000000003</v>
      </c>
      <c r="G128">
        <f t="shared" si="1"/>
        <v>2.0101796176130002E-3</v>
      </c>
      <c r="H128">
        <f t="shared" si="4"/>
        <v>2.7329049227913221E-7</v>
      </c>
      <c r="I128">
        <f t="shared" si="5"/>
        <v>2.0101796176130002E-3</v>
      </c>
      <c r="L128">
        <f t="shared" si="2"/>
        <v>2.7329049227913221E-7</v>
      </c>
    </row>
    <row r="129" spans="5:12" x14ac:dyDescent="0.2">
      <c r="E129">
        <f t="shared" si="3"/>
        <v>29</v>
      </c>
      <c r="F129">
        <f t="shared" si="0"/>
        <v>-5.3040000000000003</v>
      </c>
      <c r="G129">
        <f t="shared" si="1"/>
        <v>2.0503254091268439E-3</v>
      </c>
      <c r="H129">
        <f t="shared" si="4"/>
        <v>3.104799430831489E-7</v>
      </c>
      <c r="I129">
        <f t="shared" si="5"/>
        <v>2.0503254091268439E-3</v>
      </c>
      <c r="L129">
        <f t="shared" si="2"/>
        <v>3.104799430831489E-7</v>
      </c>
    </row>
    <row r="130" spans="5:12" x14ac:dyDescent="0.2">
      <c r="E130">
        <f t="shared" si="3"/>
        <v>30</v>
      </c>
      <c r="F130">
        <f t="shared" si="0"/>
        <v>-5.28</v>
      </c>
      <c r="G130">
        <f t="shared" si="1"/>
        <v>2.0914137393841905E-3</v>
      </c>
      <c r="H130">
        <f t="shared" si="4"/>
        <v>3.5252703126140381E-7</v>
      </c>
      <c r="I130">
        <f t="shared" si="5"/>
        <v>2.0914137393841905E-3</v>
      </c>
      <c r="L130">
        <f t="shared" si="2"/>
        <v>3.5252703126140381E-7</v>
      </c>
    </row>
    <row r="131" spans="5:12" x14ac:dyDescent="0.2">
      <c r="E131">
        <f t="shared" si="3"/>
        <v>31</v>
      </c>
      <c r="F131">
        <f t="shared" si="0"/>
        <v>-5.2560000000000002</v>
      </c>
      <c r="G131">
        <f t="shared" si="1"/>
        <v>2.1334698460123021E-3</v>
      </c>
      <c r="H131">
        <f t="shared" si="4"/>
        <v>4.0003790444932249E-7</v>
      </c>
      <c r="I131">
        <f t="shared" si="5"/>
        <v>2.1334698460123021E-3</v>
      </c>
      <c r="L131">
        <f t="shared" si="2"/>
        <v>4.0003790444932249E-7</v>
      </c>
    </row>
    <row r="132" spans="5:12" x14ac:dyDescent="0.2">
      <c r="E132">
        <f t="shared" si="3"/>
        <v>32</v>
      </c>
      <c r="F132">
        <f t="shared" si="0"/>
        <v>-5.2320000000000002</v>
      </c>
      <c r="G132">
        <f t="shared" si="1"/>
        <v>2.1765197193219141E-3</v>
      </c>
      <c r="H132">
        <f t="shared" si="4"/>
        <v>4.5369052551441214E-7</v>
      </c>
      <c r="I132">
        <f t="shared" si="5"/>
        <v>2.1765197193219141E-3</v>
      </c>
      <c r="L132">
        <f t="shared" si="2"/>
        <v>4.5369052551441214E-7</v>
      </c>
    </row>
    <row r="133" spans="5:12" x14ac:dyDescent="0.2">
      <c r="E133">
        <f t="shared" si="3"/>
        <v>33</v>
      </c>
      <c r="F133">
        <f t="shared" si="0"/>
        <v>-5.2080000000000002</v>
      </c>
      <c r="G133">
        <f t="shared" si="1"/>
        <v>2.2205901268116707E-3</v>
      </c>
      <c r="H133">
        <f t="shared" si="4"/>
        <v>5.1424268495308647E-7</v>
      </c>
      <c r="I133">
        <f t="shared" si="5"/>
        <v>2.2205901268116707E-3</v>
      </c>
      <c r="L133">
        <f t="shared" si="2"/>
        <v>5.1424268495308647E-7</v>
      </c>
    </row>
    <row r="134" spans="5:12" x14ac:dyDescent="0.2">
      <c r="E134">
        <f t="shared" si="3"/>
        <v>34</v>
      </c>
      <c r="F134">
        <f t="shared" si="0"/>
        <v>-5.1840000000000002</v>
      </c>
      <c r="G134">
        <f t="shared" si="1"/>
        <v>2.2657086385270415E-3</v>
      </c>
      <c r="H134">
        <f t="shared" si="4"/>
        <v>5.8254084534283306E-7</v>
      </c>
      <c r="I134">
        <f t="shared" si="5"/>
        <v>2.2657086385270415E-3</v>
      </c>
      <c r="L134">
        <f t="shared" si="2"/>
        <v>5.8254084534283306E-7</v>
      </c>
    </row>
    <row r="135" spans="5:12" x14ac:dyDescent="0.2">
      <c r="E135">
        <f t="shared" si="3"/>
        <v>35</v>
      </c>
      <c r="F135">
        <f t="shared" si="0"/>
        <v>-5.16</v>
      </c>
      <c r="G135">
        <f t="shared" si="1"/>
        <v>2.311903653304978E-3</v>
      </c>
      <c r="H135">
        <f t="shared" si="4"/>
        <v>6.5952989685752167E-7</v>
      </c>
      <c r="I135">
        <f t="shared" si="5"/>
        <v>2.311903653304978E-3</v>
      </c>
      <c r="L135">
        <f t="shared" si="2"/>
        <v>6.5952989685752167E-7</v>
      </c>
    </row>
    <row r="136" spans="5:12" x14ac:dyDescent="0.2">
      <c r="E136">
        <f t="shared" si="3"/>
        <v>36</v>
      </c>
      <c r="F136">
        <f t="shared" si="0"/>
        <v>-5.1360000000000001</v>
      </c>
      <c r="G136">
        <f t="shared" si="1"/>
        <v>2.3592044259367578E-3</v>
      </c>
      <c r="H136">
        <f t="shared" si="4"/>
        <v>7.4626390950944278E-7</v>
      </c>
      <c r="I136">
        <f t="shared" si="5"/>
        <v>2.3592044259367578E-3</v>
      </c>
      <c r="L136">
        <f t="shared" si="2"/>
        <v>7.4626390950944278E-7</v>
      </c>
    </row>
    <row r="137" spans="5:12" x14ac:dyDescent="0.2">
      <c r="E137">
        <f t="shared" si="3"/>
        <v>37</v>
      </c>
      <c r="F137">
        <f t="shared" si="0"/>
        <v>-5.1120000000000001</v>
      </c>
      <c r="G137">
        <f t="shared" si="1"/>
        <v>2.4076410952826532E-3</v>
      </c>
      <c r="H137">
        <f t="shared" si="4"/>
        <v>8.4391797490514879E-7</v>
      </c>
      <c r="I137">
        <f t="shared" si="5"/>
        <v>2.4076410952826532E-3</v>
      </c>
      <c r="L137">
        <f t="shared" si="2"/>
        <v>8.4391797490514879E-7</v>
      </c>
    </row>
    <row r="138" spans="5:12" x14ac:dyDescent="0.2">
      <c r="E138">
        <f t="shared" si="3"/>
        <v>38</v>
      </c>
      <c r="F138">
        <f t="shared" si="0"/>
        <v>-5.0880000000000001</v>
      </c>
      <c r="G138">
        <f t="shared" si="1"/>
        <v>2.4572447133733404E-3</v>
      </c>
      <c r="H138">
        <f t="shared" si="4"/>
        <v>9.5380123791647124E-7</v>
      </c>
      <c r="I138">
        <f t="shared" si="5"/>
        <v>2.4572447133733404E-3</v>
      </c>
      <c r="L138">
        <f t="shared" si="2"/>
        <v>9.5380123791647124E-7</v>
      </c>
    </row>
    <row r="139" spans="5:12" x14ac:dyDescent="0.2">
      <c r="E139">
        <f t="shared" si="3"/>
        <v>39</v>
      </c>
      <c r="F139">
        <f t="shared" si="0"/>
        <v>-5.0640000000000001</v>
      </c>
      <c r="G139">
        <f t="shared" si="1"/>
        <v>2.5080472755342623E-3</v>
      </c>
      <c r="H139">
        <f t="shared" si="4"/>
        <v>1.0773712267960586E-6</v>
      </c>
      <c r="I139">
        <f t="shared" si="5"/>
        <v>2.5080472755342623E-3</v>
      </c>
      <c r="L139">
        <f t="shared" si="2"/>
        <v>1.0773712267960586E-6</v>
      </c>
    </row>
    <row r="140" spans="5:12" x14ac:dyDescent="0.2">
      <c r="E140">
        <f t="shared" si="3"/>
        <v>40</v>
      </c>
      <c r="F140">
        <f t="shared" si="0"/>
        <v>-5.04</v>
      </c>
      <c r="G140">
        <f t="shared" si="1"/>
        <v>2.5600817515704847E-3</v>
      </c>
      <c r="H140">
        <f t="shared" si="4"/>
        <v>1.216249598931318E-6</v>
      </c>
      <c r="I140">
        <f t="shared" si="5"/>
        <v>2.5600817515704847E-3</v>
      </c>
      <c r="L140">
        <f t="shared" si="2"/>
        <v>1.216249598931318E-6</v>
      </c>
    </row>
    <row r="141" spans="5:12" x14ac:dyDescent="0.2">
      <c r="E141">
        <f t="shared" si="3"/>
        <v>41</v>
      </c>
      <c r="F141">
        <f t="shared" si="0"/>
        <v>-5.016</v>
      </c>
      <c r="G141">
        <f t="shared" si="1"/>
        <v>2.6133821180510273E-3</v>
      </c>
      <c r="H141">
        <f t="shared" si="4"/>
        <v>1.3722394286545041E-6</v>
      </c>
      <c r="I141">
        <f t="shared" si="5"/>
        <v>2.6133821180510273E-3</v>
      </c>
      <c r="L141">
        <f t="shared" si="2"/>
        <v>1.3722394286545041E-6</v>
      </c>
    </row>
    <row r="142" spans="5:12" x14ac:dyDescent="0.2">
      <c r="E142">
        <f t="shared" si="3"/>
        <v>42</v>
      </c>
      <c r="F142">
        <f t="shared" si="0"/>
        <v>-4.992</v>
      </c>
      <c r="G142">
        <f t="shared" si="1"/>
        <v>2.6679833917330554E-3</v>
      </c>
      <c r="H142">
        <f t="shared" si="4"/>
        <v>1.5473441733317411E-6</v>
      </c>
      <c r="I142">
        <f t="shared" si="5"/>
        <v>2.6679833917330554E-3</v>
      </c>
      <c r="L142">
        <f t="shared" si="2"/>
        <v>1.5473441733317411E-6</v>
      </c>
    </row>
    <row r="143" spans="5:12" x14ac:dyDescent="0.2">
      <c r="E143">
        <f t="shared" si="3"/>
        <v>43</v>
      </c>
      <c r="F143">
        <f t="shared" si="0"/>
        <v>-4.968</v>
      </c>
      <c r="G143">
        <f t="shared" si="1"/>
        <v>2.7239216641678451E-3</v>
      </c>
      <c r="H143">
        <f t="shared" si="4"/>
        <v>1.7437884643617589E-6</v>
      </c>
      <c r="I143">
        <f t="shared" si="5"/>
        <v>2.7239216641678451E-3</v>
      </c>
      <c r="L143">
        <f t="shared" si="2"/>
        <v>1.7437884643617589E-6</v>
      </c>
    </row>
    <row r="144" spans="5:12" x14ac:dyDescent="0.2">
      <c r="E144">
        <f t="shared" si="3"/>
        <v>44</v>
      </c>
      <c r="F144">
        <f t="shared" si="0"/>
        <v>-4.944</v>
      </c>
      <c r="G144">
        <f t="shared" si="1"/>
        <v>2.7812341375319802E-3</v>
      </c>
      <c r="H144">
        <f t="shared" si="4"/>
        <v>1.9640408807463332E-6</v>
      </c>
      <c r="I144">
        <f t="shared" si="5"/>
        <v>2.7812341375319802E-3</v>
      </c>
      <c r="L144">
        <f t="shared" si="2"/>
        <v>1.9640408807463332E-6</v>
      </c>
    </row>
    <row r="145" spans="5:12" x14ac:dyDescent="0.2">
      <c r="E145">
        <f t="shared" si="3"/>
        <v>45</v>
      </c>
      <c r="F145">
        <f t="shared" si="0"/>
        <v>-4.92</v>
      </c>
      <c r="G145">
        <f t="shared" si="1"/>
        <v>2.8399591617288408E-3</v>
      </c>
      <c r="H145">
        <f t="shared" si="4"/>
        <v>2.2108388745684212E-6</v>
      </c>
      <c r="I145">
        <f t="shared" si="5"/>
        <v>2.8399591617288408E-3</v>
      </c>
      <c r="L145">
        <f t="shared" si="2"/>
        <v>2.2108388745684212E-6</v>
      </c>
    </row>
    <row r="146" spans="5:12" x14ac:dyDescent="0.2">
      <c r="E146">
        <f t="shared" si="3"/>
        <v>46</v>
      </c>
      <c r="F146">
        <f t="shared" si="0"/>
        <v>-4.8959999999999999</v>
      </c>
      <c r="G146">
        <f t="shared" si="1"/>
        <v>2.9001362728071213E-3</v>
      </c>
      <c r="H146">
        <f t="shared" si="4"/>
        <v>2.4872160300486798E-6</v>
      </c>
      <c r="I146">
        <f t="shared" si="5"/>
        <v>2.9001362728071213E-3</v>
      </c>
      <c r="L146">
        <f t="shared" si="2"/>
        <v>2.4872160300486798E-6</v>
      </c>
    </row>
    <row r="147" spans="5:12" x14ac:dyDescent="0.2">
      <c r="E147">
        <f t="shared" si="3"/>
        <v>47</v>
      </c>
      <c r="F147">
        <f t="shared" si="0"/>
        <v>-4.8719999999999999</v>
      </c>
      <c r="G147">
        <f t="shared" si="1"/>
        <v>2.9618062327448173E-3</v>
      </c>
      <c r="H147">
        <f t="shared" si="4"/>
        <v>2.7965318508624735E-6</v>
      </c>
      <c r="I147">
        <f t="shared" si="5"/>
        <v>2.9618062327448173E-3</v>
      </c>
      <c r="L147">
        <f t="shared" si="2"/>
        <v>2.7965318508624735E-6</v>
      </c>
    </row>
    <row r="148" spans="5:12" x14ac:dyDescent="0.2">
      <c r="E148">
        <f t="shared" si="3"/>
        <v>48</v>
      </c>
      <c r="F148">
        <f t="shared" si="0"/>
        <v>-4.8479999999999999</v>
      </c>
      <c r="G148">
        <f t="shared" si="1"/>
        <v>3.0250110706489196E-3</v>
      </c>
      <c r="H148">
        <f t="shared" si="4"/>
        <v>3.1425042841019479E-6</v>
      </c>
      <c r="I148">
        <f t="shared" si="5"/>
        <v>3.0250110706489196E-3</v>
      </c>
      <c r="L148">
        <f t="shared" si="2"/>
        <v>3.1425042841019479E-6</v>
      </c>
    </row>
    <row r="149" spans="5:12" x14ac:dyDescent="0.2">
      <c r="E149">
        <f t="shared" si="3"/>
        <v>49</v>
      </c>
      <c r="F149">
        <f t="shared" si="0"/>
        <v>-4.8239999999999998</v>
      </c>
      <c r="G149">
        <f t="shared" si="1"/>
        <v>3.0897941254228959E-3</v>
      </c>
      <c r="H149">
        <f t="shared" si="4"/>
        <v>3.5292452036728565E-6</v>
      </c>
      <c r="I149">
        <f t="shared" si="5"/>
        <v>3.0897941254228959E-3</v>
      </c>
      <c r="L149">
        <f t="shared" si="2"/>
        <v>3.5292452036728565E-6</v>
      </c>
    </row>
    <row r="150" spans="5:12" x14ac:dyDescent="0.2">
      <c r="E150">
        <f t="shared" si="3"/>
        <v>50</v>
      </c>
      <c r="F150">
        <f t="shared" si="0"/>
        <v>-4.8</v>
      </c>
      <c r="G150">
        <f t="shared" si="1"/>
        <v>3.1562000899559117E-3</v>
      </c>
      <c r="H150">
        <f t="shared" si="4"/>
        <v>3.9612990910320753E-6</v>
      </c>
      <c r="I150">
        <f t="shared" si="5"/>
        <v>3.1562000899559117E-3</v>
      </c>
      <c r="L150">
        <f t="shared" si="2"/>
        <v>3.9612990910320753E-6</v>
      </c>
    </row>
    <row r="151" spans="5:12" x14ac:dyDescent="0.2">
      <c r="E151">
        <f t="shared" si="3"/>
        <v>51</v>
      </c>
      <c r="F151">
        <f t="shared" si="0"/>
        <v>-4.7759999999999998</v>
      </c>
      <c r="G151">
        <f t="shared" si="1"/>
        <v>3.224275056889775E-3</v>
      </c>
      <c r="H151">
        <f t="shared" si="4"/>
        <v>4.443685167005601E-6</v>
      </c>
      <c r="I151">
        <f t="shared" si="5"/>
        <v>3.224275056889775E-3</v>
      </c>
      <c r="L151">
        <f t="shared" si="2"/>
        <v>4.443685167005601E-6</v>
      </c>
    </row>
    <row r="152" spans="5:12" x14ac:dyDescent="0.2">
      <c r="E152">
        <f t="shared" si="3"/>
        <v>52</v>
      </c>
      <c r="F152">
        <f t="shared" si="0"/>
        <v>-4.7519999999999998</v>
      </c>
      <c r="G152">
        <f t="shared" si="1"/>
        <v>3.2940665660215417E-3</v>
      </c>
      <c r="H152">
        <f t="shared" si="4"/>
        <v>4.9819432449787926E-6</v>
      </c>
      <c r="I152">
        <f t="shared" si="5"/>
        <v>3.2940665660215417E-3</v>
      </c>
      <c r="L152">
        <f t="shared" si="2"/>
        <v>4.9819432449787926E-6</v>
      </c>
    </row>
    <row r="153" spans="5:12" x14ac:dyDescent="0.2">
      <c r="E153">
        <f t="shared" si="3"/>
        <v>53</v>
      </c>
      <c r="F153">
        <f t="shared" si="0"/>
        <v>-4.7279999999999998</v>
      </c>
      <c r="G153">
        <f t="shared" si="1"/>
        <v>3.3656236534018967E-3</v>
      </c>
      <c r="H153">
        <f t="shared" si="4"/>
        <v>5.5821835930201659E-6</v>
      </c>
      <c r="I153">
        <f t="shared" si="5"/>
        <v>3.3656236534018967E-3</v>
      </c>
      <c r="L153">
        <f t="shared" si="2"/>
        <v>5.5821835930201659E-6</v>
      </c>
    </row>
    <row r="154" spans="5:12" x14ac:dyDescent="0.2">
      <c r="E154">
        <f t="shared" si="3"/>
        <v>54</v>
      </c>
      <c r="F154">
        <f t="shared" si="0"/>
        <v>-4.7039999999999997</v>
      </c>
      <c r="G154">
        <f t="shared" si="1"/>
        <v>3.4389969021915321E-3</v>
      </c>
      <c r="H154">
        <f t="shared" si="4"/>
        <v>6.2511411104785546E-6</v>
      </c>
      <c r="I154">
        <f t="shared" si="5"/>
        <v>3.4389969021915321E-3</v>
      </c>
      <c r="L154">
        <f t="shared" si="2"/>
        <v>6.2511411104785546E-6</v>
      </c>
    </row>
    <row r="155" spans="5:12" x14ac:dyDescent="0.2">
      <c r="E155">
        <f t="shared" si="3"/>
        <v>55</v>
      </c>
      <c r="F155">
        <f t="shared" si="0"/>
        <v>-4.68</v>
      </c>
      <c r="G155">
        <f t="shared" si="1"/>
        <v>3.5142384953400236E-3</v>
      </c>
      <c r="H155">
        <f t="shared" si="4"/>
        <v>6.996234143270405E-6</v>
      </c>
      <c r="I155">
        <f t="shared" si="5"/>
        <v>3.5142384953400236E-3</v>
      </c>
      <c r="L155">
        <f t="shared" si="2"/>
        <v>6.996234143270405E-6</v>
      </c>
    </row>
    <row r="156" spans="5:12" x14ac:dyDescent="0.2">
      <c r="E156">
        <f t="shared" si="3"/>
        <v>56</v>
      </c>
      <c r="F156">
        <f t="shared" si="0"/>
        <v>-4.6559999999999997</v>
      </c>
      <c r="G156">
        <f t="shared" si="1"/>
        <v>3.5914022701539977E-3</v>
      </c>
      <c r="H156">
        <f t="shared" si="4"/>
        <v>7.825628281430239E-6</v>
      </c>
      <c r="I156">
        <f t="shared" si="5"/>
        <v>3.5914022701539977E-3</v>
      </c>
      <c r="L156">
        <f t="shared" si="2"/>
        <v>7.825628281430239E-6</v>
      </c>
    </row>
    <row r="157" spans="5:12" x14ac:dyDescent="0.2">
      <c r="E157">
        <f t="shared" si="3"/>
        <v>57</v>
      </c>
      <c r="F157">
        <f t="shared" si="0"/>
        <v>-4.6319999999999997</v>
      </c>
      <c r="G157">
        <f t="shared" si="1"/>
        <v>3.6705437748237599E-3</v>
      </c>
      <c r="H157">
        <f t="shared" si="4"/>
        <v>8.7483055025099134E-6</v>
      </c>
      <c r="I157">
        <f t="shared" si="5"/>
        <v>3.6705437748237599E-3</v>
      </c>
      <c r="L157">
        <f t="shared" si="2"/>
        <v>8.7483055025099134E-6</v>
      </c>
    </row>
    <row r="158" spans="5:12" x14ac:dyDescent="0.2">
      <c r="E158">
        <f t="shared" si="3"/>
        <v>58</v>
      </c>
      <c r="F158">
        <f t="shared" si="0"/>
        <v>-4.6079999999999997</v>
      </c>
      <c r="G158">
        <f t="shared" si="1"/>
        <v>3.7517203269800134E-3</v>
      </c>
      <c r="H158">
        <f t="shared" si="4"/>
        <v>9.7741390450493848E-6</v>
      </c>
      <c r="I158">
        <f t="shared" si="5"/>
        <v>3.7517203269800134E-3</v>
      </c>
      <c r="L158">
        <f t="shared" si="2"/>
        <v>9.7741390450493848E-6</v>
      </c>
    </row>
    <row r="159" spans="5:12" x14ac:dyDescent="0.2">
      <c r="E159">
        <f t="shared" si="3"/>
        <v>59</v>
      </c>
      <c r="F159">
        <f t="shared" si="0"/>
        <v>-4.5839999999999996</v>
      </c>
      <c r="G159">
        <f t="shared" si="1"/>
        <v>3.8349910743548442E-3</v>
      </c>
      <c r="H159">
        <f t="shared" si="4"/>
        <v>1.0913974417565564E-5</v>
      </c>
      <c r="I159">
        <f t="shared" si="5"/>
        <v>3.8349910743548442E-3</v>
      </c>
      <c r="L159">
        <f t="shared" si="2"/>
        <v>1.0913974417565564E-5</v>
      </c>
    </row>
    <row r="160" spans="5:12" x14ac:dyDescent="0.2">
      <c r="E160">
        <f t="shared" si="3"/>
        <v>60</v>
      </c>
      <c r="F160">
        <f t="shared" si="0"/>
        <v>-4.5600000000000005</v>
      </c>
      <c r="G160">
        <f t="shared" si="1"/>
        <v>3.9204170576237008E-3</v>
      </c>
      <c r="H160">
        <f t="shared" si="4"/>
        <v>1.2179716970268655E-5</v>
      </c>
      <c r="I160">
        <f t="shared" si="5"/>
        <v>3.9204170576237008E-3</v>
      </c>
      <c r="L160">
        <f t="shared" si="2"/>
        <v>1.2179716970268655E-5</v>
      </c>
    </row>
    <row r="161" spans="5:12" x14ac:dyDescent="0.2">
      <c r="E161">
        <f t="shared" si="3"/>
        <v>61</v>
      </c>
      <c r="F161">
        <f t="shared" si="0"/>
        <v>-4.5359999999999996</v>
      </c>
      <c r="G161">
        <f t="shared" si="1"/>
        <v>4.0080612755078729E-3</v>
      </c>
      <c r="H161">
        <f t="shared" si="4"/>
        <v>1.3584426478963919E-5</v>
      </c>
      <c r="I161">
        <f t="shared" si="5"/>
        <v>4.0080612755078729E-3</v>
      </c>
      <c r="L161">
        <f t="shared" si="2"/>
        <v>1.3584426478963919E-5</v>
      </c>
    </row>
    <row r="162" spans="5:12" x14ac:dyDescent="0.2">
      <c r="E162">
        <f t="shared" si="3"/>
        <v>62</v>
      </c>
      <c r="F162">
        <f t="shared" si="0"/>
        <v>-4.5120000000000005</v>
      </c>
      <c r="G162">
        <f t="shared" si="1"/>
        <v>4.0979887522195465E-3</v>
      </c>
      <c r="H162">
        <f t="shared" si="4"/>
        <v>1.5142419213261371E-5</v>
      </c>
      <c r="I162">
        <f t="shared" si="5"/>
        <v>4.0979887522195465E-3</v>
      </c>
      <c r="L162">
        <f t="shared" si="2"/>
        <v>1.5142419213261371E-5</v>
      </c>
    </row>
    <row r="163" spans="5:12" x14ac:dyDescent="0.2">
      <c r="E163">
        <f t="shared" si="3"/>
        <v>63</v>
      </c>
      <c r="F163">
        <f t="shared" si="0"/>
        <v>-4.4879999999999995</v>
      </c>
      <c r="G163">
        <f t="shared" si="1"/>
        <v>4.1902666073346459E-3</v>
      </c>
      <c r="H163">
        <f t="shared" si="4"/>
        <v>1.6869377984230626E-5</v>
      </c>
      <c r="I163">
        <f t="shared" si="5"/>
        <v>4.1902666073346459E-3</v>
      </c>
      <c r="L163">
        <f t="shared" si="2"/>
        <v>1.6869377984230626E-5</v>
      </c>
    </row>
    <row r="164" spans="5:12" x14ac:dyDescent="0.2">
      <c r="E164">
        <f t="shared" si="3"/>
        <v>64</v>
      </c>
      <c r="F164">
        <f t="shared" ref="F164:F227" si="6">$F$98+($F$99-$F$98)/500*E164</f>
        <v>-4.4640000000000004</v>
      </c>
      <c r="G164">
        <f t="shared" ref="G164:G227" si="7">tpdf(F164,$G$97)</f>
        <v>4.2849641281811884E-3</v>
      </c>
      <c r="H164">
        <f t="shared" si="4"/>
        <v>1.8782470689901945E-5</v>
      </c>
      <c r="I164">
        <f t="shared" si="5"/>
        <v>4.2849641281811884E-3</v>
      </c>
      <c r="L164">
        <f t="shared" ref="L164:L227" si="8">NORMDIST(F164,$C$7,$C$8,0)</f>
        <v>1.8782470689901945E-5</v>
      </c>
    </row>
    <row r="165" spans="5:12" x14ac:dyDescent="0.2">
      <c r="E165">
        <f t="shared" ref="E165:E228" si="9">ROW(E165)-100</f>
        <v>65</v>
      </c>
      <c r="F165">
        <f t="shared" si="6"/>
        <v>-4.4399999999999995</v>
      </c>
      <c r="G165">
        <f t="shared" si="7"/>
        <v>4.3821528448342922E-3</v>
      </c>
      <c r="H165">
        <f t="shared" ref="H165:H228" si="10">NORMDIST(F165,0,1,0)</f>
        <v>2.0900477900450482E-5</v>
      </c>
      <c r="I165">
        <f t="shared" ref="I165:I228" si="11">IF(ABS(F165)&gt;ABS($K$100),G165,"")</f>
        <v>4.3821528448342922E-3</v>
      </c>
      <c r="L165">
        <f t="shared" si="8"/>
        <v>2.0900477900450482E-5</v>
      </c>
    </row>
    <row r="166" spans="5:12" x14ac:dyDescent="0.2">
      <c r="E166">
        <f t="shared" si="9"/>
        <v>66</v>
      </c>
      <c r="F166">
        <f t="shared" si="6"/>
        <v>-4.4160000000000004</v>
      </c>
      <c r="G166">
        <f t="shared" si="7"/>
        <v>4.4819066078116004E-3</v>
      </c>
      <c r="H166">
        <f t="shared" si="10"/>
        <v>2.3243930048373714E-5</v>
      </c>
      <c r="I166">
        <f t="shared" si="11"/>
        <v>4.4819066078116004E-3</v>
      </c>
      <c r="L166">
        <f t="shared" si="8"/>
        <v>2.3243930048373714E-5</v>
      </c>
    </row>
    <row r="167" spans="5:12" x14ac:dyDescent="0.2">
      <c r="E167">
        <f t="shared" si="9"/>
        <v>67</v>
      </c>
      <c r="F167">
        <f t="shared" si="6"/>
        <v>-4.3919999999999995</v>
      </c>
      <c r="G167">
        <f t="shared" si="7"/>
        <v>4.584301668566472E-3</v>
      </c>
      <c r="H167">
        <f t="shared" si="10"/>
        <v>2.5835254812390093E-5</v>
      </c>
      <c r="I167">
        <f t="shared" si="11"/>
        <v>4.584301668566472E-3</v>
      </c>
      <c r="L167">
        <f t="shared" si="8"/>
        <v>2.5835254812390093E-5</v>
      </c>
    </row>
    <row r="168" spans="5:12" x14ac:dyDescent="0.2">
      <c r="E168">
        <f t="shared" si="9"/>
        <v>68</v>
      </c>
      <c r="F168">
        <f t="shared" si="6"/>
        <v>-4.3680000000000003</v>
      </c>
      <c r="G168">
        <f t="shared" si="7"/>
        <v>4.6894167628790534E-3</v>
      </c>
      <c r="H168">
        <f t="shared" si="10"/>
        <v>2.8698935306977618E-5</v>
      </c>
      <c r="I168">
        <f t="shared" si="11"/>
        <v>4.6894167628790534E-3</v>
      </c>
      <c r="L168">
        <f t="shared" si="8"/>
        <v>2.8698935306977618E-5</v>
      </c>
    </row>
    <row r="169" spans="5:12" x14ac:dyDescent="0.2">
      <c r="E169">
        <f t="shared" si="9"/>
        <v>69</v>
      </c>
      <c r="F169">
        <f t="shared" si="6"/>
        <v>-4.3439999999999994</v>
      </c>
      <c r="G169">
        <f t="shared" si="7"/>
        <v>4.797333197249066E-3</v>
      </c>
      <c r="H169">
        <f t="shared" si="10"/>
        <v>3.1861679712324632E-5</v>
      </c>
      <c r="I169">
        <f t="shared" si="11"/>
        <v>4.797333197249066E-3</v>
      </c>
      <c r="L169">
        <f t="shared" si="8"/>
        <v>3.1861679712324632E-5</v>
      </c>
    </row>
    <row r="170" spans="5:12" x14ac:dyDescent="0.2">
      <c r="E170">
        <f t="shared" si="9"/>
        <v>70</v>
      </c>
      <c r="F170">
        <f t="shared" si="6"/>
        <v>-4.32</v>
      </c>
      <c r="G170">
        <f t="shared" si="7"/>
        <v>4.9081349383970499E-3</v>
      </c>
      <c r="H170">
        <f t="shared" si="10"/>
        <v>3.5352603001773097E-5</v>
      </c>
      <c r="I170">
        <f t="shared" si="11"/>
        <v>4.9081349383970499E-3</v>
      </c>
      <c r="L170">
        <f t="shared" si="8"/>
        <v>3.5352603001773097E-5</v>
      </c>
    </row>
    <row r="171" spans="5:12" x14ac:dyDescent="0.2">
      <c r="E171">
        <f t="shared" si="9"/>
        <v>71</v>
      </c>
      <c r="F171">
        <f t="shared" si="6"/>
        <v>-4.2960000000000003</v>
      </c>
      <c r="G171">
        <f t="shared" si="7"/>
        <v>5.0219087059847302E-3</v>
      </c>
      <c r="H171">
        <f t="shared" si="10"/>
        <v>3.9203421445463005E-5</v>
      </c>
      <c r="I171">
        <f t="shared" si="11"/>
        <v>5.0219087059847302E-3</v>
      </c>
      <c r="L171">
        <f t="shared" si="8"/>
        <v>3.9203421445463005E-5</v>
      </c>
    </row>
    <row r="172" spans="5:12" x14ac:dyDescent="0.2">
      <c r="E172">
        <f t="shared" si="9"/>
        <v>72</v>
      </c>
      <c r="F172">
        <f t="shared" si="6"/>
        <v>-4.2720000000000002</v>
      </c>
      <c r="G172">
        <f t="shared" si="7"/>
        <v>5.1387440686681352E-3</v>
      </c>
      <c r="H172">
        <f t="shared" si="10"/>
        <v>4.3448660589589352E-5</v>
      </c>
      <c r="I172">
        <f t="shared" si="11"/>
        <v>5.1387440686681352E-3</v>
      </c>
      <c r="L172">
        <f t="shared" si="8"/>
        <v>4.3448660589589352E-5</v>
      </c>
    </row>
    <row r="173" spans="5:12" x14ac:dyDescent="0.2">
      <c r="E173">
        <f t="shared" si="9"/>
        <v>73</v>
      </c>
      <c r="F173">
        <f t="shared" si="6"/>
        <v>-4.2480000000000002</v>
      </c>
      <c r="G173">
        <f t="shared" si="7"/>
        <v>5.2587335436011006E-3</v>
      </c>
      <c r="H173">
        <f t="shared" si="10"/>
        <v>4.8125877430296982E-5</v>
      </c>
      <c r="I173">
        <f t="shared" si="11"/>
        <v>5.2587335436011006E-3</v>
      </c>
      <c r="L173">
        <f t="shared" si="8"/>
        <v>4.8125877430296982E-5</v>
      </c>
    </row>
    <row r="174" spans="5:12" x14ac:dyDescent="0.2">
      <c r="E174">
        <f t="shared" si="9"/>
        <v>74</v>
      </c>
      <c r="F174">
        <f t="shared" si="6"/>
        <v>-4.2240000000000002</v>
      </c>
      <c r="G174">
        <f t="shared" si="7"/>
        <v>5.3819726995101317E-3</v>
      </c>
      <c r="H174">
        <f t="shared" si="10"/>
        <v>5.3275897519493968E-5</v>
      </c>
      <c r="I174">
        <f t="shared" si="11"/>
        <v>5.3819726995101317E-3</v>
      </c>
      <c r="L174">
        <f t="shared" si="8"/>
        <v>5.3275897519493968E-5</v>
      </c>
    </row>
    <row r="175" spans="5:12" x14ac:dyDescent="0.2">
      <c r="E175">
        <f t="shared" si="9"/>
        <v>75</v>
      </c>
      <c r="F175">
        <f t="shared" si="6"/>
        <v>-4.2</v>
      </c>
      <c r="G175">
        <f t="shared" si="7"/>
        <v>5.5085602634653572E-3</v>
      </c>
      <c r="H175">
        <f t="shared" si="10"/>
        <v>5.8943067756539855E-5</v>
      </c>
      <c r="I175">
        <f t="shared" si="11"/>
        <v>5.5085602634653572E-3</v>
      </c>
      <c r="L175">
        <f t="shared" si="8"/>
        <v>5.8943067756539855E-5</v>
      </c>
    </row>
    <row r="176" spans="5:12" x14ac:dyDescent="0.2">
      <c r="E176">
        <f t="shared" si="9"/>
        <v>76</v>
      </c>
      <c r="F176">
        <f t="shared" si="6"/>
        <v>-4.1760000000000002</v>
      </c>
      <c r="G176">
        <f t="shared" si="7"/>
        <v>5.6385982314759988E-3</v>
      </c>
      <c r="H176">
        <f t="shared" si="10"/>
        <v>6.5175525634586447E-5</v>
      </c>
      <c r="I176">
        <f t="shared" si="11"/>
        <v>5.6385982314759988E-3</v>
      </c>
      <c r="L176">
        <f t="shared" si="8"/>
        <v>6.5175525634586447E-5</v>
      </c>
    </row>
    <row r="177" spans="5:12" x14ac:dyDescent="0.2">
      <c r="E177">
        <f t="shared" si="9"/>
        <v>77</v>
      </c>
      <c r="F177">
        <f t="shared" si="6"/>
        <v>-4.1520000000000001</v>
      </c>
      <c r="G177">
        <f t="shared" si="7"/>
        <v>5.7721919830425704E-3</v>
      </c>
      <c r="H177">
        <f t="shared" si="10"/>
        <v>7.2025485723041163E-5</v>
      </c>
      <c r="I177">
        <f t="shared" si="11"/>
        <v>5.7721919830425704E-3</v>
      </c>
      <c r="L177">
        <f t="shared" si="8"/>
        <v>7.2025485723041163E-5</v>
      </c>
    </row>
    <row r="178" spans="5:12" x14ac:dyDescent="0.2">
      <c r="E178">
        <f t="shared" si="9"/>
        <v>78</v>
      </c>
      <c r="F178">
        <f t="shared" si="6"/>
        <v>-4.1280000000000001</v>
      </c>
      <c r="G178">
        <f t="shared" si="7"/>
        <v>5.9094503998017517E-3</v>
      </c>
      <c r="H178">
        <f t="shared" si="10"/>
        <v>7.9549544177881284E-5</v>
      </c>
      <c r="I178">
        <f t="shared" si="11"/>
        <v>5.9094503998017517E-3</v>
      </c>
      <c r="L178">
        <f t="shared" si="8"/>
        <v>7.9549544177881284E-5</v>
      </c>
    </row>
    <row r="179" spans="5:12" x14ac:dyDescent="0.2">
      <c r="E179">
        <f t="shared" si="9"/>
        <v>79</v>
      </c>
      <c r="F179">
        <f t="shared" si="6"/>
        <v>-4.1040000000000001</v>
      </c>
      <c r="G179">
        <f t="shared" si="7"/>
        <v>6.050485988403736E-3</v>
      </c>
      <c r="H179">
        <f t="shared" si="10"/>
        <v>8.7809002079064242E-5</v>
      </c>
      <c r="I179">
        <f t="shared" si="11"/>
        <v>6.050485988403736E-3</v>
      </c>
      <c r="L179">
        <f t="shared" si="8"/>
        <v>8.7809002079064242E-5</v>
      </c>
    </row>
    <row r="180" spans="5:12" x14ac:dyDescent="0.2">
      <c r="E180">
        <f t="shared" si="9"/>
        <v>80</v>
      </c>
      <c r="F180">
        <f t="shared" si="6"/>
        <v>-4.08</v>
      </c>
      <c r="G180">
        <f t="shared" si="7"/>
        <v>6.1954150077656615E-3</v>
      </c>
      <c r="H180">
        <f t="shared" si="10"/>
        <v>9.687020839871926E-5</v>
      </c>
      <c r="I180">
        <f t="shared" si="11"/>
        <v>6.1954150077656615E-3</v>
      </c>
      <c r="L180">
        <f t="shared" si="8"/>
        <v>9.687020839871926E-5</v>
      </c>
    </row>
    <row r="181" spans="5:12" x14ac:dyDescent="0.2">
      <c r="E181">
        <f t="shared" si="9"/>
        <v>81</v>
      </c>
      <c r="F181">
        <f t="shared" si="6"/>
        <v>-4.056</v>
      </c>
      <c r="G181">
        <f t="shared" si="7"/>
        <v>6.3443576008485819E-3</v>
      </c>
      <c r="H181">
        <f t="shared" si="10"/>
        <v>1.0680492340481771E-4</v>
      </c>
      <c r="I181">
        <f t="shared" si="11"/>
        <v>6.3443576008485819E-3</v>
      </c>
      <c r="L181">
        <f t="shared" si="8"/>
        <v>1.0680492340481771E-4</v>
      </c>
    </row>
    <row r="182" spans="5:12" x14ac:dyDescent="0.2">
      <c r="E182">
        <f t="shared" si="9"/>
        <v>82</v>
      </c>
      <c r="F182">
        <f t="shared" si="6"/>
        <v>-4.032</v>
      </c>
      <c r="G182">
        <f t="shared" si="7"/>
        <v>6.4974379311092453E-3</v>
      </c>
      <c r="H182">
        <f t="shared" si="10"/>
        <v>1.1769070330224524E-4</v>
      </c>
      <c r="I182">
        <f t="shared" si="11"/>
        <v>6.4974379311092453E-3</v>
      </c>
      <c r="L182">
        <f t="shared" si="8"/>
        <v>1.1769070330224524E-4</v>
      </c>
    </row>
    <row r="183" spans="5:12" x14ac:dyDescent="0.2">
      <c r="E183">
        <f t="shared" si="9"/>
        <v>83</v>
      </c>
      <c r="F183">
        <f t="shared" si="6"/>
        <v>-4.008</v>
      </c>
      <c r="G183">
        <f t="shared" si="7"/>
        <v>6.654784323781731E-3</v>
      </c>
      <c r="H183">
        <f t="shared" si="10"/>
        <v>1.296113069062539E-4</v>
      </c>
      <c r="I183">
        <f t="shared" si="11"/>
        <v>6.654784323781731E-3</v>
      </c>
      <c r="L183">
        <f t="shared" si="8"/>
        <v>1.296113069062539E-4</v>
      </c>
    </row>
    <row r="184" spans="5:12" x14ac:dyDescent="0.2">
      <c r="E184">
        <f t="shared" si="9"/>
        <v>84</v>
      </c>
      <c r="F184">
        <f t="shared" si="6"/>
        <v>-3.984</v>
      </c>
      <c r="G184">
        <f t="shared" si="7"/>
        <v>6.8165294121478332E-3</v>
      </c>
      <c r="H184">
        <f t="shared" si="10"/>
        <v>1.4265712513176652E-4</v>
      </c>
      <c r="I184">
        <f t="shared" si="11"/>
        <v>6.8165294121478332E-3</v>
      </c>
      <c r="L184">
        <f t="shared" si="8"/>
        <v>1.4265712513176652E-4</v>
      </c>
    </row>
    <row r="185" spans="5:12" x14ac:dyDescent="0.2">
      <c r="E185">
        <f t="shared" si="9"/>
        <v>85</v>
      </c>
      <c r="F185">
        <f t="shared" si="6"/>
        <v>-3.96</v>
      </c>
      <c r="G185">
        <f t="shared" si="7"/>
        <v>6.982810288958724E-3</v>
      </c>
      <c r="H185">
        <f t="shared" si="10"/>
        <v>1.5692563406553226E-4</v>
      </c>
      <c r="I185">
        <f t="shared" si="11"/>
        <v>6.982810288958724E-3</v>
      </c>
      <c r="L185">
        <f t="shared" si="8"/>
        <v>1.5692563406553226E-4</v>
      </c>
    </row>
    <row r="186" spans="5:12" x14ac:dyDescent="0.2">
      <c r="E186">
        <f t="shared" si="9"/>
        <v>86</v>
      </c>
      <c r="F186">
        <f t="shared" si="6"/>
        <v>-3.9359999999999999</v>
      </c>
      <c r="G186">
        <f t="shared" si="7"/>
        <v>7.1537686631740535E-3</v>
      </c>
      <c r="H186">
        <f t="shared" si="10"/>
        <v>1.7252187236626288E-4</v>
      </c>
      <c r="I186">
        <f t="shared" si="11"/>
        <v>7.1537686631740535E-3</v>
      </c>
      <c r="L186">
        <f t="shared" si="8"/>
        <v>1.7252187236626288E-4</v>
      </c>
    </row>
    <row r="187" spans="5:12" x14ac:dyDescent="0.2">
      <c r="E187">
        <f t="shared" si="9"/>
        <v>87</v>
      </c>
      <c r="F187">
        <f t="shared" si="6"/>
        <v>-3.9119999999999999</v>
      </c>
      <c r="G187">
        <f t="shared" si="7"/>
        <v>7.3295510221882947E-3</v>
      </c>
      <c r="H187">
        <f t="shared" si="10"/>
        <v>1.8955894371021315E-4</v>
      </c>
      <c r="I187">
        <f t="shared" si="11"/>
        <v>7.3295510221882947E-3</v>
      </c>
      <c r="L187">
        <f t="shared" si="8"/>
        <v>1.8955894371021315E-4</v>
      </c>
    </row>
    <row r="188" spans="5:12" x14ac:dyDescent="0.2">
      <c r="E188">
        <f t="shared" si="9"/>
        <v>88</v>
      </c>
      <c r="F188">
        <f t="shared" si="6"/>
        <v>-3.8879999999999999</v>
      </c>
      <c r="G188">
        <f t="shared" si="7"/>
        <v>7.5103087997174271E-3</v>
      </c>
      <c r="H188">
        <f t="shared" si="10"/>
        <v>2.0815854496572918E-4</v>
      </c>
      <c r="I188">
        <f t="shared" si="11"/>
        <v>7.5103087997174271E-3</v>
      </c>
      <c r="L188">
        <f t="shared" si="8"/>
        <v>2.0815854496572918E-4</v>
      </c>
    </row>
    <row r="189" spans="5:12" x14ac:dyDescent="0.2">
      <c r="E189">
        <f t="shared" si="9"/>
        <v>89</v>
      </c>
      <c r="F189">
        <f t="shared" si="6"/>
        <v>-3.8639999999999999</v>
      </c>
      <c r="G189">
        <f t="shared" si="7"/>
        <v>7.6961985495224237E-3</v>
      </c>
      <c r="H189">
        <f t="shared" si="10"/>
        <v>2.2845152073967242E-4</v>
      </c>
      <c r="I189">
        <f t="shared" si="11"/>
        <v>7.6961985495224237E-3</v>
      </c>
      <c r="L189">
        <f t="shared" si="8"/>
        <v>2.2845152073967242E-4</v>
      </c>
    </row>
    <row r="190" spans="5:12" x14ac:dyDescent="0.2">
      <c r="E190">
        <f t="shared" si="9"/>
        <v>90</v>
      </c>
      <c r="F190">
        <f t="shared" si="6"/>
        <v>-3.84</v>
      </c>
      <c r="G190">
        <f t="shared" si="7"/>
        <v>7.8873821251491377E-3</v>
      </c>
      <c r="H190">
        <f t="shared" si="10"/>
        <v>2.5057844489086075E-4</v>
      </c>
      <c r="I190">
        <f t="shared" si="11"/>
        <v>7.8873821251491377E-3</v>
      </c>
      <c r="L190">
        <f t="shared" si="8"/>
        <v>2.5057844489086075E-4</v>
      </c>
    </row>
    <row r="191" spans="5:12" x14ac:dyDescent="0.2">
      <c r="E191">
        <f t="shared" si="9"/>
        <v>91</v>
      </c>
      <c r="F191">
        <f t="shared" si="6"/>
        <v>-3.8159999999999998</v>
      </c>
      <c r="G191">
        <f t="shared" si="7"/>
        <v>8.0840268658669452E-3</v>
      </c>
      <c r="H191">
        <f t="shared" si="10"/>
        <v>2.7469022955031567E-4</v>
      </c>
      <c r="I191">
        <f t="shared" si="11"/>
        <v>8.0840268658669452E-3</v>
      </c>
      <c r="L191">
        <f t="shared" si="8"/>
        <v>2.7469022955031567E-4</v>
      </c>
    </row>
    <row r="192" spans="5:12" x14ac:dyDescent="0.2">
      <c r="E192">
        <f t="shared" si="9"/>
        <v>92</v>
      </c>
      <c r="F192">
        <f t="shared" si="6"/>
        <v>-3.7919999999999998</v>
      </c>
      <c r="G192">
        <f t="shared" si="7"/>
        <v>8.28630578899134E-3</v>
      </c>
      <c r="H192">
        <f t="shared" si="10"/>
        <v>3.0094876212471999E-4</v>
      </c>
      <c r="I192">
        <f t="shared" si="11"/>
        <v>8.28630578899134E-3</v>
      </c>
      <c r="L192">
        <f t="shared" si="8"/>
        <v>3.0094876212471999E-4</v>
      </c>
    </row>
    <row r="193" spans="5:12" x14ac:dyDescent="0.2">
      <c r="E193">
        <f t="shared" si="9"/>
        <v>93</v>
      </c>
      <c r="F193">
        <f t="shared" si="6"/>
        <v>-3.7679999999999998</v>
      </c>
      <c r="G193">
        <f t="shared" si="7"/>
        <v>8.4943977887779396E-3</v>
      </c>
      <c r="H193">
        <f t="shared" si="10"/>
        <v>3.2952757068762962E-4</v>
      </c>
      <c r="I193">
        <f t="shared" si="11"/>
        <v>8.4943977887779396E-3</v>
      </c>
      <c r="L193">
        <f t="shared" si="8"/>
        <v>3.2952757068762962E-4</v>
      </c>
    </row>
    <row r="194" spans="5:12" x14ac:dyDescent="0.2">
      <c r="E194">
        <f t="shared" si="9"/>
        <v>94</v>
      </c>
      <c r="F194">
        <f t="shared" si="6"/>
        <v>-3.7439999999999998</v>
      </c>
      <c r="G194">
        <f t="shared" si="7"/>
        <v>8.7084878420774468E-3</v>
      </c>
      <c r="H194">
        <f t="shared" si="10"/>
        <v>3.6061251808220806E-4</v>
      </c>
      <c r="I194">
        <f t="shared" si="11"/>
        <v>8.7084878420774468E-3</v>
      </c>
      <c r="L194">
        <f t="shared" si="8"/>
        <v>3.6061251808220806E-4</v>
      </c>
    </row>
    <row r="195" spans="5:12" x14ac:dyDescent="0.2">
      <c r="E195">
        <f t="shared" si="9"/>
        <v>95</v>
      </c>
      <c r="F195">
        <f t="shared" si="6"/>
        <v>-3.7199999999999998</v>
      </c>
      <c r="G195">
        <f t="shared" si="7"/>
        <v>8.9287672209428705E-3</v>
      </c>
      <c r="H195">
        <f t="shared" si="10"/>
        <v>3.9440252496915693E-4</v>
      </c>
      <c r="I195">
        <f t="shared" si="11"/>
        <v>8.9287672209428705E-3</v>
      </c>
      <c r="L195">
        <f t="shared" si="8"/>
        <v>3.9440252496915693E-4</v>
      </c>
    </row>
    <row r="196" spans="5:12" x14ac:dyDescent="0.2">
      <c r="E196">
        <f t="shared" si="9"/>
        <v>96</v>
      </c>
      <c r="F196">
        <f t="shared" si="6"/>
        <v>-3.6959999999999997</v>
      </c>
      <c r="G196">
        <f t="shared" si="7"/>
        <v>9.1554337123814535E-3</v>
      </c>
      <c r="H196">
        <f t="shared" si="10"/>
        <v>4.3111032195367678E-4</v>
      </c>
      <c r="I196">
        <f t="shared" si="11"/>
        <v>9.1554337123814535E-3</v>
      </c>
      <c r="L196">
        <f t="shared" si="8"/>
        <v>4.3111032195367678E-4</v>
      </c>
    </row>
    <row r="197" spans="5:12" x14ac:dyDescent="0.2">
      <c r="E197">
        <f t="shared" si="9"/>
        <v>97</v>
      </c>
      <c r="F197">
        <f t="shared" si="6"/>
        <v>-3.6720000000000002</v>
      </c>
      <c r="G197">
        <f t="shared" si="7"/>
        <v>9.3886918454446945E-3</v>
      </c>
      <c r="H197">
        <f t="shared" si="10"/>
        <v>4.7096323081532949E-4</v>
      </c>
      <c r="I197">
        <f t="shared" si="11"/>
        <v>9.3886918454446945E-3</v>
      </c>
      <c r="L197">
        <f t="shared" si="8"/>
        <v>4.7096323081532949E-4</v>
      </c>
    </row>
    <row r="198" spans="5:12" x14ac:dyDescent="0.2">
      <c r="E198">
        <f t="shared" si="9"/>
        <v>98</v>
      </c>
      <c r="F198">
        <f t="shared" si="6"/>
        <v>-3.6480000000000001</v>
      </c>
      <c r="G198">
        <f t="shared" si="7"/>
        <v>9.6287531258500928E-3</v>
      </c>
      <c r="H198">
        <f t="shared" si="10"/>
        <v>5.1420397474424319E-4</v>
      </c>
      <c r="I198">
        <f t="shared" si="11"/>
        <v>9.6287531258500928E-3</v>
      </c>
      <c r="L198">
        <f t="shared" si="8"/>
        <v>5.1420397474424319E-4</v>
      </c>
    </row>
    <row r="199" spans="5:12" x14ac:dyDescent="0.2">
      <c r="E199">
        <f t="shared" si="9"/>
        <v>99</v>
      </c>
      <c r="F199">
        <f t="shared" si="6"/>
        <v>-3.6240000000000001</v>
      </c>
      <c r="G199">
        <f t="shared" si="7"/>
        <v>9.8758362783277591E-3</v>
      </c>
      <c r="H199">
        <f t="shared" si="10"/>
        <v>5.6109151735582138E-4</v>
      </c>
      <c r="I199">
        <f t="shared" si="11"/>
        <v>9.8758362783277591E-3</v>
      </c>
      <c r="L199">
        <f t="shared" si="8"/>
        <v>5.6109151735582138E-4</v>
      </c>
    </row>
    <row r="200" spans="5:12" x14ac:dyDescent="0.2">
      <c r="E200">
        <f t="shared" si="9"/>
        <v>100</v>
      </c>
      <c r="F200">
        <f t="shared" si="6"/>
        <v>-3.6</v>
      </c>
      <c r="G200">
        <f t="shared" si="7"/>
        <v>1.0130167496884291E-2</v>
      </c>
      <c r="H200">
        <f t="shared" si="10"/>
        <v>6.119019301137719E-4</v>
      </c>
      <c r="I200">
        <f t="shared" si="11"/>
        <v>1.0130167496884291E-2</v>
      </c>
      <c r="L200">
        <f t="shared" si="8"/>
        <v>6.119019301137719E-4</v>
      </c>
    </row>
    <row r="201" spans="5:12" x14ac:dyDescent="0.2">
      <c r="E201">
        <f t="shared" si="9"/>
        <v>101</v>
      </c>
      <c r="F201">
        <f t="shared" si="6"/>
        <v>-3.5760000000000001</v>
      </c>
      <c r="G201">
        <f t="shared" si="7"/>
        <v>1.0391980703174387E-2</v>
      </c>
      <c r="H201">
        <f t="shared" si="10"/>
        <v>6.6692928763750227E-4</v>
      </c>
      <c r="I201">
        <f t="shared" si="11"/>
        <v>1.0391980703174387E-2</v>
      </c>
      <c r="L201">
        <f t="shared" si="8"/>
        <v>6.6692928763750227E-4</v>
      </c>
    </row>
    <row r="202" spans="5:12" x14ac:dyDescent="0.2">
      <c r="E202">
        <f t="shared" si="9"/>
        <v>102</v>
      </c>
      <c r="F202">
        <f t="shared" si="6"/>
        <v>-3.552</v>
      </c>
      <c r="G202">
        <f t="shared" si="7"/>
        <v>1.0661517813168056E-2</v>
      </c>
      <c r="H202">
        <f t="shared" si="10"/>
        <v>7.2648659020460105E-4</v>
      </c>
      <c r="I202">
        <f t="shared" si="11"/>
        <v>1.0661517813168056E-2</v>
      </c>
      <c r="L202">
        <f t="shared" si="8"/>
        <v>7.2648659020460105E-4</v>
      </c>
    </row>
    <row r="203" spans="5:12" x14ac:dyDescent="0.2">
      <c r="E203">
        <f t="shared" si="9"/>
        <v>103</v>
      </c>
      <c r="F203">
        <f t="shared" si="6"/>
        <v>-3.528</v>
      </c>
      <c r="G203">
        <f t="shared" si="7"/>
        <v>1.0939029012297916E-2</v>
      </c>
      <c r="H203">
        <f t="shared" si="10"/>
        <v>7.9090671258203761E-4</v>
      </c>
      <c r="I203">
        <f t="shared" si="11"/>
        <v>1.0939029012297916E-2</v>
      </c>
      <c r="L203">
        <f t="shared" si="8"/>
        <v>7.9090671258203761E-4</v>
      </c>
    </row>
    <row r="204" spans="5:12" x14ac:dyDescent="0.2">
      <c r="E204">
        <f t="shared" si="9"/>
        <v>104</v>
      </c>
      <c r="F204">
        <f t="shared" si="6"/>
        <v>-3.504</v>
      </c>
      <c r="G204">
        <f t="shared" si="7"/>
        <v>1.1224773039266465E-2</v>
      </c>
      <c r="H204">
        <f t="shared" si="10"/>
        <v>8.605433781307579E-4</v>
      </c>
      <c r="I204">
        <f t="shared" si="11"/>
        <v>1.1224773039266465E-2</v>
      </c>
      <c r="L204">
        <f t="shared" si="8"/>
        <v>8.605433781307579E-4</v>
      </c>
    </row>
    <row r="205" spans="5:12" x14ac:dyDescent="0.2">
      <c r="E205">
        <f t="shared" si="9"/>
        <v>105</v>
      </c>
      <c r="F205">
        <f t="shared" si="6"/>
        <v>-3.48</v>
      </c>
      <c r="G205">
        <f t="shared" si="7"/>
        <v>1.151901747868739E-2</v>
      </c>
      <c r="H205">
        <f t="shared" si="10"/>
        <v>9.3577215692747977E-4</v>
      </c>
      <c r="I205">
        <f t="shared" si="11"/>
        <v>1.151901747868739E-2</v>
      </c>
      <c r="L205">
        <f t="shared" si="8"/>
        <v>9.3577215692747977E-4</v>
      </c>
    </row>
    <row r="206" spans="5:12" x14ac:dyDescent="0.2">
      <c r="E206">
        <f t="shared" si="9"/>
        <v>106</v>
      </c>
      <c r="F206">
        <f t="shared" si="6"/>
        <v>-3.456</v>
      </c>
      <c r="G206">
        <f t="shared" si="7"/>
        <v>1.1822039062728308E-2</v>
      </c>
      <c r="H206">
        <f t="shared" si="10"/>
        <v>1.0169914864347645E-3</v>
      </c>
      <c r="I206">
        <f t="shared" si="11"/>
        <v>1.1822039062728308E-2</v>
      </c>
      <c r="L206">
        <f t="shared" si="8"/>
        <v>1.0169914864347645E-3</v>
      </c>
    </row>
    <row r="207" spans="5:12" x14ac:dyDescent="0.2">
      <c r="E207">
        <f t="shared" si="9"/>
        <v>107</v>
      </c>
      <c r="F207">
        <f t="shared" si="6"/>
        <v>-3.4319999999999999</v>
      </c>
      <c r="G207">
        <f t="shared" si="7"/>
        <v>1.2134123981913846E-2</v>
      </c>
      <c r="H207">
        <f t="shared" si="10"/>
        <v>1.1046237130258381E-3</v>
      </c>
      <c r="I207">
        <f t="shared" si="11"/>
        <v>1.2134123981913846E-2</v>
      </c>
      <c r="L207">
        <f t="shared" si="8"/>
        <v>1.1046237130258381E-3</v>
      </c>
    </row>
    <row r="208" spans="5:12" x14ac:dyDescent="0.2">
      <c r="E208">
        <f t="shared" si="9"/>
        <v>108</v>
      </c>
      <c r="F208">
        <f t="shared" si="6"/>
        <v>-3.4079999999999999</v>
      </c>
      <c r="G208">
        <f t="shared" si="7"/>
        <v>1.2455568205238136E-2</v>
      </c>
      <c r="H208">
        <f t="shared" si="10"/>
        <v>1.1991161524345093E-3</v>
      </c>
      <c r="I208">
        <f t="shared" si="11"/>
        <v>1.2455568205238136E-2</v>
      </c>
      <c r="L208">
        <f t="shared" si="8"/>
        <v>1.1991161524345093E-3</v>
      </c>
    </row>
    <row r="209" spans="5:12" x14ac:dyDescent="0.2">
      <c r="E209">
        <f t="shared" si="9"/>
        <v>109</v>
      </c>
      <c r="F209">
        <f t="shared" si="6"/>
        <v>-3.3839999999999999</v>
      </c>
      <c r="G209">
        <f t="shared" si="7"/>
        <v>1.278667780972439E-2</v>
      </c>
      <c r="H209">
        <f t="shared" si="10"/>
        <v>1.3009421669529307E-3</v>
      </c>
      <c r="I209">
        <f t="shared" si="11"/>
        <v>1.278667780972439E-2</v>
      </c>
      <c r="L209">
        <f t="shared" si="8"/>
        <v>1.3009421669529307E-3</v>
      </c>
    </row>
    <row r="210" spans="5:12" x14ac:dyDescent="0.2">
      <c r="E210">
        <f t="shared" si="9"/>
        <v>110</v>
      </c>
      <c r="F210">
        <f t="shared" si="6"/>
        <v>-3.36</v>
      </c>
      <c r="G210">
        <f t="shared" si="7"/>
        <v>1.3127769319555822E-2</v>
      </c>
      <c r="H210">
        <f t="shared" si="10"/>
        <v>1.4106022569413848E-3</v>
      </c>
      <c r="I210">
        <f t="shared" si="11"/>
        <v>1.3127769319555822E-2</v>
      </c>
      <c r="L210">
        <f t="shared" si="8"/>
        <v>1.4106022569413848E-3</v>
      </c>
    </row>
    <row r="211" spans="5:12" x14ac:dyDescent="0.2">
      <c r="E211">
        <f t="shared" si="9"/>
        <v>111</v>
      </c>
      <c r="F211">
        <f t="shared" si="6"/>
        <v>-3.3359999999999999</v>
      </c>
      <c r="G211">
        <f t="shared" si="7"/>
        <v>1.347917005488695E-2</v>
      </c>
      <c r="H211">
        <f t="shared" si="10"/>
        <v>1.528625163945144E-3</v>
      </c>
      <c r="I211">
        <f t="shared" si="11"/>
        <v>1.347917005488695E-2</v>
      </c>
      <c r="L211">
        <f t="shared" si="8"/>
        <v>1.528625163945144E-3</v>
      </c>
    </row>
    <row r="212" spans="5:12" x14ac:dyDescent="0.2">
      <c r="E212">
        <f t="shared" si="9"/>
        <v>112</v>
      </c>
      <c r="F212">
        <f t="shared" si="6"/>
        <v>-3.3119999999999998</v>
      </c>
      <c r="G212">
        <f t="shared" si="7"/>
        <v>1.384121849042666E-2</v>
      </c>
      <c r="H212">
        <f t="shared" si="10"/>
        <v>1.6555689824342061E-3</v>
      </c>
      <c r="I212">
        <f t="shared" si="11"/>
        <v>1.384121849042666E-2</v>
      </c>
      <c r="L212">
        <f t="shared" si="8"/>
        <v>1.6555689824342061E-3</v>
      </c>
    </row>
    <row r="213" spans="5:12" x14ac:dyDescent="0.2">
      <c r="E213">
        <f t="shared" si="9"/>
        <v>113</v>
      </c>
      <c r="F213">
        <f t="shared" si="6"/>
        <v>-3.2879999999999998</v>
      </c>
      <c r="G213">
        <f t="shared" si="7"/>
        <v>1.421426462386469E-2</v>
      </c>
      <c r="H213">
        <f t="shared" si="10"/>
        <v>1.7920222768931734E-3</v>
      </c>
      <c r="I213">
        <f t="shared" si="11"/>
        <v>1.421426462386469E-2</v>
      </c>
      <c r="L213">
        <f t="shared" si="8"/>
        <v>1.7920222768931734E-3</v>
      </c>
    </row>
    <row r="214" spans="5:12" x14ac:dyDescent="0.2">
      <c r="E214">
        <f t="shared" si="9"/>
        <v>114</v>
      </c>
      <c r="F214">
        <f t="shared" si="6"/>
        <v>-3.2639999999999998</v>
      </c>
      <c r="G214">
        <f t="shared" si="7"/>
        <v>1.4598670354190581E-2</v>
      </c>
      <c r="H214">
        <f t="shared" si="10"/>
        <v>1.9386052006913181E-3</v>
      </c>
      <c r="I214">
        <f t="shared" si="11"/>
        <v>1.4598670354190581E-2</v>
      </c>
      <c r="L214">
        <f t="shared" si="8"/>
        <v>1.9386052006913181E-3</v>
      </c>
    </row>
    <row r="215" spans="5:12" x14ac:dyDescent="0.2">
      <c r="E215">
        <f t="shared" si="9"/>
        <v>115</v>
      </c>
      <c r="F215">
        <f t="shared" si="6"/>
        <v>-3.2399999999999998</v>
      </c>
      <c r="G215">
        <f t="shared" si="7"/>
        <v>1.4994809869928882E-2</v>
      </c>
      <c r="H215">
        <f t="shared" si="10"/>
        <v>2.0959706128579453E-3</v>
      </c>
      <c r="I215">
        <f t="shared" si="11"/>
        <v>1.4994809869928882E-2</v>
      </c>
      <c r="L215">
        <f t="shared" si="8"/>
        <v>2.0959706128579453E-3</v>
      </c>
    </row>
    <row r="216" spans="5:12" x14ac:dyDescent="0.2">
      <c r="E216">
        <f t="shared" si="9"/>
        <v>116</v>
      </c>
      <c r="F216">
        <f t="shared" si="6"/>
        <v>-3.2159999999999997</v>
      </c>
      <c r="G216">
        <f t="shared" si="7"/>
        <v>1.5403070047286055E-2</v>
      </c>
      <c r="H216">
        <f t="shared" si="10"/>
        <v>2.2648051885764829E-3</v>
      </c>
      <c r="I216">
        <f t="shared" si="11"/>
        <v>1.5403070047286055E-2</v>
      </c>
      <c r="L216">
        <f t="shared" si="8"/>
        <v>2.2648051885764829E-3</v>
      </c>
    </row>
    <row r="217" spans="5:12" x14ac:dyDescent="0.2">
      <c r="E217">
        <f t="shared" si="9"/>
        <v>117</v>
      </c>
      <c r="F217">
        <f t="shared" si="6"/>
        <v>-3.1919999999999997</v>
      </c>
      <c r="G217">
        <f t="shared" si="7"/>
        <v>1.5823850858172631E-2</v>
      </c>
      <c r="H217">
        <f t="shared" si="10"/>
        <v>2.4458305188934035E-3</v>
      </c>
      <c r="I217">
        <f t="shared" si="11"/>
        <v>1.5823850858172631E-2</v>
      </c>
      <c r="L217">
        <f t="shared" si="8"/>
        <v>2.4458305188934035E-3</v>
      </c>
    </row>
    <row r="218" spans="5:12" x14ac:dyDescent="0.2">
      <c r="E218">
        <f t="shared" si="9"/>
        <v>118</v>
      </c>
      <c r="F218">
        <f t="shared" si="6"/>
        <v>-3.1680000000000001</v>
      </c>
      <c r="G218">
        <f t="shared" si="7"/>
        <v>1.6257565788029057E-2</v>
      </c>
      <c r="H218">
        <f t="shared" si="10"/>
        <v>2.6398041948164515E-3</v>
      </c>
      <c r="I218">
        <f t="shared" si="11"/>
        <v>1.6257565788029057E-2</v>
      </c>
      <c r="L218">
        <f t="shared" si="8"/>
        <v>2.6398041948164515E-3</v>
      </c>
    </row>
    <row r="219" spans="5:12" x14ac:dyDescent="0.2">
      <c r="E219">
        <f t="shared" si="9"/>
        <v>119</v>
      </c>
      <c r="F219">
        <f t="shared" si="6"/>
        <v>-3.1440000000000001</v>
      </c>
      <c r="G219">
        <f t="shared" si="7"/>
        <v>1.6704642263344262E-2</v>
      </c>
      <c r="H219">
        <f t="shared" si="10"/>
        <v>2.8475208706519421E-3</v>
      </c>
      <c r="I219">
        <f t="shared" si="11"/>
        <v>1.6704642263344262E-2</v>
      </c>
      <c r="L219">
        <f t="shared" si="8"/>
        <v>2.8475208706519421E-3</v>
      </c>
    </row>
    <row r="220" spans="5:12" x14ac:dyDescent="0.2">
      <c r="E220">
        <f t="shared" si="9"/>
        <v>120</v>
      </c>
      <c r="F220">
        <f t="shared" si="6"/>
        <v>-3.12</v>
      </c>
      <c r="G220">
        <f t="shared" si="7"/>
        <v>1.7165522088712429E-2</v>
      </c>
      <c r="H220">
        <f t="shared" si="10"/>
        <v>3.0698133011047403E-3</v>
      </c>
      <c r="I220">
        <f t="shared" si="11"/>
        <v>1.7165522088712429E-2</v>
      </c>
      <c r="L220">
        <f t="shared" si="8"/>
        <v>3.0698133011047403E-3</v>
      </c>
    </row>
    <row r="221" spans="5:12" x14ac:dyDescent="0.2">
      <c r="E221">
        <f t="shared" si="9"/>
        <v>121</v>
      </c>
      <c r="F221">
        <f t="shared" si="6"/>
        <v>-3.0960000000000001</v>
      </c>
      <c r="G221">
        <f t="shared" si="7"/>
        <v>1.7640661893225631E-2</v>
      </c>
      <c r="H221">
        <f t="shared" si="10"/>
        <v>3.3075533463386006E-3</v>
      </c>
      <c r="I221">
        <f t="shared" si="11"/>
        <v>1.7640661893225631E-2</v>
      </c>
      <c r="L221">
        <f t="shared" si="8"/>
        <v>3.3075533463386006E-3</v>
      </c>
    </row>
    <row r="222" spans="5:12" x14ac:dyDescent="0.2">
      <c r="E222">
        <f t="shared" si="9"/>
        <v>122</v>
      </c>
      <c r="F222">
        <f t="shared" si="6"/>
        <v>-3.0720000000000001</v>
      </c>
      <c r="G222">
        <f t="shared" si="7"/>
        <v>1.8130533585946611E-2</v>
      </c>
      <c r="H222">
        <f t="shared" si="10"/>
        <v>3.5616529388703346E-3</v>
      </c>
      <c r="I222">
        <f t="shared" si="11"/>
        <v>1.8130533585946611E-2</v>
      </c>
      <c r="L222">
        <f t="shared" si="8"/>
        <v>3.5616529388703346E-3</v>
      </c>
    </row>
    <row r="223" spans="5:12" x14ac:dyDescent="0.2">
      <c r="E223">
        <f t="shared" si="9"/>
        <v>123</v>
      </c>
      <c r="F223">
        <f t="shared" si="6"/>
        <v>-3.048</v>
      </c>
      <c r="G223">
        <f t="shared" si="7"/>
        <v>1.8635624820147932E-2</v>
      </c>
      <c r="H223">
        <f t="shared" si="10"/>
        <v>3.8330650058511109E-3</v>
      </c>
      <c r="I223">
        <f t="shared" si="11"/>
        <v>1.8635624820147932E-2</v>
      </c>
      <c r="L223">
        <f t="shared" si="8"/>
        <v>3.8330650058511109E-3</v>
      </c>
    </row>
    <row r="224" spans="5:12" x14ac:dyDescent="0.2">
      <c r="E224">
        <f t="shared" si="9"/>
        <v>124</v>
      </c>
      <c r="F224">
        <f t="shared" si="6"/>
        <v>-3.024</v>
      </c>
      <c r="G224">
        <f t="shared" si="7"/>
        <v>1.9156439465939555E-2</v>
      </c>
      <c r="H224">
        <f t="shared" si="10"/>
        <v>4.122784339973702E-3</v>
      </c>
      <c r="I224">
        <f t="shared" si="11"/>
        <v>1.9156439465939555E-2</v>
      </c>
      <c r="L224">
        <f t="shared" si="8"/>
        <v>4.122784339973702E-3</v>
      </c>
    </row>
    <row r="225" spans="5:12" x14ac:dyDescent="0.2">
      <c r="E225">
        <f t="shared" si="9"/>
        <v>125</v>
      </c>
      <c r="F225">
        <f t="shared" si="6"/>
        <v>-3</v>
      </c>
      <c r="G225">
        <f t="shared" si="7"/>
        <v>1.969349809083654E-2</v>
      </c>
      <c r="H225">
        <f t="shared" si="10"/>
        <v>4.4318484119380075E-3</v>
      </c>
      <c r="I225">
        <f t="shared" si="11"/>
        <v>1.969349809083654E-2</v>
      </c>
      <c r="L225">
        <f t="shared" si="8"/>
        <v>4.4318484119380075E-3</v>
      </c>
    </row>
    <row r="226" spans="5:12" x14ac:dyDescent="0.2">
      <c r="E226">
        <f t="shared" si="9"/>
        <v>126</v>
      </c>
      <c r="F226">
        <f t="shared" si="6"/>
        <v>-2.976</v>
      </c>
      <c r="G226">
        <f t="shared" si="7"/>
        <v>2.0247338447741858E-2</v>
      </c>
      <c r="H226">
        <f t="shared" si="10"/>
        <v>4.7613381171110044E-3</v>
      </c>
      <c r="I226">
        <f t="shared" si="11"/>
        <v>2.0247338447741858E-2</v>
      </c>
      <c r="L226">
        <f t="shared" si="8"/>
        <v>4.7613381171110044E-3</v>
      </c>
    </row>
    <row r="227" spans="5:12" x14ac:dyDescent="0.2">
      <c r="E227">
        <f t="shared" si="9"/>
        <v>127</v>
      </c>
      <c r="F227">
        <f t="shared" si="6"/>
        <v>-2.952</v>
      </c>
      <c r="G227">
        <f t="shared" si="7"/>
        <v>2.0818515969735316E-2</v>
      </c>
      <c r="H227">
        <f t="shared" si="10"/>
        <v>5.1123784487336638E-3</v>
      </c>
      <c r="I227">
        <f t="shared" si="11"/>
        <v>2.0818515969735316E-2</v>
      </c>
      <c r="L227">
        <f t="shared" si="8"/>
        <v>5.1123784487336638E-3</v>
      </c>
    </row>
    <row r="228" spans="5:12" x14ac:dyDescent="0.2">
      <c r="E228">
        <f t="shared" si="9"/>
        <v>128</v>
      </c>
      <c r="F228">
        <f t="shared" ref="F228:F291" si="12">$F$98+($F$99-$F$98)/500*E228</f>
        <v>-2.9279999999999999</v>
      </c>
      <c r="G228">
        <f t="shared" ref="G228:G291" si="13">tpdf(F228,$G$97)</f>
        <v>2.140760427096788E-2</v>
      </c>
      <c r="H228">
        <f t="shared" si="10"/>
        <v>5.4861390897588055E-3</v>
      </c>
      <c r="I228">
        <f t="shared" si="11"/>
        <v>2.140760427096788E-2</v>
      </c>
      <c r="L228">
        <f t="shared" ref="L228:L291" si="14">NORMDIST(F228,$C$7,$C$8,0)</f>
        <v>5.4861390897588055E-3</v>
      </c>
    </row>
    <row r="229" spans="5:12" x14ac:dyDescent="0.2">
      <c r="E229">
        <f t="shared" ref="E229:E292" si="15">ROW(E229)-100</f>
        <v>129</v>
      </c>
      <c r="F229">
        <f t="shared" si="12"/>
        <v>-2.9039999999999999</v>
      </c>
      <c r="G229">
        <f t="shared" si="13"/>
        <v>2.2015195652861166E-2</v>
      </c>
      <c r="H229">
        <f t="shared" ref="H229:H292" si="16">NORMDIST(F229,0,1,0)</f>
        <v>5.883834915153101E-3</v>
      </c>
      <c r="I229">
        <f t="shared" ref="I229:I292" si="17">IF(ABS(F229)&gt;ABS($K$100),G229,"")</f>
        <v>2.2015195652861166E-2</v>
      </c>
      <c r="L229">
        <f t="shared" si="14"/>
        <v>5.883834915153101E-3</v>
      </c>
    </row>
    <row r="230" spans="5:12" x14ac:dyDescent="0.2">
      <c r="E230">
        <f t="shared" si="15"/>
        <v>130</v>
      </c>
      <c r="F230">
        <f t="shared" si="12"/>
        <v>-2.88</v>
      </c>
      <c r="G230">
        <f t="shared" si="13"/>
        <v>2.2641901614703371E-2</v>
      </c>
      <c r="H230">
        <f t="shared" si="16"/>
        <v>6.3067263962659275E-3</v>
      </c>
      <c r="I230">
        <f t="shared" si="17"/>
        <v>2.2641901614703371E-2</v>
      </c>
      <c r="L230">
        <f t="shared" si="14"/>
        <v>6.3067263962659275E-3</v>
      </c>
    </row>
    <row r="231" spans="5:12" x14ac:dyDescent="0.2">
      <c r="E231">
        <f t="shared" si="15"/>
        <v>131</v>
      </c>
      <c r="F231">
        <f t="shared" si="12"/>
        <v>-2.8559999999999999</v>
      </c>
      <c r="G231">
        <f t="shared" si="13"/>
        <v>2.3288353367615314E-2</v>
      </c>
      <c r="H231">
        <f t="shared" si="16"/>
        <v>6.7561198986603012E-3</v>
      </c>
      <c r="I231">
        <f t="shared" si="17"/>
        <v>2.3288353367615314E-2</v>
      </c>
      <c r="L231">
        <f t="shared" si="14"/>
        <v>6.7561198986603012E-3</v>
      </c>
    </row>
    <row r="232" spans="5:12" x14ac:dyDescent="0.2">
      <c r="E232">
        <f t="shared" si="15"/>
        <v>132</v>
      </c>
      <c r="F232">
        <f t="shared" si="12"/>
        <v>-2.8319999999999999</v>
      </c>
      <c r="G232">
        <f t="shared" si="13"/>
        <v>2.3955202350732636E-2</v>
      </c>
      <c r="H232">
        <f t="shared" si="16"/>
        <v>7.2333678646196876E-3</v>
      </c>
      <c r="I232">
        <f t="shared" si="17"/>
        <v>2.3955202350732636E-2</v>
      </c>
      <c r="L232">
        <f t="shared" si="14"/>
        <v>7.2333678646196876E-3</v>
      </c>
    </row>
    <row r="233" spans="5:12" x14ac:dyDescent="0.2">
      <c r="E233">
        <f t="shared" si="15"/>
        <v>133</v>
      </c>
      <c r="F233">
        <f t="shared" si="12"/>
        <v>-2.8079999999999998</v>
      </c>
      <c r="G233">
        <f t="shared" si="13"/>
        <v>2.4643120748312371E-2</v>
      </c>
      <c r="H233">
        <f t="shared" si="16"/>
        <v>7.739868871391698E-3</v>
      </c>
      <c r="I233">
        <f t="shared" si="17"/>
        <v>2.4643120748312371E-2</v>
      </c>
      <c r="L233">
        <f t="shared" si="14"/>
        <v>7.739868871391698E-3</v>
      </c>
    </row>
    <row r="234" spans="5:12" x14ac:dyDescent="0.2">
      <c r="E234">
        <f t="shared" si="15"/>
        <v>134</v>
      </c>
      <c r="F234">
        <f t="shared" si="12"/>
        <v>-2.7839999999999998</v>
      </c>
      <c r="G234">
        <f t="shared" si="13"/>
        <v>2.535280200632286E-2</v>
      </c>
      <c r="H234">
        <f t="shared" si="16"/>
        <v>8.2770675561084951E-3</v>
      </c>
      <c r="I234">
        <f t="shared" si="17"/>
        <v>2.535280200632286E-2</v>
      </c>
      <c r="L234">
        <f t="shared" si="14"/>
        <v>8.2770675561084951E-3</v>
      </c>
    </row>
    <row r="235" spans="5:12" x14ac:dyDescent="0.2">
      <c r="E235">
        <f t="shared" si="15"/>
        <v>135</v>
      </c>
      <c r="F235">
        <f t="shared" si="12"/>
        <v>-2.76</v>
      </c>
      <c r="G235">
        <f t="shared" si="13"/>
        <v>2.6084961346914844E-2</v>
      </c>
      <c r="H235">
        <f t="shared" si="16"/>
        <v>8.8464543982372315E-3</v>
      </c>
      <c r="I235">
        <f t="shared" si="17"/>
        <v>2.6084961346914844E-2</v>
      </c>
      <c r="L235">
        <f t="shared" si="14"/>
        <v>8.8464543982372315E-3</v>
      </c>
    </row>
    <row r="236" spans="5:12" x14ac:dyDescent="0.2">
      <c r="E236">
        <f t="shared" si="15"/>
        <v>136</v>
      </c>
      <c r="F236">
        <f t="shared" si="12"/>
        <v>-2.7359999999999998</v>
      </c>
      <c r="G236">
        <f t="shared" si="13"/>
        <v>2.6840336278998699E-2</v>
      </c>
      <c r="H236">
        <f t="shared" si="16"/>
        <v>9.4495653503647269E-3</v>
      </c>
      <c r="I236">
        <f t="shared" si="17"/>
        <v>2.6840336278998699E-2</v>
      </c>
      <c r="L236">
        <f t="shared" si="14"/>
        <v>9.4495653503647269E-3</v>
      </c>
    </row>
    <row r="237" spans="5:12" x14ac:dyDescent="0.2">
      <c r="E237">
        <f t="shared" si="15"/>
        <v>137</v>
      </c>
      <c r="F237">
        <f t="shared" si="12"/>
        <v>-2.7119999999999997</v>
      </c>
      <c r="G237">
        <f t="shared" si="13"/>
        <v>2.7619687102965432E-2</v>
      </c>
      <c r="H237">
        <f t="shared" si="16"/>
        <v>1.008798130811189E-2</v>
      </c>
      <c r="I237">
        <f t="shared" si="17"/>
        <v>2.7619687102965432E-2</v>
      </c>
      <c r="L237">
        <f t="shared" si="14"/>
        <v>1.008798130811189E-2</v>
      </c>
    </row>
    <row r="238" spans="5:12" x14ac:dyDescent="0.2">
      <c r="E238">
        <f t="shared" si="15"/>
        <v>138</v>
      </c>
      <c r="F238">
        <f t="shared" si="12"/>
        <v>-2.6879999999999997</v>
      </c>
      <c r="G238">
        <f t="shared" si="13"/>
        <v>2.8423797407389258E-2</v>
      </c>
      <c r="H238">
        <f t="shared" si="16"/>
        <v>1.0763327410007753E-2</v>
      </c>
      <c r="I238">
        <f t="shared" si="17"/>
        <v>2.8423797407389258E-2</v>
      </c>
      <c r="L238">
        <f t="shared" si="14"/>
        <v>1.0763327410007753E-2</v>
      </c>
    </row>
    <row r="239" spans="5:12" x14ac:dyDescent="0.2">
      <c r="E239">
        <f t="shared" si="15"/>
        <v>139</v>
      </c>
      <c r="F239">
        <f t="shared" si="12"/>
        <v>-2.6640000000000001</v>
      </c>
      <c r="G239">
        <f t="shared" si="13"/>
        <v>2.9253474555334027E-2</v>
      </c>
      <c r="H239">
        <f t="shared" si="16"/>
        <v>1.1477272158233751E-2</v>
      </c>
      <c r="I239">
        <f t="shared" si="17"/>
        <v>2.9253474555334027E-2</v>
      </c>
      <c r="L239">
        <f t="shared" si="14"/>
        <v>1.1477272158233751E-2</v>
      </c>
    </row>
    <row r="240" spans="5:12" x14ac:dyDescent="0.2">
      <c r="E240">
        <f t="shared" si="15"/>
        <v>140</v>
      </c>
      <c r="F240">
        <f t="shared" si="12"/>
        <v>-2.64</v>
      </c>
      <c r="G240">
        <f t="shared" si="13"/>
        <v>3.0109550157655717E-2</v>
      </c>
      <c r="H240">
        <f t="shared" si="16"/>
        <v>1.2231526351277971E-2</v>
      </c>
      <c r="I240">
        <f t="shared" si="17"/>
        <v>3.0109550157655717E-2</v>
      </c>
      <c r="L240">
        <f t="shared" si="14"/>
        <v>1.2231526351277971E-2</v>
      </c>
    </row>
    <row r="241" spans="5:12" x14ac:dyDescent="0.2">
      <c r="E241">
        <f t="shared" si="15"/>
        <v>141</v>
      </c>
      <c r="F241">
        <f t="shared" si="12"/>
        <v>-2.6160000000000001</v>
      </c>
      <c r="G241">
        <f t="shared" si="13"/>
        <v>3.0992880530446503E-2</v>
      </c>
      <c r="H241">
        <f t="shared" si="16"/>
        <v>1.3027841819719665E-2</v>
      </c>
      <c r="I241">
        <f t="shared" si="17"/>
        <v>3.0992880530446503E-2</v>
      </c>
      <c r="L241">
        <f t="shared" si="14"/>
        <v>1.3027841819719665E-2</v>
      </c>
    </row>
    <row r="242" spans="5:12" x14ac:dyDescent="0.2">
      <c r="E242">
        <f t="shared" si="15"/>
        <v>142</v>
      </c>
      <c r="F242">
        <f t="shared" si="12"/>
        <v>-2.5920000000000001</v>
      </c>
      <c r="G242">
        <f t="shared" si="13"/>
        <v>3.1904347133503305E-2</v>
      </c>
      <c r="H242">
        <f t="shared" si="16"/>
        <v>1.3868009956599181E-2</v>
      </c>
      <c r="I242">
        <f t="shared" si="17"/>
        <v>3.1904347133503305E-2</v>
      </c>
      <c r="L242">
        <f t="shared" si="14"/>
        <v>1.3868009956599181E-2</v>
      </c>
    </row>
    <row r="243" spans="5:12" x14ac:dyDescent="0.2">
      <c r="E243">
        <f t="shared" si="15"/>
        <v>143</v>
      </c>
      <c r="F243">
        <f t="shared" si="12"/>
        <v>-2.5680000000000001</v>
      </c>
      <c r="G243">
        <f t="shared" si="13"/>
        <v>3.2844856986422685E-2</v>
      </c>
      <c r="H243">
        <f t="shared" si="16"/>
        <v>1.4753860034118634E-2</v>
      </c>
      <c r="I243">
        <f t="shared" si="17"/>
        <v>3.2844856986422685E-2</v>
      </c>
      <c r="L243">
        <f t="shared" si="14"/>
        <v>1.4753860034118634E-2</v>
      </c>
    </row>
    <row r="244" spans="5:12" x14ac:dyDescent="0.2">
      <c r="E244">
        <f t="shared" si="15"/>
        <v>144</v>
      </c>
      <c r="F244">
        <f t="shared" si="12"/>
        <v>-2.544</v>
      </c>
      <c r="G244">
        <f t="shared" si="13"/>
        <v>3.3815343058625845E-2</v>
      </c>
      <c r="H244">
        <f t="shared" si="16"/>
        <v>1.5687257298768114E-2</v>
      </c>
      <c r="I244">
        <f t="shared" si="17"/>
        <v>3.3815343058625845E-2</v>
      </c>
      <c r="L244">
        <f t="shared" si="14"/>
        <v>1.5687257298768114E-2</v>
      </c>
    </row>
    <row r="245" spans="5:12" x14ac:dyDescent="0.2">
      <c r="E245">
        <f t="shared" si="15"/>
        <v>145</v>
      </c>
      <c r="F245">
        <f t="shared" si="12"/>
        <v>-2.52</v>
      </c>
      <c r="G245">
        <f t="shared" si="13"/>
        <v>3.4816764629300521E-2</v>
      </c>
      <c r="H245">
        <f t="shared" si="16"/>
        <v>1.6670100837381057E-2</v>
      </c>
      <c r="I245">
        <f t="shared" si="17"/>
        <v>3.4816764629300521E-2</v>
      </c>
      <c r="L245">
        <f t="shared" si="14"/>
        <v>1.6670100837381057E-2</v>
      </c>
    </row>
    <row r="246" spans="5:12" x14ac:dyDescent="0.2">
      <c r="E246">
        <f t="shared" si="15"/>
        <v>146</v>
      </c>
      <c r="F246">
        <f t="shared" si="12"/>
        <v>-2.496</v>
      </c>
      <c r="G246">
        <f t="shared" si="13"/>
        <v>3.5850107612909847E-2</v>
      </c>
      <c r="H246">
        <f t="shared" si="16"/>
        <v>1.7704321207094212E-2</v>
      </c>
      <c r="I246">
        <f t="shared" si="17"/>
        <v>3.5850107612909847E-2</v>
      </c>
      <c r="L246">
        <f t="shared" si="14"/>
        <v>1.7704321207094212E-2</v>
      </c>
    </row>
    <row r="247" spans="5:12" x14ac:dyDescent="0.2">
      <c r="E247">
        <f t="shared" si="15"/>
        <v>147</v>
      </c>
      <c r="F247">
        <f t="shared" si="12"/>
        <v>-2.472</v>
      </c>
      <c r="G247">
        <f t="shared" si="13"/>
        <v>3.6916384845562755E-2</v>
      </c>
      <c r="H247">
        <f t="shared" si="16"/>
        <v>1.8791877822721837E-2</v>
      </c>
      <c r="I247">
        <f t="shared" si="17"/>
        <v>3.6916384845562755E-2</v>
      </c>
      <c r="L247">
        <f t="shared" si="14"/>
        <v>1.8791877822721837E-2</v>
      </c>
    </row>
    <row r="248" spans="5:12" x14ac:dyDescent="0.2">
      <c r="E248">
        <f t="shared" si="15"/>
        <v>148</v>
      </c>
      <c r="F248">
        <f t="shared" si="12"/>
        <v>-2.448</v>
      </c>
      <c r="G248">
        <f t="shared" si="13"/>
        <v>3.8016636327164732E-2</v>
      </c>
      <c r="H248">
        <f t="shared" si="16"/>
        <v>1.993475609565365E-2</v>
      </c>
      <c r="I248">
        <f t="shared" si="17"/>
        <v>3.8016636327164732E-2</v>
      </c>
      <c r="L248">
        <f t="shared" si="14"/>
        <v>1.993475609565365E-2</v>
      </c>
    </row>
    <row r="249" spans="5:12" x14ac:dyDescent="0.2">
      <c r="E249">
        <f t="shared" si="15"/>
        <v>149</v>
      </c>
      <c r="F249">
        <f t="shared" si="12"/>
        <v>-2.4239999999999999</v>
      </c>
      <c r="G249">
        <f t="shared" si="13"/>
        <v>3.9151929413871051E-2</v>
      </c>
      <c r="H249">
        <f t="shared" si="16"/>
        <v>2.1134964319050476E-2</v>
      </c>
      <c r="I249">
        <f t="shared" si="17"/>
        <v>3.9151929413871051E-2</v>
      </c>
      <c r="L249">
        <f t="shared" si="14"/>
        <v>2.1134964319050476E-2</v>
      </c>
    </row>
    <row r="250" spans="5:12" x14ac:dyDescent="0.2">
      <c r="E250">
        <f t="shared" si="15"/>
        <v>150</v>
      </c>
      <c r="F250">
        <f t="shared" si="12"/>
        <v>-2.4</v>
      </c>
      <c r="G250">
        <f t="shared" si="13"/>
        <v>4.0323358954948263E-2</v>
      </c>
      <c r="H250">
        <f t="shared" si="16"/>
        <v>2.2394530294842899E-2</v>
      </c>
      <c r="I250">
        <f t="shared" si="17"/>
        <v>4.0323358954948263E-2</v>
      </c>
      <c r="L250">
        <f t="shared" si="14"/>
        <v>2.2394530294842899E-2</v>
      </c>
    </row>
    <row r="251" spans="5:12" x14ac:dyDescent="0.2">
      <c r="E251">
        <f t="shared" si="15"/>
        <v>151</v>
      </c>
      <c r="F251">
        <f t="shared" si="12"/>
        <v>-2.3759999999999999</v>
      </c>
      <c r="G251">
        <f t="shared" si="13"/>
        <v>4.1532047367712856E-2</v>
      </c>
      <c r="H251">
        <f t="shared" si="16"/>
        <v>2.3715497698834857E-2</v>
      </c>
      <c r="I251">
        <f t="shared" si="17"/>
        <v>4.1532047367712856E-2</v>
      </c>
      <c r="L251">
        <f t="shared" si="14"/>
        <v>2.3715497698834857E-2</v>
      </c>
    </row>
    <row r="252" spans="5:12" x14ac:dyDescent="0.2">
      <c r="E252">
        <f t="shared" si="15"/>
        <v>152</v>
      </c>
      <c r="F252">
        <f t="shared" si="12"/>
        <v>-2.3519999999999999</v>
      </c>
      <c r="G252">
        <f t="shared" si="13"/>
        <v>4.2779144643757885E-2</v>
      </c>
      <c r="H252">
        <f t="shared" si="16"/>
        <v>2.5099922181077771E-2</v>
      </c>
      <c r="I252">
        <f t="shared" si="17"/>
        <v>4.2779144643757885E-2</v>
      </c>
      <c r="L252">
        <f t="shared" si="14"/>
        <v>2.5099922181077771E-2</v>
      </c>
    </row>
    <row r="253" spans="5:12" x14ac:dyDescent="0.2">
      <c r="E253">
        <f t="shared" si="15"/>
        <v>153</v>
      </c>
      <c r="F253">
        <f t="shared" si="12"/>
        <v>-2.3279999999999998</v>
      </c>
      <c r="G253">
        <f t="shared" si="13"/>
        <v>4.4065828279201753E-2</v>
      </c>
      <c r="H253">
        <f t="shared" si="16"/>
        <v>2.65498671996088E-2</v>
      </c>
      <c r="I253">
        <f t="shared" si="17"/>
        <v>4.4065828279201753E-2</v>
      </c>
      <c r="L253">
        <f t="shared" si="14"/>
        <v>2.65498671996088E-2</v>
      </c>
    </row>
    <row r="254" spans="5:12" x14ac:dyDescent="0.2">
      <c r="E254">
        <f t="shared" si="15"/>
        <v>154</v>
      </c>
      <c r="F254">
        <f t="shared" si="12"/>
        <v>-2.3039999999999998</v>
      </c>
      <c r="G254">
        <f t="shared" si="13"/>
        <v>4.5393303121195973E-2</v>
      </c>
      <c r="H254">
        <f t="shared" si="16"/>
        <v>2.8067399586640101E-2</v>
      </c>
      <c r="I254">
        <f t="shared" si="17"/>
        <v>4.5393303121195973E-2</v>
      </c>
      <c r="L254">
        <f t="shared" si="14"/>
        <v>2.8067399586640101E-2</v>
      </c>
    </row>
    <row r="255" spans="5:12" x14ac:dyDescent="0.2">
      <c r="E255">
        <f t="shared" si="15"/>
        <v>155</v>
      </c>
      <c r="F255">
        <f t="shared" si="12"/>
        <v>-2.2799999999999998</v>
      </c>
      <c r="G255">
        <f t="shared" si="13"/>
        <v>4.6762801122413621E-2</v>
      </c>
      <c r="H255">
        <f t="shared" si="16"/>
        <v>2.9654584847341278E-2</v>
      </c>
      <c r="I255">
        <f t="shared" si="17"/>
        <v>4.6762801122413621E-2</v>
      </c>
      <c r="L255">
        <f t="shared" si="14"/>
        <v>2.9654584847341278E-2</v>
      </c>
    </row>
    <row r="256" spans="5:12" x14ac:dyDescent="0.2">
      <c r="E256">
        <f t="shared" si="15"/>
        <v>156</v>
      </c>
      <c r="F256">
        <f t="shared" si="12"/>
        <v>-2.2559999999999998</v>
      </c>
      <c r="G256">
        <f t="shared" si="13"/>
        <v>4.8175580994708166E-2</v>
      </c>
      <c r="H256">
        <f t="shared" si="16"/>
        <v>3.131348219247429E-2</v>
      </c>
      <c r="I256">
        <f t="shared" si="17"/>
        <v>4.8175580994708166E-2</v>
      </c>
      <c r="L256">
        <f t="shared" si="14"/>
        <v>3.131348219247429E-2</v>
      </c>
    </row>
    <row r="257" spans="5:12" x14ac:dyDescent="0.2">
      <c r="E257">
        <f t="shared" si="15"/>
        <v>157</v>
      </c>
      <c r="F257">
        <f t="shared" si="12"/>
        <v>-2.2319999999999998</v>
      </c>
      <c r="G257">
        <f t="shared" si="13"/>
        <v>4.9632927752582955E-2</v>
      </c>
      <c r="H257">
        <f t="shared" si="16"/>
        <v>3.3046139307314849E-2</v>
      </c>
      <c r="I257">
        <f t="shared" si="17"/>
        <v>4.9632927752582955E-2</v>
      </c>
      <c r="L257">
        <f t="shared" si="14"/>
        <v>3.3046139307314849E-2</v>
      </c>
    </row>
    <row r="258" spans="5:12" x14ac:dyDescent="0.2">
      <c r="E258">
        <f t="shared" si="15"/>
        <v>158</v>
      </c>
      <c r="F258">
        <f t="shared" si="12"/>
        <v>-2.2079999999999997</v>
      </c>
      <c r="G258">
        <f t="shared" si="13"/>
        <v>5.1136152136550247E-2</v>
      </c>
      <c r="H258">
        <f t="shared" si="16"/>
        <v>3.4854586860525442E-2</v>
      </c>
      <c r="I258">
        <f t="shared" si="17"/>
        <v>5.1136152136550247E-2</v>
      </c>
      <c r="L258">
        <f t="shared" si="14"/>
        <v>3.4854586860525442E-2</v>
      </c>
    </row>
    <row r="259" spans="5:12" x14ac:dyDescent="0.2">
      <c r="E259">
        <f t="shared" si="15"/>
        <v>159</v>
      </c>
      <c r="F259">
        <f t="shared" si="12"/>
        <v>-2.1839999999999997</v>
      </c>
      <c r="G259">
        <f t="shared" si="13"/>
        <v>5.2686589905883791E-2</v>
      </c>
      <c r="H259">
        <f t="shared" si="16"/>
        <v>3.6740832757928034E-2</v>
      </c>
      <c r="I259">
        <f t="shared" si="17"/>
        <v>5.2686589905883791E-2</v>
      </c>
      <c r="L259">
        <f t="shared" si="14"/>
        <v>3.6740832757928034E-2</v>
      </c>
    </row>
    <row r="260" spans="5:12" x14ac:dyDescent="0.2">
      <c r="E260">
        <f t="shared" si="15"/>
        <v>160</v>
      </c>
      <c r="F260">
        <f t="shared" si="12"/>
        <v>-2.16</v>
      </c>
      <c r="G260">
        <f t="shared" si="13"/>
        <v>5.4285600989687266E-2</v>
      </c>
      <c r="H260">
        <f t="shared" si="16"/>
        <v>3.8706856147455608E-2</v>
      </c>
      <c r="I260">
        <f t="shared" si="17"/>
        <v>5.4285600989687266E-2</v>
      </c>
      <c r="L260">
        <f t="shared" si="14"/>
        <v>3.8706856147455608E-2</v>
      </c>
    </row>
    <row r="261" spans="5:12" x14ac:dyDescent="0.2">
      <c r="E261">
        <f t="shared" si="15"/>
        <v>161</v>
      </c>
      <c r="F261">
        <f t="shared" si="12"/>
        <v>-2.1360000000000001</v>
      </c>
      <c r="G261">
        <f t="shared" si="13"/>
        <v>5.5934568484611209E-2</v>
      </c>
      <c r="H261">
        <f t="shared" si="16"/>
        <v>4.0754601182937548E-2</v>
      </c>
      <c r="I261">
        <f t="shared" si="17"/>
        <v>5.5934568484611209E-2</v>
      </c>
      <c r="L261">
        <f t="shared" si="14"/>
        <v>4.0754601182937548E-2</v>
      </c>
    </row>
    <row r="262" spans="5:12" x14ac:dyDescent="0.2">
      <c r="E262">
        <f t="shared" si="15"/>
        <v>162</v>
      </c>
      <c r="F262">
        <f t="shared" si="12"/>
        <v>-2.1120000000000001</v>
      </c>
      <c r="G262">
        <f t="shared" si="13"/>
        <v>5.7634897486962051E-2</v>
      </c>
      <c r="H262">
        <f t="shared" si="16"/>
        <v>4.2885970555787321E-2</v>
      </c>
      <c r="I262">
        <f t="shared" si="17"/>
        <v>5.7634897486962051E-2</v>
      </c>
      <c r="L262">
        <f t="shared" si="14"/>
        <v>4.2885970555787321E-2</v>
      </c>
    </row>
    <row r="263" spans="5:12" x14ac:dyDescent="0.2">
      <c r="E263">
        <f t="shared" si="15"/>
        <v>163</v>
      </c>
      <c r="F263">
        <f t="shared" si="12"/>
        <v>-2.0880000000000001</v>
      </c>
      <c r="G263">
        <f t="shared" si="13"/>
        <v>5.9388013746360491E-2</v>
      </c>
      <c r="H263">
        <f t="shared" si="16"/>
        <v>4.5102818805110016E-2</v>
      </c>
      <c r="I263">
        <f t="shared" si="17"/>
        <v>5.9388013746360491E-2</v>
      </c>
      <c r="L263">
        <f t="shared" si="14"/>
        <v>4.5102818805110016E-2</v>
      </c>
    </row>
    <row r="264" spans="5:12" x14ac:dyDescent="0.2">
      <c r="E264">
        <f t="shared" si="15"/>
        <v>164</v>
      </c>
      <c r="F264">
        <f t="shared" si="12"/>
        <v>-2.0640000000000001</v>
      </c>
      <c r="G264">
        <f t="shared" si="13"/>
        <v>6.1195362127525903E-2</v>
      </c>
      <c r="H264">
        <f t="shared" si="16"/>
        <v>4.7406945418221713E-2</v>
      </c>
      <c r="I264">
        <f t="shared" si="17"/>
        <v>6.1195362127525903E-2</v>
      </c>
      <c r="L264">
        <f t="shared" si="14"/>
        <v>4.7406945418221713E-2</v>
      </c>
    </row>
    <row r="265" spans="5:12" x14ac:dyDescent="0.2">
      <c r="E265">
        <f t="shared" si="15"/>
        <v>165</v>
      </c>
      <c r="F265">
        <f t="shared" si="12"/>
        <v>-2.04</v>
      </c>
      <c r="G265">
        <f t="shared" si="13"/>
        <v>6.3058404866201748E-2</v>
      </c>
      <c r="H265">
        <f t="shared" si="16"/>
        <v>4.9800087735070775E-2</v>
      </c>
      <c r="I265">
        <f t="shared" si="17"/>
        <v>6.3058404866201748E-2</v>
      </c>
      <c r="L265">
        <f t="shared" si="14"/>
        <v>4.9800087735070775E-2</v>
      </c>
    </row>
    <row r="266" spans="5:12" x14ac:dyDescent="0.2">
      <c r="E266">
        <f t="shared" si="15"/>
        <v>166</v>
      </c>
      <c r="F266">
        <f t="shared" si="12"/>
        <v>-2.016</v>
      </c>
      <c r="G266">
        <f t="shared" si="13"/>
        <v>6.4978619604691076E-2</v>
      </c>
      <c r="H266">
        <f t="shared" si="16"/>
        <v>5.2283913671562113E-2</v>
      </c>
      <c r="I266">
        <f t="shared" si="17"/>
        <v>6.4978619604691076E-2</v>
      </c>
      <c r="L266">
        <f t="shared" si="14"/>
        <v>5.2283913671562113E-2</v>
      </c>
    </row>
    <row r="267" spans="5:12" x14ac:dyDescent="0.2">
      <c r="E267">
        <f t="shared" si="15"/>
        <v>167</v>
      </c>
      <c r="F267">
        <f t="shared" si="12"/>
        <v>-1.992</v>
      </c>
      <c r="G267">
        <f t="shared" si="13"/>
        <v>6.6957497191959731E-2</v>
      </c>
      <c r="H267">
        <f t="shared" si="16"/>
        <v>5.4860014278304732E-2</v>
      </c>
      <c r="I267">
        <f t="shared" si="17"/>
        <v>6.6957497191959731E-2</v>
      </c>
      <c r="L267">
        <f t="shared" si="14"/>
        <v>5.4860014278304732E-2</v>
      </c>
    </row>
    <row r="268" spans="5:12" x14ac:dyDescent="0.2">
      <c r="E268">
        <f t="shared" si="15"/>
        <v>168</v>
      </c>
      <c r="F268">
        <f t="shared" si="12"/>
        <v>-1.968</v>
      </c>
      <c r="G268">
        <f t="shared" si="13"/>
        <v>6.8996539232785856E-2</v>
      </c>
      <c r="H268">
        <f t="shared" si="16"/>
        <v>5.7529896152820871E-2</v>
      </c>
      <c r="I268">
        <f t="shared" si="17"/>
        <v>6.8996539232785856E-2</v>
      </c>
      <c r="L268">
        <f t="shared" si="14"/>
        <v>5.7529896152820871E-2</v>
      </c>
    </row>
    <row r="269" spans="5:12" x14ac:dyDescent="0.2">
      <c r="E269">
        <f t="shared" si="15"/>
        <v>169</v>
      </c>
      <c r="F269">
        <f t="shared" si="12"/>
        <v>-1.944</v>
      </c>
      <c r="G269">
        <f t="shared" si="13"/>
        <v>7.1097255370006926E-2</v>
      </c>
      <c r="H269">
        <f t="shared" si="16"/>
        <v>6.0294973724765701E-2</v>
      </c>
      <c r="I269">
        <f t="shared" si="17"/>
        <v>7.1097255370006926E-2</v>
      </c>
      <c r="L269">
        <f t="shared" si="14"/>
        <v>6.0294973724765701E-2</v>
      </c>
    </row>
    <row r="270" spans="5:12" x14ac:dyDescent="0.2">
      <c r="E270">
        <f t="shared" si="15"/>
        <v>170</v>
      </c>
      <c r="F270">
        <f t="shared" si="12"/>
        <v>-1.92</v>
      </c>
      <c r="G270">
        <f t="shared" si="13"/>
        <v>7.3261160283543431E-2</v>
      </c>
      <c r="H270">
        <f t="shared" si="16"/>
        <v>6.3156561435198655E-2</v>
      </c>
      <c r="I270">
        <f t="shared" si="17"/>
        <v>7.3261160283543431E-2</v>
      </c>
      <c r="L270">
        <f t="shared" si="14"/>
        <v>6.3156561435198655E-2</v>
      </c>
    </row>
    <row r="271" spans="5:12" x14ac:dyDescent="0.2">
      <c r="E271">
        <f t="shared" si="15"/>
        <v>171</v>
      </c>
      <c r="F271">
        <f t="shared" si="12"/>
        <v>-1.8959999999999999</v>
      </c>
      <c r="G271">
        <f t="shared" si="13"/>
        <v>7.5489770389578395E-2</v>
      </c>
      <c r="H271">
        <f t="shared" si="16"/>
        <v>6.6115865832415521E-2</v>
      </c>
      <c r="I271">
        <f t="shared" si="17"/>
        <v>7.5489770389578395E-2</v>
      </c>
      <c r="L271">
        <f t="shared" si="14"/>
        <v>6.6115865832415521E-2</v>
      </c>
    </row>
    <row r="272" spans="5:12" x14ac:dyDescent="0.2">
      <c r="E272">
        <f t="shared" si="15"/>
        <v>172</v>
      </c>
      <c r="F272">
        <f t="shared" si="12"/>
        <v>-1.8719999999999999</v>
      </c>
      <c r="G272">
        <f t="shared" si="13"/>
        <v>7.7784600223053182E-2</v>
      </c>
      <c r="H272">
        <f t="shared" si="16"/>
        <v>6.9173977608282505E-2</v>
      </c>
      <c r="I272">
        <f t="shared" si="17"/>
        <v>7.7784600223053182E-2</v>
      </c>
      <c r="L272">
        <f t="shared" si="14"/>
        <v>6.9173977608282505E-2</v>
      </c>
    </row>
    <row r="273" spans="5:12" x14ac:dyDescent="0.2">
      <c r="E273">
        <f t="shared" si="15"/>
        <v>173</v>
      </c>
      <c r="F273">
        <f t="shared" si="12"/>
        <v>-1.8479999999999999</v>
      </c>
      <c r="G273">
        <f t="shared" si="13"/>
        <v>8.0147158486520917E-2</v>
      </c>
      <c r="H273">
        <f t="shared" si="16"/>
        <v>7.2331863600401836E-2</v>
      </c>
      <c r="I273">
        <f t="shared" si="17"/>
        <v>8.0147158486520917E-2</v>
      </c>
      <c r="L273">
        <f t="shared" si="14"/>
        <v>7.2331863600401836E-2</v>
      </c>
    </row>
    <row r="274" spans="5:12" x14ac:dyDescent="0.2">
      <c r="E274">
        <f t="shared" si="15"/>
        <v>174</v>
      </c>
      <c r="F274">
        <f t="shared" si="12"/>
        <v>-1.8239999999999998</v>
      </c>
      <c r="G274">
        <f t="shared" si="13"/>
        <v>8.2578943748390934E-2</v>
      </c>
      <c r="H274">
        <f t="shared" si="16"/>
        <v>7.5590358786774225E-2</v>
      </c>
      <c r="I274">
        <f t="shared" si="17"/>
        <v>8.2578943748390934E-2</v>
      </c>
      <c r="L274">
        <f t="shared" si="14"/>
        <v>7.5590358786774225E-2</v>
      </c>
    </row>
    <row r="275" spans="5:12" x14ac:dyDescent="0.2">
      <c r="E275">
        <f t="shared" si="15"/>
        <v>175</v>
      </c>
      <c r="F275">
        <f t="shared" si="12"/>
        <v>-1.7999999999999998</v>
      </c>
      <c r="G275">
        <f t="shared" si="13"/>
        <v>8.5081439773721027E-2</v>
      </c>
      <c r="H275">
        <f t="shared" si="16"/>
        <v>7.8950158300894177E-2</v>
      </c>
      <c r="I275">
        <f t="shared" si="17"/>
        <v>8.5081439773721027E-2</v>
      </c>
      <c r="L275">
        <f t="shared" si="14"/>
        <v>7.8950158300894177E-2</v>
      </c>
    </row>
    <row r="276" spans="5:12" x14ac:dyDescent="0.2">
      <c r="E276">
        <f t="shared" si="15"/>
        <v>176</v>
      </c>
      <c r="F276">
        <f t="shared" si="12"/>
        <v>-1.7759999999999998</v>
      </c>
      <c r="G276">
        <f t="shared" si="13"/>
        <v>8.7656110470984094E-2</v>
      </c>
      <c r="H276">
        <f t="shared" si="16"/>
        <v>8.2411809496414523E-2</v>
      </c>
      <c r="I276">
        <f t="shared" si="17"/>
        <v>8.7656110470984094E-2</v>
      </c>
      <c r="L276">
        <f t="shared" si="14"/>
        <v>8.2411809496414523E-2</v>
      </c>
    </row>
    <row r="277" spans="5:12" x14ac:dyDescent="0.2">
      <c r="E277">
        <f t="shared" si="15"/>
        <v>177</v>
      </c>
      <c r="F277">
        <f t="shared" si="12"/>
        <v>-1.7519999999999998</v>
      </c>
      <c r="G277">
        <f t="shared" si="13"/>
        <v>9.030439443867351E-2</v>
      </c>
      <c r="H277">
        <f t="shared" si="16"/>
        <v>8.5975704091632174E-2</v>
      </c>
      <c r="I277">
        <f t="shared" si="17"/>
        <v>9.030439443867351E-2</v>
      </c>
      <c r="L277">
        <f t="shared" si="14"/>
        <v>8.5975704091632174E-2</v>
      </c>
    </row>
    <row r="278" spans="5:12" x14ac:dyDescent="0.2">
      <c r="E278">
        <f t="shared" si="15"/>
        <v>178</v>
      </c>
      <c r="F278">
        <f t="shared" si="12"/>
        <v>-1.7279999999999998</v>
      </c>
      <c r="G278">
        <f t="shared" si="13"/>
        <v>9.3027699096236496E-2</v>
      </c>
      <c r="H278">
        <f t="shared" si="16"/>
        <v>8.9642070425072398E-2</v>
      </c>
      <c r="I278">
        <f t="shared" si="17"/>
        <v>9.3027699096236496E-2</v>
      </c>
      <c r="L278">
        <f t="shared" si="14"/>
        <v>8.9642070425072398E-2</v>
      </c>
    </row>
    <row r="279" spans="5:12" x14ac:dyDescent="0.2">
      <c r="E279">
        <f t="shared" si="15"/>
        <v>179</v>
      </c>
      <c r="F279">
        <f t="shared" si="12"/>
        <v>-1.7039999999999997</v>
      </c>
      <c r="G279">
        <f t="shared" si="13"/>
        <v>9.5827394384657982E-2</v>
      </c>
      <c r="H279">
        <f t="shared" si="16"/>
        <v>9.3410965854371211E-2</v>
      </c>
      <c r="I279">
        <f t="shared" si="17"/>
        <v>9.5827394384657982E-2</v>
      </c>
      <c r="L279">
        <f t="shared" si="14"/>
        <v>9.3410965854371211E-2</v>
      </c>
    </row>
    <row r="280" spans="5:12" x14ac:dyDescent="0.2">
      <c r="E280">
        <f t="shared" si="15"/>
        <v>180</v>
      </c>
      <c r="F280">
        <f t="shared" si="12"/>
        <v>-1.6799999999999997</v>
      </c>
      <c r="G280">
        <f t="shared" si="13"/>
        <v>9.8704806023082334E-2</v>
      </c>
      <c r="H280">
        <f t="shared" si="16"/>
        <v>9.7282269331467539E-2</v>
      </c>
      <c r="I280">
        <f t="shared" si="17"/>
        <v>9.8704806023082334E-2</v>
      </c>
      <c r="L280">
        <f t="shared" si="14"/>
        <v>9.7282269331467539E-2</v>
      </c>
    </row>
    <row r="281" spans="5:12" x14ac:dyDescent="0.2">
      <c r="E281">
        <f t="shared" si="15"/>
        <v>181</v>
      </c>
      <c r="F281">
        <f t="shared" si="12"/>
        <v>-1.6559999999999997</v>
      </c>
      <c r="G281">
        <f t="shared" si="13"/>
        <v>0.10166120830917896</v>
      </c>
      <c r="H281">
        <f t="shared" si="16"/>
        <v>0.10125567418780883</v>
      </c>
      <c r="I281">
        <f t="shared" si="17"/>
        <v>0.10166120830917896</v>
      </c>
      <c r="L281">
        <f t="shared" si="14"/>
        <v>0.10125567418780883</v>
      </c>
    </row>
    <row r="282" spans="5:12" x14ac:dyDescent="0.2">
      <c r="E282">
        <f t="shared" si="15"/>
        <v>182</v>
      </c>
      <c r="F282">
        <f t="shared" si="12"/>
        <v>-1.6319999999999997</v>
      </c>
      <c r="G282">
        <f t="shared" si="13"/>
        <v>0.10469781645255553</v>
      </c>
      <c r="H282">
        <f t="shared" si="16"/>
        <v>0.10533068116383558</v>
      </c>
      <c r="I282">
        <f t="shared" si="17"/>
        <v>0.10469781645255553</v>
      </c>
      <c r="L282">
        <f t="shared" si="14"/>
        <v>0.10533068116383558</v>
      </c>
    </row>
    <row r="283" spans="5:12" x14ac:dyDescent="0.2">
      <c r="E283">
        <f t="shared" si="15"/>
        <v>183</v>
      </c>
      <c r="F283">
        <f t="shared" si="12"/>
        <v>-1.6079999999999997</v>
      </c>
      <c r="G283">
        <f t="shared" si="13"/>
        <v>0.1078157784324207</v>
      </c>
      <c r="H283">
        <f t="shared" si="16"/>
        <v>0.1095065917174368</v>
      </c>
      <c r="I283">
        <f t="shared" si="17"/>
        <v>0.1078157784324207</v>
      </c>
      <c r="L283">
        <f t="shared" si="14"/>
        <v>0.1095065917174368</v>
      </c>
    </row>
    <row r="284" spans="5:12" x14ac:dyDescent="0.2">
      <c r="E284">
        <f t="shared" si="15"/>
        <v>184</v>
      </c>
      <c r="F284">
        <f t="shared" si="12"/>
        <v>-1.5839999999999996</v>
      </c>
      <c r="G284">
        <f t="shared" si="13"/>
        <v>0.11101616637292511</v>
      </c>
      <c r="H284">
        <f t="shared" si="16"/>
        <v>0.11378250164634682</v>
      </c>
      <c r="I284">
        <f t="shared" si="17"/>
        <v>0.11101616637292511</v>
      </c>
      <c r="L284">
        <f t="shared" si="14"/>
        <v>0.11378250164634682</v>
      </c>
    </row>
    <row r="285" spans="5:12" x14ac:dyDescent="0.2">
      <c r="E285">
        <f t="shared" si="15"/>
        <v>185</v>
      </c>
      <c r="F285">
        <f t="shared" si="12"/>
        <v>-1.5599999999999996</v>
      </c>
      <c r="G285">
        <f t="shared" si="13"/>
        <v>0.11429996743218467</v>
      </c>
      <c r="H285">
        <f t="shared" si="16"/>
        <v>0.11815729505958236</v>
      </c>
      <c r="I285">
        <f t="shared" si="17"/>
        <v>0.11429996743218467</v>
      </c>
      <c r="L285">
        <f t="shared" si="14"/>
        <v>0.11815729505958236</v>
      </c>
    </row>
    <row r="286" spans="5:12" x14ac:dyDescent="0.2">
      <c r="E286">
        <f t="shared" si="15"/>
        <v>186</v>
      </c>
      <c r="F286">
        <f t="shared" si="12"/>
        <v>-1.5359999999999996</v>
      </c>
      <c r="G286">
        <f t="shared" si="13"/>
        <v>0.11766807420394038</v>
      </c>
      <c r="H286">
        <f t="shared" si="16"/>
        <v>0.12262963873298507</v>
      </c>
      <c r="I286">
        <f t="shared" si="17"/>
        <v>0.11766807420394038</v>
      </c>
      <c r="L286">
        <f t="shared" si="14"/>
        <v>0.12262963873298507</v>
      </c>
    </row>
    <row r="287" spans="5:12" x14ac:dyDescent="0.2">
      <c r="E287">
        <f t="shared" si="15"/>
        <v>187</v>
      </c>
      <c r="F287">
        <f t="shared" si="12"/>
        <v>-1.5119999999999996</v>
      </c>
      <c r="G287">
        <f t="shared" si="13"/>
        <v>0.12112127463415484</v>
      </c>
      <c r="H287">
        <f t="shared" si="16"/>
        <v>0.12719797688373657</v>
      </c>
      <c r="I287">
        <f t="shared" si="17"/>
        <v>0.12112127463415484</v>
      </c>
      <c r="L287">
        <f t="shared" si="14"/>
        <v>0.12719797688373657</v>
      </c>
    </row>
    <row r="288" spans="5:12" x14ac:dyDescent="0.2">
      <c r="E288">
        <f t="shared" si="15"/>
        <v>188</v>
      </c>
      <c r="F288">
        <f t="shared" si="12"/>
        <v>-1.4879999999999995</v>
      </c>
      <c r="G288">
        <f t="shared" si="13"/>
        <v>0.12466024145860648</v>
      </c>
      <c r="H288">
        <f t="shared" si="16"/>
        <v>0.13186052639834289</v>
      </c>
      <c r="I288">
        <f t="shared" si="17"/>
        <v>0.12466024145860648</v>
      </c>
      <c r="L288">
        <f t="shared" si="14"/>
        <v>0.13186052639834289</v>
      </c>
    </row>
    <row r="289" spans="5:12" x14ac:dyDescent="0.2">
      <c r="E289">
        <f t="shared" si="15"/>
        <v>189</v>
      </c>
      <c r="F289">
        <f t="shared" si="12"/>
        <v>-1.4639999999999995</v>
      </c>
      <c r="G289">
        <f t="shared" si="13"/>
        <v>0.12828552117174047</v>
      </c>
      <c r="H289">
        <f t="shared" si="16"/>
        <v>0.13661527254803907</v>
      </c>
      <c r="I289">
        <f t="shared" si="17"/>
        <v>0.12828552117174047</v>
      </c>
      <c r="L289">
        <f t="shared" si="14"/>
        <v>0.13661527254803907</v>
      </c>
    </row>
    <row r="290" spans="5:12" x14ac:dyDescent="0.2">
      <c r="E290">
        <f t="shared" si="15"/>
        <v>190</v>
      </c>
      <c r="F290">
        <f t="shared" si="12"/>
        <v>-1.4399999999999995</v>
      </c>
      <c r="G290">
        <f t="shared" si="13"/>
        <v>0.13199752254167918</v>
      </c>
      <c r="H290">
        <f t="shared" si="16"/>
        <v>0.14145996522483889</v>
      </c>
      <c r="I290">
        <f t="shared" si="17"/>
        <v>0.13199752254167918</v>
      </c>
      <c r="L290">
        <f t="shared" si="14"/>
        <v>0.14145996522483889</v>
      </c>
    </row>
    <row r="291" spans="5:12" x14ac:dyDescent="0.2">
      <c r="E291">
        <f t="shared" si="15"/>
        <v>191</v>
      </c>
      <c r="F291">
        <f t="shared" si="12"/>
        <v>-1.4159999999999995</v>
      </c>
      <c r="G291">
        <f t="shared" si="13"/>
        <v>0.13579650469140442</v>
      </c>
      <c r="H291">
        <f t="shared" si="16"/>
        <v>0.1463921157305457</v>
      </c>
      <c r="I291">
        <f t="shared" si="17"/>
        <v>0.13579650469140442</v>
      </c>
      <c r="L291">
        <f t="shared" si="14"/>
        <v>0.1463921157305457</v>
      </c>
    </row>
    <row r="292" spans="5:12" x14ac:dyDescent="0.2">
      <c r="E292">
        <f t="shared" si="15"/>
        <v>192</v>
      </c>
      <c r="F292">
        <f t="shared" ref="F292:F355" si="18">$F$98+($F$99-$F$98)/500*E292</f>
        <v>-1.3919999999999995</v>
      </c>
      <c r="G292">
        <f t="shared" ref="G292:G355" si="19">tpdf(F292,$G$97)</f>
        <v>0.13968256477169544</v>
      </c>
      <c r="H292">
        <f t="shared" si="16"/>
        <v>0.15140899414994635</v>
      </c>
      <c r="I292">
        <f t="shared" si="17"/>
        <v>0.13968256477169544</v>
      </c>
      <c r="L292">
        <f t="shared" ref="L292:L355" si="20">NORMDIST(F292,$C$7,$C$8,0)</f>
        <v>0.15140899414994635</v>
      </c>
    </row>
    <row r="293" spans="5:12" x14ac:dyDescent="0.2">
      <c r="E293">
        <f t="shared" ref="E293:E356" si="21">ROW(E293)-100</f>
        <v>193</v>
      </c>
      <c r="F293">
        <f t="shared" si="18"/>
        <v>-1.3680000000000003</v>
      </c>
      <c r="G293">
        <f t="shared" si="19"/>
        <v>0.14365562525745446</v>
      </c>
      <c r="H293">
        <f t="shared" ref="H293:H356" si="22">NORMDIST(F293,0,1,0)</f>
        <v>0.15650762733813126</v>
      </c>
      <c r="I293">
        <f t="shared" ref="I293:I356" si="23">IF(ABS(F293)&gt;ABS($K$100),G293,"")</f>
        <v>0.14365562525745446</v>
      </c>
      <c r="L293">
        <f t="shared" si="20"/>
        <v>0.15650762733813126</v>
      </c>
    </row>
    <row r="294" spans="5:12" x14ac:dyDescent="0.2">
      <c r="E294">
        <f t="shared" si="21"/>
        <v>194</v>
      </c>
      <c r="F294">
        <f t="shared" si="18"/>
        <v>-1.3440000000000003</v>
      </c>
      <c r="G294">
        <f t="shared" si="19"/>
        <v>0.14771542090555762</v>
      </c>
      <c r="H294">
        <f t="shared" si="22"/>
        <v>0.1616847975504194</v>
      </c>
      <c r="I294">
        <f t="shared" si="23"/>
        <v>0.14771542090555762</v>
      </c>
      <c r="L294">
        <f t="shared" si="20"/>
        <v>0.1616847975504194</v>
      </c>
    </row>
    <row r="295" spans="5:12" x14ac:dyDescent="0.2">
      <c r="E295">
        <f t="shared" si="21"/>
        <v>195</v>
      </c>
      <c r="F295">
        <f t="shared" si="18"/>
        <v>-1.3200000000000003</v>
      </c>
      <c r="G295">
        <f t="shared" si="19"/>
        <v>0.15186148541933012</v>
      </c>
      <c r="H295">
        <f t="shared" si="22"/>
        <v>0.16693704174171375</v>
      </c>
      <c r="I295">
        <f t="shared" si="23"/>
        <v>0.15186148541933012</v>
      </c>
      <c r="L295">
        <f t="shared" si="20"/>
        <v>0.16693704174171375</v>
      </c>
    </row>
    <row r="296" spans="5:12" x14ac:dyDescent="0.2">
      <c r="E296">
        <f t="shared" si="21"/>
        <v>196</v>
      </c>
      <c r="F296">
        <f t="shared" si="18"/>
        <v>-1.2960000000000003</v>
      </c>
      <c r="G296">
        <f t="shared" si="19"/>
        <v>0.15609313787214149</v>
      </c>
      <c r="H296">
        <f t="shared" si="22"/>
        <v>0.17226065156028758</v>
      </c>
      <c r="I296">
        <f t="shared" si="23"/>
        <v>0.15609313787214149</v>
      </c>
      <c r="L296">
        <f t="shared" si="20"/>
        <v>0.17226065156028758</v>
      </c>
    </row>
    <row r="297" spans="5:12" x14ac:dyDescent="0.2">
      <c r="E297">
        <f t="shared" si="21"/>
        <v>197</v>
      </c>
      <c r="F297">
        <f t="shared" si="18"/>
        <v>-1.2720000000000002</v>
      </c>
      <c r="G297">
        <f t="shared" si="19"/>
        <v>0.160409468950407</v>
      </c>
      <c r="H297">
        <f t="shared" si="22"/>
        <v>0.1776516740589851</v>
      </c>
      <c r="I297">
        <f t="shared" si="23"/>
        <v>0.160409468950407</v>
      </c>
      <c r="L297">
        <f t="shared" si="20"/>
        <v>0.1776516740589851</v>
      </c>
    </row>
    <row r="298" spans="5:12" x14ac:dyDescent="0.2">
      <c r="E298">
        <f t="shared" si="21"/>
        <v>198</v>
      </c>
      <c r="F298">
        <f t="shared" si="18"/>
        <v>-1.2480000000000002</v>
      </c>
      <c r="G298">
        <f t="shared" si="19"/>
        <v>0.16480932708444107</v>
      </c>
      <c r="H298">
        <f t="shared" si="22"/>
        <v>0.18310591314463986</v>
      </c>
      <c r="I298">
        <f t="shared" si="23"/>
        <v>0.16480932708444107</v>
      </c>
      <c r="L298">
        <f t="shared" si="20"/>
        <v>0.18310591314463986</v>
      </c>
    </row>
    <row r="299" spans="5:12" x14ac:dyDescent="0.2">
      <c r="E299">
        <f t="shared" si="21"/>
        <v>199</v>
      </c>
      <c r="F299">
        <f t="shared" si="18"/>
        <v>-1.2240000000000002</v>
      </c>
      <c r="G299">
        <f t="shared" si="19"/>
        <v>0.16929130454407559</v>
      </c>
      <c r="H299">
        <f t="shared" si="22"/>
        <v>0.18861893178415948</v>
      </c>
      <c r="I299">
        <f t="shared" si="23"/>
        <v>0.16929130454407559</v>
      </c>
      <c r="L299">
        <f t="shared" si="20"/>
        <v>0.18861893178415948</v>
      </c>
    </row>
    <row r="300" spans="5:12" x14ac:dyDescent="0.2">
      <c r="E300">
        <f t="shared" si="21"/>
        <v>200</v>
      </c>
      <c r="F300">
        <f t="shared" si="18"/>
        <v>-1.2000000000000002</v>
      </c>
      <c r="G300">
        <f t="shared" si="19"/>
        <v>0.17385372358466916</v>
      </c>
      <c r="H300">
        <f t="shared" si="22"/>
        <v>0.19418605498321292</v>
      </c>
      <c r="I300">
        <f t="shared" si="23"/>
        <v>0.17385372358466916</v>
      </c>
      <c r="L300">
        <f t="shared" si="20"/>
        <v>0.19418605498321292</v>
      </c>
    </row>
    <row r="301" spans="5:12" x14ac:dyDescent="0.2">
      <c r="E301">
        <f t="shared" si="21"/>
        <v>201</v>
      </c>
      <c r="F301">
        <f t="shared" si="18"/>
        <v>-1.1760000000000002</v>
      </c>
      <c r="G301">
        <f t="shared" si="19"/>
        <v>0.17849462273801589</v>
      </c>
      <c r="H301">
        <f t="shared" si="22"/>
        <v>0.19980237355078795</v>
      </c>
      <c r="I301">
        <f t="shared" si="23"/>
        <v>0.17849462273801589</v>
      </c>
      <c r="L301">
        <f t="shared" si="20"/>
        <v>0.19980237355078795</v>
      </c>
    </row>
    <row r="302" spans="5:12" x14ac:dyDescent="0.2">
      <c r="E302">
        <f t="shared" si="21"/>
        <v>202</v>
      </c>
      <c r="F302">
        <f t="shared" si="18"/>
        <v>-1.1520000000000001</v>
      </c>
      <c r="G302">
        <f t="shared" si="19"/>
        <v>0.18321174335162632</v>
      </c>
      <c r="H302">
        <f t="shared" si="22"/>
        <v>0.20546274866007688</v>
      </c>
      <c r="I302">
        <f t="shared" si="23"/>
        <v>0.18321174335162632</v>
      </c>
      <c r="L302">
        <f t="shared" si="20"/>
        <v>0.20546274866007688</v>
      </c>
    </row>
    <row r="303" spans="5:12" x14ac:dyDescent="0.2">
      <c r="E303">
        <f t="shared" si="21"/>
        <v>203</v>
      </c>
      <c r="F303">
        <f t="shared" si="18"/>
        <v>-1.1280000000000001</v>
      </c>
      <c r="G303">
        <f t="shared" si="19"/>
        <v>0.18800251648878533</v>
      </c>
      <c r="H303">
        <f t="shared" si="22"/>
        <v>0.21116181721320312</v>
      </c>
      <c r="I303">
        <f t="shared" si="23"/>
        <v>0.18800251648878533</v>
      </c>
      <c r="L303">
        <f t="shared" si="20"/>
        <v>0.21116181721320312</v>
      </c>
    </row>
    <row r="304" spans="5:12" x14ac:dyDescent="0.2">
      <c r="E304">
        <f t="shared" si="21"/>
        <v>204</v>
      </c>
      <c r="F304">
        <f t="shared" si="18"/>
        <v>-1.1040000000000001</v>
      </c>
      <c r="G304">
        <f t="shared" si="19"/>
        <v>0.19286405031058435</v>
      </c>
      <c r="H304">
        <f t="shared" si="22"/>
        <v>0.21689399801423551</v>
      </c>
      <c r="I304">
        <f t="shared" si="23"/>
        <v>0.19286405031058435</v>
      </c>
      <c r="L304">
        <f t="shared" si="20"/>
        <v>0.21689399801423551</v>
      </c>
    </row>
    <row r="305" spans="5:12" x14ac:dyDescent="0.2">
      <c r="E305">
        <f t="shared" si="21"/>
        <v>205</v>
      </c>
      <c r="F305">
        <f t="shared" si="18"/>
        <v>-1.08</v>
      </c>
      <c r="G305">
        <f t="shared" si="19"/>
        <v>0.19779311806963132</v>
      </c>
      <c r="H305">
        <f t="shared" si="22"/>
        <v>0.22265349875176113</v>
      </c>
      <c r="I305">
        <f t="shared" si="23"/>
        <v>0.19779311806963132</v>
      </c>
      <c r="L305">
        <f t="shared" si="20"/>
        <v>0.22265349875176113</v>
      </c>
    </row>
    <row r="306" spans="5:12" x14ac:dyDescent="0.2">
      <c r="E306">
        <f t="shared" si="21"/>
        <v>206</v>
      </c>
      <c r="F306">
        <f t="shared" si="18"/>
        <v>-1.056</v>
      </c>
      <c r="G306">
        <f t="shared" si="19"/>
        <v>0.20278614685322385</v>
      </c>
      <c r="H306">
        <f t="shared" si="22"/>
        <v>0.22843432378901604</v>
      </c>
      <c r="I306">
        <f t="shared" si="23"/>
        <v>0.20278614685322385</v>
      </c>
      <c r="L306">
        <f t="shared" si="20"/>
        <v>0.22843432378901604</v>
      </c>
    </row>
    <row r="307" spans="5:12" x14ac:dyDescent="0.2">
      <c r="E307">
        <f t="shared" si="21"/>
        <v>207</v>
      </c>
      <c r="F307">
        <f t="shared" si="18"/>
        <v>-1.032</v>
      </c>
      <c r="G307">
        <f t="shared" si="19"/>
        <v>0.20783920722125546</v>
      </c>
      <c r="H307">
        <f t="shared" si="22"/>
        <v>0.23423028275621952</v>
      </c>
      <c r="I307">
        <f t="shared" si="23"/>
        <v>0.20783920722125546</v>
      </c>
      <c r="L307">
        <f t="shared" si="20"/>
        <v>0.23423028275621952</v>
      </c>
    </row>
    <row r="308" spans="5:12" x14ac:dyDescent="0.2">
      <c r="E308">
        <f t="shared" si="21"/>
        <v>208</v>
      </c>
      <c r="F308">
        <f t="shared" si="18"/>
        <v>-1.008</v>
      </c>
      <c r="G308">
        <f t="shared" si="19"/>
        <v>0.21294800389084881</v>
      </c>
      <c r="H308">
        <f t="shared" si="22"/>
        <v>0.2400349999363395</v>
      </c>
      <c r="I308">
        <f t="shared" si="23"/>
        <v>0.21294800389084881</v>
      </c>
      <c r="L308">
        <f t="shared" si="20"/>
        <v>0.2400349999363395</v>
      </c>
    </row>
    <row r="309" spans="5:12" x14ac:dyDescent="0.2">
      <c r="E309">
        <f t="shared" si="21"/>
        <v>209</v>
      </c>
      <c r="F309">
        <f t="shared" si="18"/>
        <v>-0.98399999999999999</v>
      </c>
      <c r="G309">
        <f t="shared" si="19"/>
        <v>0.21810786762547041</v>
      </c>
      <c r="H309">
        <f t="shared" si="22"/>
        <v>0.24584192443204717</v>
      </c>
      <c r="I309">
        <f t="shared" si="23"/>
        <v>0.21810786762547041</v>
      </c>
      <c r="L309">
        <f t="shared" si="20"/>
        <v>0.24584192443204717</v>
      </c>
    </row>
    <row r="310" spans="5:12" x14ac:dyDescent="0.2">
      <c r="E310">
        <f t="shared" si="21"/>
        <v>210</v>
      </c>
      <c r="F310">
        <f t="shared" si="18"/>
        <v>-0.96</v>
      </c>
      <c r="G310">
        <f t="shared" si="19"/>
        <v>0.22331374849090349</v>
      </c>
      <c r="H310">
        <f t="shared" si="22"/>
        <v>0.25164434109811712</v>
      </c>
      <c r="I310">
        <f t="shared" si="23"/>
        <v>0.22331374849090349</v>
      </c>
      <c r="L310">
        <f t="shared" si="20"/>
        <v>0.25164434109811712</v>
      </c>
    </row>
    <row r="311" spans="5:12" x14ac:dyDescent="0.2">
      <c r="E311">
        <f t="shared" si="21"/>
        <v>211</v>
      </c>
      <c r="F311">
        <f t="shared" si="18"/>
        <v>-0.93599999999999994</v>
      </c>
      <c r="G311">
        <f t="shared" si="19"/>
        <v>0.22856021064371371</v>
      </c>
      <c r="H311">
        <f t="shared" si="22"/>
        <v>0.25743538222001205</v>
      </c>
      <c r="I311">
        <f t="shared" si="23"/>
        <v>0.22856021064371371</v>
      </c>
      <c r="L311">
        <f t="shared" si="20"/>
        <v>0.25743538222001205</v>
      </c>
    </row>
    <row r="312" spans="5:12" x14ac:dyDescent="0.2">
      <c r="E312">
        <f t="shared" si="21"/>
        <v>212</v>
      </c>
      <c r="F312">
        <f t="shared" si="18"/>
        <v>-0.91199999999999992</v>
      </c>
      <c r="G312">
        <f t="shared" si="19"/>
        <v>0.23384142881955</v>
      </c>
      <c r="H312">
        <f t="shared" si="22"/>
        <v>0.2632080399158771</v>
      </c>
      <c r="I312">
        <f t="shared" si="23"/>
        <v>0.23384142881955</v>
      </c>
      <c r="L312">
        <f t="shared" si="20"/>
        <v>0.2632080399158771</v>
      </c>
    </row>
    <row r="313" spans="5:12" x14ac:dyDescent="0.2">
      <c r="E313">
        <f t="shared" si="21"/>
        <v>213</v>
      </c>
      <c r="F313">
        <f t="shared" si="18"/>
        <v>-0.8879999999999999</v>
      </c>
      <c r="G313">
        <f t="shared" si="19"/>
        <v>0.23915118668855898</v>
      </c>
      <c r="H313">
        <f t="shared" si="22"/>
        <v>0.26895517923567464</v>
      </c>
      <c r="I313">
        <f t="shared" si="23"/>
        <v>0.23915118668855898</v>
      </c>
      <c r="L313">
        <f t="shared" si="20"/>
        <v>0.26895517923567464</v>
      </c>
    </row>
    <row r="314" spans="5:12" x14ac:dyDescent="0.2">
      <c r="E314">
        <f t="shared" si="21"/>
        <v>214</v>
      </c>
      <c r="F314">
        <f t="shared" si="18"/>
        <v>-0.86399999999999988</v>
      </c>
      <c r="G314">
        <f t="shared" si="19"/>
        <v>0.24448287724316231</v>
      </c>
      <c r="H314">
        <f t="shared" si="22"/>
        <v>0.27466955192773695</v>
      </c>
      <c r="I314">
        <f t="shared" si="23"/>
        <v>0.24448287724316231</v>
      </c>
      <c r="L314">
        <f t="shared" si="20"/>
        <v>0.27466955192773695</v>
      </c>
    </row>
    <row r="315" spans="5:12" x14ac:dyDescent="0.2">
      <c r="E315">
        <f t="shared" si="21"/>
        <v>215</v>
      </c>
      <c r="F315">
        <f t="shared" si="18"/>
        <v>-0.83999999999999986</v>
      </c>
      <c r="G315">
        <f t="shared" si="19"/>
        <v>0.24982950537925383</v>
      </c>
      <c r="H315">
        <f t="shared" si="22"/>
        <v>0.28034381083962062</v>
      </c>
      <c r="I315">
        <f t="shared" si="23"/>
        <v>0.24982950537925383</v>
      </c>
      <c r="L315">
        <f t="shared" si="20"/>
        <v>0.28034381083962062</v>
      </c>
    </row>
    <row r="316" spans="5:12" x14ac:dyDescent="0.2">
      <c r="E316">
        <f t="shared" si="21"/>
        <v>216</v>
      </c>
      <c r="F316">
        <f t="shared" si="18"/>
        <v>-0.81599999999999984</v>
      </c>
      <c r="G316">
        <f t="shared" si="19"/>
        <v>0.25518369282533815</v>
      </c>
      <c r="H316">
        <f t="shared" si="22"/>
        <v>0.28597052491682845</v>
      </c>
      <c r="I316">
        <f t="shared" si="23"/>
        <v>0.25518369282533815</v>
      </c>
      <c r="L316">
        <f t="shared" si="20"/>
        <v>0.28597052491682845</v>
      </c>
    </row>
    <row r="317" spans="5:12" x14ac:dyDescent="0.2">
      <c r="E317">
        <f t="shared" si="21"/>
        <v>217</v>
      </c>
      <c r="F317">
        <f t="shared" si="18"/>
        <v>-0.79199999999999982</v>
      </c>
      <c r="G317">
        <f t="shared" si="19"/>
        <v>0.26053768556509455</v>
      </c>
      <c r="H317">
        <f t="shared" si="22"/>
        <v>0.29154219475974724</v>
      </c>
      <c r="I317">
        <f t="shared" si="23"/>
        <v>0.26053768556509455</v>
      </c>
      <c r="L317">
        <f t="shared" si="20"/>
        <v>0.29154219475974724</v>
      </c>
    </row>
    <row r="318" spans="5:12" x14ac:dyDescent="0.2">
      <c r="E318">
        <f t="shared" si="21"/>
        <v>218</v>
      </c>
      <c r="F318">
        <f t="shared" si="18"/>
        <v>-0.76799999999999979</v>
      </c>
      <c r="G318">
        <f t="shared" si="19"/>
        <v>0.26588336388717249</v>
      </c>
      <c r="H318">
        <f t="shared" si="22"/>
        <v>0.2970512686960452</v>
      </c>
      <c r="I318">
        <f t="shared" si="23"/>
        <v>0.26588336388717249</v>
      </c>
      <c r="L318">
        <f t="shared" si="20"/>
        <v>0.2970512686960452</v>
      </c>
    </row>
    <row r="319" spans="5:12" x14ac:dyDescent="0.2">
      <c r="E319">
        <f t="shared" si="21"/>
        <v>219</v>
      </c>
      <c r="F319">
        <f t="shared" si="18"/>
        <v>-0.74399999999999977</v>
      </c>
      <c r="G319">
        <f t="shared" si="19"/>
        <v>0.27121225518160852</v>
      </c>
      <c r="H319">
        <f t="shared" si="22"/>
        <v>0.30249015932280471</v>
      </c>
      <c r="I319">
        <f t="shared" si="23"/>
        <v>0.27121225518160852</v>
      </c>
      <c r="L319">
        <f t="shared" si="20"/>
        <v>0.30249015932280471</v>
      </c>
    </row>
    <row r="320" spans="5:12" x14ac:dyDescent="0.2">
      <c r="E320">
        <f t="shared" si="21"/>
        <v>220</v>
      </c>
      <c r="F320">
        <f t="shared" si="18"/>
        <v>-0.71999999999999975</v>
      </c>
      <c r="G320">
        <f t="shared" si="19"/>
        <v>0.27651554958501806</v>
      </c>
      <c r="H320">
        <f t="shared" si="22"/>
        <v>0.30785126046985301</v>
      </c>
      <c r="I320">
        <f t="shared" si="23"/>
        <v>0.27651554958501806</v>
      </c>
      <c r="L320">
        <f t="shared" si="20"/>
        <v>0.30785126046985301</v>
      </c>
    </row>
    <row r="321" spans="5:12" x14ac:dyDescent="0.2">
      <c r="E321">
        <f t="shared" si="21"/>
        <v>221</v>
      </c>
      <c r="F321">
        <f t="shared" si="18"/>
        <v>-0.69599999999999973</v>
      </c>
      <c r="G321">
        <f t="shared" si="19"/>
        <v>0.28178411855666313</v>
      </c>
      <c r="H321">
        <f t="shared" si="22"/>
        <v>0.3131269645331039</v>
      </c>
      <c r="I321">
        <f t="shared" si="23"/>
        <v>0.28178411855666313</v>
      </c>
      <c r="L321">
        <f t="shared" si="20"/>
        <v>0.3131269645331039</v>
      </c>
    </row>
    <row r="322" spans="5:12" x14ac:dyDescent="0.2">
      <c r="E322">
        <f t="shared" si="21"/>
        <v>222</v>
      </c>
      <c r="F322">
        <f t="shared" si="18"/>
        <v>-0.67199999999999971</v>
      </c>
      <c r="G322">
        <f t="shared" si="19"/>
        <v>0.28700853644461471</v>
      </c>
      <c r="H322">
        <f t="shared" si="22"/>
        <v>0.3183096801242743</v>
      </c>
      <c r="I322">
        <f t="shared" si="23"/>
        <v>0.28700853644461471</v>
      </c>
      <c r="L322">
        <f t="shared" si="20"/>
        <v>0.3183096801242743</v>
      </c>
    </row>
    <row r="323" spans="5:12" x14ac:dyDescent="0.2">
      <c r="E323">
        <f t="shared" si="21"/>
        <v>223</v>
      </c>
      <c r="F323">
        <f t="shared" si="18"/>
        <v>-0.64799999999999969</v>
      </c>
      <c r="G323">
        <f t="shared" si="19"/>
        <v>0.29217910507564127</v>
      </c>
      <c r="H323">
        <f t="shared" si="22"/>
        <v>0.32339184998107995</v>
      </c>
      <c r="I323">
        <f t="shared" si="23"/>
        <v>0.29217910507564127</v>
      </c>
      <c r="L323">
        <f t="shared" si="20"/>
        <v>0.32339184998107995</v>
      </c>
    </row>
    <row r="324" spans="5:12" x14ac:dyDescent="0.2">
      <c r="E324">
        <f t="shared" si="21"/>
        <v>224</v>
      </c>
      <c r="F324">
        <f t="shared" si="18"/>
        <v>-0.62399999999999967</v>
      </c>
      <c r="G324">
        <f t="shared" si="19"/>
        <v>0.29728588137425832</v>
      </c>
      <c r="H324">
        <f t="shared" si="22"/>
        <v>0.32836596907998766</v>
      </c>
      <c r="I324">
        <f t="shared" si="23"/>
        <v>0.29728588137425832</v>
      </c>
      <c r="L324">
        <f t="shared" si="20"/>
        <v>0.32836596907998766</v>
      </c>
    </row>
    <row r="325" spans="5:12" x14ac:dyDescent="0.2">
      <c r="E325">
        <f t="shared" si="21"/>
        <v>225</v>
      </c>
      <c r="F325">
        <f t="shared" si="18"/>
        <v>-0.59999999999999964</v>
      </c>
      <c r="G325">
        <f t="shared" si="19"/>
        <v>0.30231870798580246</v>
      </c>
      <c r="H325">
        <f t="shared" si="22"/>
        <v>0.33322460289179973</v>
      </c>
      <c r="I325">
        <f t="shared" si="23"/>
        <v>0.30231870798580246</v>
      </c>
      <c r="L325">
        <f t="shared" si="20"/>
        <v>0.33322460289179973</v>
      </c>
    </row>
    <row r="326" spans="5:12" x14ac:dyDescent="0.2">
      <c r="E326">
        <f t="shared" si="21"/>
        <v>226</v>
      </c>
      <c r="F326">
        <f t="shared" si="18"/>
        <v>-0.57599999999999962</v>
      </c>
      <c r="G326">
        <f t="shared" si="19"/>
        <v>0.30726724684569229</v>
      </c>
      <c r="H326">
        <f t="shared" si="22"/>
        <v>0.33796040571879715</v>
      </c>
      <c r="I326">
        <f t="shared" si="23"/>
        <v>0.30726724684569229</v>
      </c>
      <c r="L326">
        <f t="shared" si="20"/>
        <v>0.33796040571879715</v>
      </c>
    </row>
    <row r="327" spans="5:12" x14ac:dyDescent="0.2">
      <c r="E327">
        <f t="shared" si="21"/>
        <v>227</v>
      </c>
      <c r="F327">
        <f t="shared" si="18"/>
        <v>-0.5519999999999996</v>
      </c>
      <c r="G327">
        <f t="shared" si="19"/>
        <v>0.31212101560254274</v>
      </c>
      <c r="H327">
        <f t="shared" si="22"/>
        <v>0.34256613905087624</v>
      </c>
      <c r="I327">
        <f t="shared" si="23"/>
        <v>0.31212101560254274</v>
      </c>
      <c r="L327">
        <f t="shared" si="20"/>
        <v>0.34256613905087624</v>
      </c>
    </row>
    <row r="328" spans="5:12" x14ac:dyDescent="0.2">
      <c r="E328">
        <f t="shared" si="21"/>
        <v>228</v>
      </c>
      <c r="F328">
        <f t="shared" si="18"/>
        <v>-0.52799999999999958</v>
      </c>
      <c r="G328">
        <f t="shared" si="19"/>
        <v>0.31686942676691116</v>
      </c>
      <c r="H328">
        <f t="shared" si="22"/>
        <v>0.34703468987709241</v>
      </c>
      <c r="I328">
        <f t="shared" si="23"/>
        <v>0.31686942676691116</v>
      </c>
      <c r="L328">
        <f t="shared" si="20"/>
        <v>0.34703468987709241</v>
      </c>
    </row>
    <row r="329" spans="5:12" x14ac:dyDescent="0.2">
      <c r="E329">
        <f t="shared" si="21"/>
        <v>229</v>
      </c>
      <c r="F329">
        <f t="shared" si="18"/>
        <v>-0.50399999999999956</v>
      </c>
      <c r="G329">
        <f t="shared" si="19"/>
        <v>0.32150182942062144</v>
      </c>
      <c r="H329">
        <f t="shared" si="22"/>
        <v>0.3513590888882841</v>
      </c>
      <c r="I329">
        <f t="shared" si="23"/>
        <v>0.32150182942062144</v>
      </c>
      <c r="L329">
        <f t="shared" si="20"/>
        <v>0.3513590888882841</v>
      </c>
    </row>
    <row r="330" spans="5:12" x14ac:dyDescent="0.2">
      <c r="E330">
        <f t="shared" si="21"/>
        <v>230</v>
      </c>
      <c r="F330">
        <f t="shared" si="18"/>
        <v>-0.47999999999999954</v>
      </c>
      <c r="G330">
        <f t="shared" si="19"/>
        <v>0.32600755328435216</v>
      </c>
      <c r="H330">
        <f t="shared" si="22"/>
        <v>0.35553252850599715</v>
      </c>
      <c r="I330">
        <f t="shared" si="23"/>
        <v>0.32600755328435216</v>
      </c>
      <c r="L330">
        <f t="shared" si="20"/>
        <v>0.35553252850599715</v>
      </c>
    </row>
    <row r="331" spans="5:12" x14ac:dyDescent="0.2">
      <c r="E331">
        <f t="shared" si="21"/>
        <v>231</v>
      </c>
      <c r="F331">
        <f t="shared" si="18"/>
        <v>-0.45599999999999952</v>
      </c>
      <c r="G331">
        <f t="shared" si="19"/>
        <v>0.33037595490406529</v>
      </c>
      <c r="H331">
        <f t="shared" si="22"/>
        <v>0.35954838067276967</v>
      </c>
      <c r="I331">
        <f t="shared" si="23"/>
        <v>0.33037595490406529</v>
      </c>
      <c r="L331">
        <f t="shared" si="20"/>
        <v>0.35954838067276967</v>
      </c>
    </row>
    <row r="332" spans="5:12" x14ac:dyDescent="0.2">
      <c r="E332">
        <f t="shared" si="21"/>
        <v>232</v>
      </c>
      <c r="F332">
        <f t="shared" si="18"/>
        <v>-0.4319999999999995</v>
      </c>
      <c r="G332">
        <f t="shared" si="19"/>
        <v>0.33459646568048618</v>
      </c>
      <c r="H332">
        <f t="shared" si="22"/>
        <v>0.36340021433897729</v>
      </c>
      <c r="I332">
        <f t="shared" si="23"/>
        <v>0.33459646568048618</v>
      </c>
      <c r="L332">
        <f t="shared" si="20"/>
        <v>0.36340021433897729</v>
      </c>
    </row>
    <row r="333" spans="5:12" x14ac:dyDescent="0.2">
      <c r="E333">
        <f t="shared" si="21"/>
        <v>233</v>
      </c>
      <c r="F333">
        <f t="shared" si="18"/>
        <v>-0.40799999999999947</v>
      </c>
      <c r="G333">
        <f t="shared" si="19"/>
        <v>0.33865864143087798</v>
      </c>
      <c r="H333">
        <f t="shared" si="22"/>
        <v>0.3670818125818826</v>
      </c>
      <c r="I333">
        <f t="shared" si="23"/>
        <v>0.33865864143087798</v>
      </c>
      <c r="L333">
        <f t="shared" si="20"/>
        <v>0.3670818125818826</v>
      </c>
    </row>
    <row r="334" spans="5:12" x14ac:dyDescent="0.2">
      <c r="E334">
        <f t="shared" si="21"/>
        <v>234</v>
      </c>
      <c r="F334">
        <f t="shared" si="18"/>
        <v>-0.38399999999999945</v>
      </c>
      <c r="G334">
        <f t="shared" si="19"/>
        <v>0.34255221313944695</v>
      </c>
      <c r="H334">
        <f t="shared" si="22"/>
        <v>0.37058718929327361</v>
      </c>
      <c r="I334">
        <f t="shared" si="23"/>
        <v>0.34255221313944695</v>
      </c>
      <c r="L334">
        <f t="shared" si="20"/>
        <v>0.37058718929327361</v>
      </c>
    </row>
    <row r="335" spans="5:12" x14ac:dyDescent="0.2">
      <c r="E335">
        <f t="shared" si="21"/>
        <v>235</v>
      </c>
      <c r="F335">
        <f t="shared" si="18"/>
        <v>-0.36000000000000032</v>
      </c>
      <c r="G335">
        <f t="shared" si="19"/>
        <v>0.34626713852253976</v>
      </c>
      <c r="H335">
        <f t="shared" si="22"/>
        <v>0.37391060537312837</v>
      </c>
      <c r="I335">
        <f t="shared" si="23"/>
        <v>0.34626713852253976</v>
      </c>
      <c r="L335">
        <f t="shared" si="20"/>
        <v>0.37391060537312837</v>
      </c>
    </row>
    <row r="336" spans="5:12" x14ac:dyDescent="0.2">
      <c r="E336">
        <f t="shared" si="21"/>
        <v>236</v>
      </c>
      <c r="F336">
        <f t="shared" si="18"/>
        <v>-0.3360000000000003</v>
      </c>
      <c r="G336">
        <f t="shared" si="19"/>
        <v>0.34979365400800894</v>
      </c>
      <c r="H336">
        <f t="shared" si="22"/>
        <v>0.37704658436808808</v>
      </c>
      <c r="I336">
        <f t="shared" si="23"/>
        <v>0.34979365400800894</v>
      </c>
      <c r="L336">
        <f t="shared" si="20"/>
        <v>0.37704658436808808</v>
      </c>
    </row>
    <row r="337" spans="5:12" x14ac:dyDescent="0.2">
      <c r="E337">
        <f t="shared" si="21"/>
        <v>237</v>
      </c>
      <c r="F337">
        <f t="shared" si="18"/>
        <v>-0.31200000000000028</v>
      </c>
      <c r="G337">
        <f t="shared" si="19"/>
        <v>0.35312232670538063</v>
      </c>
      <c r="H337">
        <f t="shared" si="22"/>
        <v>0.37998992749516874</v>
      </c>
      <c r="I337">
        <f t="shared" si="23"/>
        <v>0.35312232670538063</v>
      </c>
      <c r="L337">
        <f t="shared" si="20"/>
        <v>0.37998992749516874</v>
      </c>
    </row>
    <row r="338" spans="5:12" x14ac:dyDescent="0.2">
      <c r="E338">
        <f t="shared" si="21"/>
        <v>238</v>
      </c>
      <c r="F338">
        <f t="shared" si="18"/>
        <v>-0.28800000000000026</v>
      </c>
      <c r="G338">
        <f t="shared" si="19"/>
        <v>0.35624410592534445</v>
      </c>
      <c r="H338">
        <f t="shared" si="22"/>
        <v>0.38273572799307848</v>
      </c>
      <c r="I338">
        <f t="shared" si="23"/>
        <v>0.35624410592534445</v>
      </c>
      <c r="L338">
        <f t="shared" si="20"/>
        <v>0.38273572799307848</v>
      </c>
    </row>
    <row r="339" spans="5:12" x14ac:dyDescent="0.2">
      <c r="E339">
        <f t="shared" si="21"/>
        <v>239</v>
      </c>
      <c r="F339">
        <f t="shared" si="18"/>
        <v>-0.26400000000000023</v>
      </c>
      <c r="G339">
        <f t="shared" si="19"/>
        <v>0.3591503737941511</v>
      </c>
      <c r="H339">
        <f t="shared" si="22"/>
        <v>0.38527938474572759</v>
      </c>
      <c r="I339">
        <f t="shared" si="23"/>
        <v>0.3591503737941511</v>
      </c>
      <c r="L339">
        <f t="shared" si="20"/>
        <v>0.38527938474572759</v>
      </c>
    </row>
    <row r="340" spans="5:12" x14ac:dyDescent="0.2">
      <c r="E340">
        <f t="shared" si="21"/>
        <v>240</v>
      </c>
      <c r="F340">
        <f t="shared" si="18"/>
        <v>-0.24000000000000021</v>
      </c>
      <c r="G340">
        <f t="shared" si="19"/>
        <v>0.36183299450122092</v>
      </c>
      <c r="H340">
        <f t="shared" si="22"/>
        <v>0.38761661512501411</v>
      </c>
      <c r="I340">
        <f t="shared" si="23"/>
        <v>0.36183299450122092</v>
      </c>
      <c r="L340">
        <f t="shared" si="20"/>
        <v>0.38761661512501411</v>
      </c>
    </row>
    <row r="341" spans="5:12" x14ac:dyDescent="0.2">
      <c r="E341">
        <f t="shared" si="21"/>
        <v>241</v>
      </c>
      <c r="F341">
        <f t="shared" si="18"/>
        <v>-0.21600000000000019</v>
      </c>
      <c r="G341">
        <f t="shared" si="19"/>
        <v>0.3642843617170029</v>
      </c>
      <c r="H341">
        <f t="shared" si="22"/>
        <v>0.38974346700272944</v>
      </c>
      <c r="I341">
        <f t="shared" si="23"/>
        <v>0.3642843617170029</v>
      </c>
      <c r="L341">
        <f t="shared" si="20"/>
        <v>0.38974346700272944</v>
      </c>
    </row>
    <row r="342" spans="5:12" x14ac:dyDescent="0.2">
      <c r="E342">
        <f t="shared" si="21"/>
        <v>242</v>
      </c>
      <c r="F342">
        <f t="shared" si="18"/>
        <v>-0.19200000000000017</v>
      </c>
      <c r="G342">
        <f t="shared" si="19"/>
        <v>0.36649744372318038</v>
      </c>
      <c r="H342">
        <f t="shared" si="22"/>
        <v>0.39165632988443705</v>
      </c>
      <c r="I342">
        <f t="shared" si="23"/>
        <v>0.36649744372318038</v>
      </c>
      <c r="L342">
        <f t="shared" si="20"/>
        <v>0.39165632988443705</v>
      </c>
    </row>
    <row r="343" spans="5:12" x14ac:dyDescent="0.2">
      <c r="E343">
        <f t="shared" si="21"/>
        <v>243</v>
      </c>
      <c r="F343">
        <f t="shared" si="18"/>
        <v>-0.16800000000000015</v>
      </c>
      <c r="G343">
        <f t="shared" si="19"/>
        <v>0.36846582580883275</v>
      </c>
      <c r="H343">
        <f t="shared" si="22"/>
        <v>0.39335194512142974</v>
      </c>
      <c r="I343">
        <f t="shared" si="23"/>
        <v>0.36846582580883275</v>
      </c>
      <c r="L343">
        <f t="shared" si="20"/>
        <v>0.39335194512142974</v>
      </c>
    </row>
    <row r="344" spans="5:12" x14ac:dyDescent="0.2">
      <c r="E344">
        <f t="shared" si="21"/>
        <v>244</v>
      </c>
      <c r="F344">
        <f t="shared" si="18"/>
        <v>-0.14400000000000013</v>
      </c>
      <c r="G344">
        <f t="shared" si="19"/>
        <v>0.37018374950420541</v>
      </c>
      <c r="H344">
        <f t="shared" si="22"/>
        <v>0.39482741516033976</v>
      </c>
      <c r="I344" t="str">
        <f t="shared" si="23"/>
        <v/>
      </c>
      <c r="L344">
        <f t="shared" si="20"/>
        <v>0.39482741516033976</v>
      </c>
    </row>
    <row r="345" spans="5:12" x14ac:dyDescent="0.2">
      <c r="E345">
        <f t="shared" si="21"/>
        <v>245</v>
      </c>
      <c r="F345">
        <f t="shared" si="18"/>
        <v>-0.12000000000000011</v>
      </c>
      <c r="G345">
        <f t="shared" si="19"/>
        <v>0.37164614824819869</v>
      </c>
      <c r="H345">
        <f t="shared" si="22"/>
        <v>0.3960802117936561</v>
      </c>
      <c r="I345" t="str">
        <f t="shared" si="23"/>
        <v/>
      </c>
      <c r="L345">
        <f t="shared" si="20"/>
        <v>0.3960802117936561</v>
      </c>
    </row>
    <row r="346" spans="5:12" x14ac:dyDescent="0.2">
      <c r="E346">
        <f t="shared" si="21"/>
        <v>246</v>
      </c>
      <c r="F346">
        <f t="shared" si="18"/>
        <v>-9.6000000000000085E-2</v>
      </c>
      <c r="G346">
        <f t="shared" si="19"/>
        <v>0.37284867911634922</v>
      </c>
      <c r="H346">
        <f t="shared" si="22"/>
        <v>0.39710818337826648</v>
      </c>
      <c r="I346" t="str">
        <f t="shared" si="23"/>
        <v/>
      </c>
      <c r="L346">
        <f t="shared" si="20"/>
        <v>0.39710818337826648</v>
      </c>
    </row>
    <row r="347" spans="5:12" x14ac:dyDescent="0.2">
      <c r="E347">
        <f t="shared" si="21"/>
        <v>247</v>
      </c>
      <c r="F347">
        <f t="shared" si="18"/>
        <v>-7.2000000000000064E-2</v>
      </c>
      <c r="G347">
        <f t="shared" si="19"/>
        <v>0.3737877502726048</v>
      </c>
      <c r="H347">
        <f t="shared" si="22"/>
        <v>0.39790956099317593</v>
      </c>
      <c r="I347" t="str">
        <f t="shared" si="23"/>
        <v/>
      </c>
      <c r="L347">
        <f t="shared" si="20"/>
        <v>0.39790956099317593</v>
      </c>
    </row>
    <row r="348" spans="5:12" x14ac:dyDescent="0.2">
      <c r="E348">
        <f t="shared" si="21"/>
        <v>248</v>
      </c>
      <c r="F348">
        <f t="shared" si="18"/>
        <v>-4.8000000000000043E-2</v>
      </c>
      <c r="G348">
        <f t="shared" si="19"/>
        <v>0.37446054385007987</v>
      </c>
      <c r="H348">
        <f t="shared" si="22"/>
        <v>0.39848296351173551</v>
      </c>
      <c r="I348" t="str">
        <f t="shared" si="23"/>
        <v/>
      </c>
      <c r="L348">
        <f t="shared" si="20"/>
        <v>0.39848296351173551</v>
      </c>
    </row>
    <row r="349" spans="5:12" x14ac:dyDescent="0.2">
      <c r="E349">
        <f t="shared" si="21"/>
        <v>249</v>
      </c>
      <c r="F349">
        <f t="shared" si="18"/>
        <v>-2.4000000000000021E-2</v>
      </c>
      <c r="G349">
        <f t="shared" si="19"/>
        <v>0.37486503401265325</v>
      </c>
      <c r="H349">
        <f t="shared" si="22"/>
        <v>0.39882740156802315</v>
      </c>
      <c r="I349" t="str">
        <f t="shared" si="23"/>
        <v/>
      </c>
      <c r="L349">
        <f t="shared" si="20"/>
        <v>0.39882740156802315</v>
      </c>
    </row>
    <row r="350" spans="5:12" x14ac:dyDescent="0.2">
      <c r="E350">
        <f t="shared" si="21"/>
        <v>250</v>
      </c>
      <c r="F350">
        <f t="shared" si="18"/>
        <v>0</v>
      </c>
      <c r="G350">
        <f t="shared" si="19"/>
        <v>0.37500000000000006</v>
      </c>
      <c r="H350">
        <f t="shared" si="22"/>
        <v>0.3989422804014327</v>
      </c>
      <c r="I350" t="str">
        <f t="shared" si="23"/>
        <v/>
      </c>
      <c r="L350">
        <f t="shared" si="20"/>
        <v>0.3989422804014327</v>
      </c>
    </row>
    <row r="351" spans="5:12" x14ac:dyDescent="0.2">
      <c r="E351">
        <f t="shared" si="21"/>
        <v>251</v>
      </c>
      <c r="F351">
        <f t="shared" si="18"/>
        <v>2.4000000000000021E-2</v>
      </c>
      <c r="G351">
        <f t="shared" si="19"/>
        <v>0.37486503401265325</v>
      </c>
      <c r="H351">
        <f t="shared" si="22"/>
        <v>0.39882740156802315</v>
      </c>
      <c r="I351" t="str">
        <f t="shared" si="23"/>
        <v/>
      </c>
      <c r="L351">
        <f t="shared" si="20"/>
        <v>0.39882740156802315</v>
      </c>
    </row>
    <row r="352" spans="5:12" x14ac:dyDescent="0.2">
      <c r="E352">
        <f t="shared" si="21"/>
        <v>252</v>
      </c>
      <c r="F352">
        <f t="shared" si="18"/>
        <v>4.8000000000000043E-2</v>
      </c>
      <c r="G352">
        <f t="shared" si="19"/>
        <v>0.37446054385007987</v>
      </c>
      <c r="H352">
        <f t="shared" si="22"/>
        <v>0.39848296351173551</v>
      </c>
      <c r="I352" t="str">
        <f t="shared" si="23"/>
        <v/>
      </c>
      <c r="L352">
        <f t="shared" si="20"/>
        <v>0.39848296351173551</v>
      </c>
    </row>
    <row r="353" spans="5:12" x14ac:dyDescent="0.2">
      <c r="E353">
        <f t="shared" si="21"/>
        <v>253</v>
      </c>
      <c r="F353">
        <f t="shared" si="18"/>
        <v>7.2000000000000064E-2</v>
      </c>
      <c r="G353">
        <f t="shared" si="19"/>
        <v>0.3737877502726048</v>
      </c>
      <c r="H353">
        <f t="shared" si="22"/>
        <v>0.39790956099317593</v>
      </c>
      <c r="I353" t="str">
        <f t="shared" si="23"/>
        <v/>
      </c>
      <c r="L353">
        <f t="shared" si="20"/>
        <v>0.39790956099317593</v>
      </c>
    </row>
    <row r="354" spans="5:12" x14ac:dyDescent="0.2">
      <c r="E354">
        <f t="shared" si="21"/>
        <v>254</v>
      </c>
      <c r="F354">
        <f t="shared" si="18"/>
        <v>9.6000000000000085E-2</v>
      </c>
      <c r="G354">
        <f t="shared" si="19"/>
        <v>0.37284867911634922</v>
      </c>
      <c r="H354">
        <f t="shared" si="22"/>
        <v>0.39710818337826648</v>
      </c>
      <c r="I354" t="str">
        <f t="shared" si="23"/>
        <v/>
      </c>
      <c r="L354">
        <f t="shared" si="20"/>
        <v>0.39710818337826648</v>
      </c>
    </row>
    <row r="355" spans="5:12" x14ac:dyDescent="0.2">
      <c r="E355">
        <f t="shared" si="21"/>
        <v>255</v>
      </c>
      <c r="F355">
        <f t="shared" si="18"/>
        <v>0.12000000000000011</v>
      </c>
      <c r="G355">
        <f t="shared" si="19"/>
        <v>0.37164614824819869</v>
      </c>
      <c r="H355">
        <f t="shared" si="22"/>
        <v>0.3960802117936561</v>
      </c>
      <c r="I355" t="str">
        <f t="shared" si="23"/>
        <v/>
      </c>
      <c r="L355">
        <f t="shared" si="20"/>
        <v>0.3960802117936561</v>
      </c>
    </row>
    <row r="356" spans="5:12" x14ac:dyDescent="0.2">
      <c r="E356">
        <f t="shared" si="21"/>
        <v>256</v>
      </c>
      <c r="F356">
        <f t="shared" ref="F356:F419" si="24">$F$98+($F$99-$F$98)/500*E356</f>
        <v>0.14400000000000013</v>
      </c>
      <c r="G356">
        <f t="shared" ref="G356:G419" si="25">tpdf(F356,$G$97)</f>
        <v>0.37018374950420541</v>
      </c>
      <c r="H356">
        <f t="shared" si="22"/>
        <v>0.39482741516033976</v>
      </c>
      <c r="I356" t="str">
        <f t="shared" si="23"/>
        <v/>
      </c>
      <c r="L356">
        <f t="shared" ref="L356:L419" si="26">NORMDIST(F356,$C$7,$C$8,0)</f>
        <v>0.39482741516033976</v>
      </c>
    </row>
    <row r="357" spans="5:12" x14ac:dyDescent="0.2">
      <c r="E357">
        <f t="shared" ref="E357:E420" si="27">ROW(E357)-100</f>
        <v>257</v>
      </c>
      <c r="F357">
        <f t="shared" si="24"/>
        <v>0.16800000000000015</v>
      </c>
      <c r="G357">
        <f t="shared" si="25"/>
        <v>0.36846582580883275</v>
      </c>
      <c r="H357">
        <f t="shared" ref="H357:H420" si="28">NORMDIST(F357,0,1,0)</f>
        <v>0.39335194512142974</v>
      </c>
      <c r="I357">
        <f t="shared" ref="I357:I420" si="29">IF(ABS(F357)&gt;ABS($K$100),G357,"")</f>
        <v>0.36846582580883275</v>
      </c>
      <c r="L357">
        <f t="shared" si="26"/>
        <v>0.39335194512142974</v>
      </c>
    </row>
    <row r="358" spans="5:12" x14ac:dyDescent="0.2">
      <c r="E358">
        <f t="shared" si="27"/>
        <v>258</v>
      </c>
      <c r="F358">
        <f t="shared" si="24"/>
        <v>0.19200000000000017</v>
      </c>
      <c r="G358">
        <f t="shared" si="25"/>
        <v>0.36649744372318038</v>
      </c>
      <c r="H358">
        <f t="shared" si="28"/>
        <v>0.39165632988443705</v>
      </c>
      <c r="I358">
        <f t="shared" si="29"/>
        <v>0.36649744372318038</v>
      </c>
      <c r="L358">
        <f t="shared" si="26"/>
        <v>0.39165632988443705</v>
      </c>
    </row>
    <row r="359" spans="5:12" x14ac:dyDescent="0.2">
      <c r="E359">
        <f t="shared" si="27"/>
        <v>259</v>
      </c>
      <c r="F359">
        <f t="shared" si="24"/>
        <v>0.21600000000000019</v>
      </c>
      <c r="G359">
        <f t="shared" si="25"/>
        <v>0.3642843617170029</v>
      </c>
      <c r="H359">
        <f t="shared" si="28"/>
        <v>0.38974346700272944</v>
      </c>
      <c r="I359">
        <f t="shared" si="29"/>
        <v>0.3642843617170029</v>
      </c>
      <c r="L359">
        <f t="shared" si="26"/>
        <v>0.38974346700272944</v>
      </c>
    </row>
    <row r="360" spans="5:12" x14ac:dyDescent="0.2">
      <c r="E360">
        <f t="shared" si="27"/>
        <v>260</v>
      </c>
      <c r="F360">
        <f t="shared" si="24"/>
        <v>0.24000000000000021</v>
      </c>
      <c r="G360">
        <f t="shared" si="25"/>
        <v>0.36183299450122092</v>
      </c>
      <c r="H360">
        <f t="shared" si="28"/>
        <v>0.38761661512501411</v>
      </c>
      <c r="I360">
        <f t="shared" si="29"/>
        <v>0.36183299450122092</v>
      </c>
      <c r="L360">
        <f t="shared" si="26"/>
        <v>0.38761661512501411</v>
      </c>
    </row>
    <row r="361" spans="5:12" x14ac:dyDescent="0.2">
      <c r="E361">
        <f t="shared" si="27"/>
        <v>261</v>
      </c>
      <c r="F361">
        <f t="shared" si="24"/>
        <v>0.26400000000000023</v>
      </c>
      <c r="G361">
        <f t="shared" si="25"/>
        <v>0.3591503737941511</v>
      </c>
      <c r="H361">
        <f t="shared" si="28"/>
        <v>0.38527938474572759</v>
      </c>
      <c r="I361">
        <f t="shared" si="29"/>
        <v>0.3591503737941511</v>
      </c>
      <c r="L361">
        <f t="shared" si="26"/>
        <v>0.38527938474572759</v>
      </c>
    </row>
    <row r="362" spans="5:12" x14ac:dyDescent="0.2">
      <c r="E362">
        <f t="shared" si="27"/>
        <v>262</v>
      </c>
      <c r="F362">
        <f t="shared" si="24"/>
        <v>0.28800000000000026</v>
      </c>
      <c r="G362">
        <f t="shared" si="25"/>
        <v>0.35624410592534445</v>
      </c>
      <c r="H362">
        <f t="shared" si="28"/>
        <v>0.38273572799307848</v>
      </c>
      <c r="I362">
        <f t="shared" si="29"/>
        <v>0.35624410592534445</v>
      </c>
      <c r="L362">
        <f t="shared" si="26"/>
        <v>0.38273572799307848</v>
      </c>
    </row>
    <row r="363" spans="5:12" x14ac:dyDescent="0.2">
      <c r="E363">
        <f t="shared" si="27"/>
        <v>263</v>
      </c>
      <c r="F363">
        <f t="shared" si="24"/>
        <v>0.31200000000000028</v>
      </c>
      <c r="G363">
        <f t="shared" si="25"/>
        <v>0.35312232670538063</v>
      </c>
      <c r="H363">
        <f t="shared" si="28"/>
        <v>0.37998992749516874</v>
      </c>
      <c r="I363">
        <f t="shared" si="29"/>
        <v>0.35312232670538063</v>
      </c>
      <c r="L363">
        <f t="shared" si="26"/>
        <v>0.37998992749516874</v>
      </c>
    </row>
    <row r="364" spans="5:12" x14ac:dyDescent="0.2">
      <c r="E364">
        <f t="shared" si="27"/>
        <v>264</v>
      </c>
      <c r="F364">
        <f t="shared" si="24"/>
        <v>0.3360000000000003</v>
      </c>
      <c r="G364">
        <f t="shared" si="25"/>
        <v>0.34979365400800894</v>
      </c>
      <c r="H364">
        <f t="shared" si="28"/>
        <v>0.37704658436808808</v>
      </c>
      <c r="I364">
        <f t="shared" si="29"/>
        <v>0.34979365400800894</v>
      </c>
      <c r="L364">
        <f t="shared" si="26"/>
        <v>0.37704658436808808</v>
      </c>
    </row>
    <row r="365" spans="5:12" x14ac:dyDescent="0.2">
      <c r="E365">
        <f t="shared" si="27"/>
        <v>265</v>
      </c>
      <c r="F365">
        <f t="shared" si="24"/>
        <v>0.36000000000000032</v>
      </c>
      <c r="G365">
        <f t="shared" si="25"/>
        <v>0.34626713852253976</v>
      </c>
      <c r="H365">
        <f t="shared" si="28"/>
        <v>0.37391060537312837</v>
      </c>
      <c r="I365">
        <f t="shared" si="29"/>
        <v>0.34626713852253976</v>
      </c>
      <c r="L365">
        <f t="shared" si="26"/>
        <v>0.37391060537312837</v>
      </c>
    </row>
    <row r="366" spans="5:12" x14ac:dyDescent="0.2">
      <c r="E366">
        <f t="shared" si="27"/>
        <v>266</v>
      </c>
      <c r="F366">
        <f t="shared" si="24"/>
        <v>0.38400000000000034</v>
      </c>
      <c r="G366">
        <f t="shared" si="25"/>
        <v>0.34255221313944695</v>
      </c>
      <c r="H366">
        <f t="shared" si="28"/>
        <v>0.3705871892932735</v>
      </c>
      <c r="I366">
        <f t="shared" si="29"/>
        <v>0.34255221313944695</v>
      </c>
      <c r="L366">
        <f t="shared" si="26"/>
        <v>0.3705871892932735</v>
      </c>
    </row>
    <row r="367" spans="5:12" x14ac:dyDescent="0.2">
      <c r="E367">
        <f t="shared" si="27"/>
        <v>267</v>
      </c>
      <c r="F367">
        <f t="shared" si="24"/>
        <v>0.40800000000000036</v>
      </c>
      <c r="G367">
        <f t="shared" si="25"/>
        <v>0.33865864143087782</v>
      </c>
      <c r="H367">
        <f t="shared" si="28"/>
        <v>0.36708181258188249</v>
      </c>
      <c r="I367">
        <f t="shared" si="29"/>
        <v>0.33865864143087782</v>
      </c>
      <c r="L367">
        <f t="shared" si="26"/>
        <v>0.36708181258188249</v>
      </c>
    </row>
    <row r="368" spans="5:12" x14ac:dyDescent="0.2">
      <c r="E368">
        <f t="shared" si="27"/>
        <v>268</v>
      </c>
      <c r="F368">
        <f t="shared" si="24"/>
        <v>0.43200000000000038</v>
      </c>
      <c r="G368">
        <f t="shared" si="25"/>
        <v>0.33459646568048601</v>
      </c>
      <c r="H368">
        <f t="shared" si="28"/>
        <v>0.36340021433897718</v>
      </c>
      <c r="I368">
        <f t="shared" si="29"/>
        <v>0.33459646568048601</v>
      </c>
      <c r="L368">
        <f t="shared" si="26"/>
        <v>0.36340021433897718</v>
      </c>
    </row>
    <row r="369" spans="5:12" x14ac:dyDescent="0.2">
      <c r="E369">
        <f t="shared" si="27"/>
        <v>269</v>
      </c>
      <c r="F369">
        <f t="shared" si="24"/>
        <v>0.45600000000000041</v>
      </c>
      <c r="G369">
        <f t="shared" si="25"/>
        <v>0.33037595490406513</v>
      </c>
      <c r="H369">
        <f t="shared" si="28"/>
        <v>0.35954838067276951</v>
      </c>
      <c r="I369">
        <f t="shared" si="29"/>
        <v>0.33037595490406513</v>
      </c>
      <c r="L369">
        <f t="shared" si="26"/>
        <v>0.35954838067276951</v>
      </c>
    </row>
    <row r="370" spans="5:12" x14ac:dyDescent="0.2">
      <c r="E370">
        <f t="shared" si="27"/>
        <v>270</v>
      </c>
      <c r="F370">
        <f t="shared" si="24"/>
        <v>0.48000000000000043</v>
      </c>
      <c r="G370">
        <f t="shared" si="25"/>
        <v>0.32600755328435199</v>
      </c>
      <c r="H370">
        <f t="shared" si="28"/>
        <v>0.35553252850599704</v>
      </c>
      <c r="I370">
        <f t="shared" si="29"/>
        <v>0.32600755328435199</v>
      </c>
      <c r="L370">
        <f t="shared" si="26"/>
        <v>0.35553252850599704</v>
      </c>
    </row>
    <row r="371" spans="5:12" x14ac:dyDescent="0.2">
      <c r="E371">
        <f t="shared" si="27"/>
        <v>271</v>
      </c>
      <c r="F371">
        <f t="shared" si="24"/>
        <v>0.50400000000000045</v>
      </c>
      <c r="G371">
        <f t="shared" si="25"/>
        <v>0.32150182942062144</v>
      </c>
      <c r="H371">
        <f t="shared" si="28"/>
        <v>0.35135908888828388</v>
      </c>
      <c r="I371">
        <f t="shared" si="29"/>
        <v>0.32150182942062144</v>
      </c>
      <c r="L371">
        <f t="shared" si="26"/>
        <v>0.35135908888828388</v>
      </c>
    </row>
    <row r="372" spans="5:12" x14ac:dyDescent="0.2">
      <c r="E372">
        <f t="shared" si="27"/>
        <v>272</v>
      </c>
      <c r="F372">
        <f t="shared" si="24"/>
        <v>0.52800000000000047</v>
      </c>
      <c r="G372">
        <f t="shared" si="25"/>
        <v>0.31686942676691099</v>
      </c>
      <c r="H372">
        <f t="shared" si="28"/>
        <v>0.34703468987709224</v>
      </c>
      <c r="I372">
        <f t="shared" si="29"/>
        <v>0.31686942676691099</v>
      </c>
      <c r="L372">
        <f t="shared" si="26"/>
        <v>0.34703468987709224</v>
      </c>
    </row>
    <row r="373" spans="5:12" x14ac:dyDescent="0.2">
      <c r="E373">
        <f t="shared" si="27"/>
        <v>273</v>
      </c>
      <c r="F373">
        <f t="shared" si="24"/>
        <v>0.55200000000000049</v>
      </c>
      <c r="G373">
        <f t="shared" si="25"/>
        <v>0.31212101560254241</v>
      </c>
      <c r="H373">
        <f t="shared" si="28"/>
        <v>0.34256613905087613</v>
      </c>
      <c r="I373">
        <f t="shared" si="29"/>
        <v>0.31212101560254241</v>
      </c>
      <c r="L373">
        <f t="shared" si="26"/>
        <v>0.34256613905087613</v>
      </c>
    </row>
    <row r="374" spans="5:12" x14ac:dyDescent="0.2">
      <c r="E374">
        <f t="shared" si="27"/>
        <v>274</v>
      </c>
      <c r="F374">
        <f t="shared" si="24"/>
        <v>0.57600000000000051</v>
      </c>
      <c r="G374">
        <f t="shared" si="25"/>
        <v>0.30726724684569212</v>
      </c>
      <c r="H374">
        <f t="shared" si="28"/>
        <v>0.33796040571879699</v>
      </c>
      <c r="I374">
        <f t="shared" si="29"/>
        <v>0.30726724684569212</v>
      </c>
      <c r="L374">
        <f t="shared" si="26"/>
        <v>0.33796040571879699</v>
      </c>
    </row>
    <row r="375" spans="5:12" x14ac:dyDescent="0.2">
      <c r="E375">
        <f t="shared" si="27"/>
        <v>275</v>
      </c>
      <c r="F375">
        <f t="shared" si="24"/>
        <v>0.60000000000000053</v>
      </c>
      <c r="G375">
        <f t="shared" si="25"/>
        <v>0.30231870798580235</v>
      </c>
      <c r="H375">
        <f t="shared" si="28"/>
        <v>0.33322460289179956</v>
      </c>
      <c r="I375">
        <f t="shared" si="29"/>
        <v>0.30231870798580235</v>
      </c>
      <c r="L375">
        <f t="shared" si="26"/>
        <v>0.33322460289179956</v>
      </c>
    </row>
    <row r="376" spans="5:12" x14ac:dyDescent="0.2">
      <c r="E376">
        <f t="shared" si="27"/>
        <v>276</v>
      </c>
      <c r="F376">
        <f t="shared" si="24"/>
        <v>0.62400000000000055</v>
      </c>
      <c r="G376">
        <f t="shared" si="25"/>
        <v>0.29728588137425815</v>
      </c>
      <c r="H376">
        <f t="shared" si="28"/>
        <v>0.3283659690799875</v>
      </c>
      <c r="I376">
        <f t="shared" si="29"/>
        <v>0.29728588137425815</v>
      </c>
      <c r="L376">
        <f t="shared" si="26"/>
        <v>0.3283659690799875</v>
      </c>
    </row>
    <row r="377" spans="5:12" x14ac:dyDescent="0.2">
      <c r="E377">
        <f t="shared" si="27"/>
        <v>277</v>
      </c>
      <c r="F377">
        <f t="shared" si="24"/>
        <v>0.64800000000000058</v>
      </c>
      <c r="G377">
        <f t="shared" si="25"/>
        <v>0.29217910507564115</v>
      </c>
      <c r="H377">
        <f t="shared" si="28"/>
        <v>0.32339184998107978</v>
      </c>
      <c r="I377">
        <f t="shared" si="29"/>
        <v>0.29217910507564115</v>
      </c>
      <c r="L377">
        <f t="shared" si="26"/>
        <v>0.32339184998107978</v>
      </c>
    </row>
    <row r="378" spans="5:12" x14ac:dyDescent="0.2">
      <c r="E378">
        <f t="shared" si="27"/>
        <v>278</v>
      </c>
      <c r="F378">
        <f t="shared" si="24"/>
        <v>0.67199999999999971</v>
      </c>
      <c r="G378">
        <f t="shared" si="25"/>
        <v>0.28700853644461471</v>
      </c>
      <c r="H378">
        <f t="shared" si="28"/>
        <v>0.3183096801242743</v>
      </c>
      <c r="I378">
        <f t="shared" si="29"/>
        <v>0.28700853644461471</v>
      </c>
      <c r="L378">
        <f t="shared" si="26"/>
        <v>0.3183096801242743</v>
      </c>
    </row>
    <row r="379" spans="5:12" x14ac:dyDescent="0.2">
      <c r="E379">
        <f t="shared" si="27"/>
        <v>279</v>
      </c>
      <c r="F379">
        <f t="shared" si="24"/>
        <v>0.69599999999999973</v>
      </c>
      <c r="G379">
        <f t="shared" si="25"/>
        <v>0.28178411855666313</v>
      </c>
      <c r="H379">
        <f t="shared" si="28"/>
        <v>0.3131269645331039</v>
      </c>
      <c r="I379">
        <f t="shared" si="29"/>
        <v>0.28178411855666313</v>
      </c>
      <c r="L379">
        <f t="shared" si="26"/>
        <v>0.3131269645331039</v>
      </c>
    </row>
    <row r="380" spans="5:12" x14ac:dyDescent="0.2">
      <c r="E380">
        <f t="shared" si="27"/>
        <v>280</v>
      </c>
      <c r="F380">
        <f t="shared" si="24"/>
        <v>0.71999999999999975</v>
      </c>
      <c r="G380">
        <f t="shared" si="25"/>
        <v>0.27651554958501806</v>
      </c>
      <c r="H380">
        <f t="shared" si="28"/>
        <v>0.30785126046985301</v>
      </c>
      <c r="I380">
        <f t="shared" si="29"/>
        <v>0.27651554958501806</v>
      </c>
      <c r="L380">
        <f t="shared" si="26"/>
        <v>0.30785126046985301</v>
      </c>
    </row>
    <row r="381" spans="5:12" x14ac:dyDescent="0.2">
      <c r="E381">
        <f t="shared" si="27"/>
        <v>281</v>
      </c>
      <c r="F381">
        <f t="shared" si="24"/>
        <v>0.74399999999999977</v>
      </c>
      <c r="G381">
        <f t="shared" si="25"/>
        <v>0.27121225518160852</v>
      </c>
      <c r="H381">
        <f t="shared" si="28"/>
        <v>0.30249015932280471</v>
      </c>
      <c r="I381">
        <f t="shared" si="29"/>
        <v>0.27121225518160852</v>
      </c>
      <c r="L381">
        <f t="shared" si="26"/>
        <v>0.30249015932280471</v>
      </c>
    </row>
    <row r="382" spans="5:12" x14ac:dyDescent="0.2">
      <c r="E382">
        <f t="shared" si="27"/>
        <v>282</v>
      </c>
      <c r="F382">
        <f t="shared" si="24"/>
        <v>0.76799999999999979</v>
      </c>
      <c r="G382">
        <f t="shared" si="25"/>
        <v>0.26588336388717249</v>
      </c>
      <c r="H382">
        <f t="shared" si="28"/>
        <v>0.2970512686960452</v>
      </c>
      <c r="I382">
        <f t="shared" si="29"/>
        <v>0.26588336388717249</v>
      </c>
      <c r="L382">
        <f t="shared" si="26"/>
        <v>0.2970512686960452</v>
      </c>
    </row>
    <row r="383" spans="5:12" x14ac:dyDescent="0.2">
      <c r="E383">
        <f t="shared" si="27"/>
        <v>283</v>
      </c>
      <c r="F383">
        <f t="shared" si="24"/>
        <v>0.79199999999999982</v>
      </c>
      <c r="G383">
        <f t="shared" si="25"/>
        <v>0.26053768556509455</v>
      </c>
      <c r="H383">
        <f t="shared" si="28"/>
        <v>0.29154219475974724</v>
      </c>
      <c r="I383">
        <f t="shared" si="29"/>
        <v>0.26053768556509455</v>
      </c>
      <c r="L383">
        <f t="shared" si="26"/>
        <v>0.29154219475974724</v>
      </c>
    </row>
    <row r="384" spans="5:12" x14ac:dyDescent="0.2">
      <c r="E384">
        <f t="shared" si="27"/>
        <v>284</v>
      </c>
      <c r="F384">
        <f t="shared" si="24"/>
        <v>0.81599999999999984</v>
      </c>
      <c r="G384">
        <f t="shared" si="25"/>
        <v>0.25518369282533815</v>
      </c>
      <c r="H384">
        <f t="shared" si="28"/>
        <v>0.28597052491682845</v>
      </c>
      <c r="I384">
        <f t="shared" si="29"/>
        <v>0.25518369282533815</v>
      </c>
      <c r="L384">
        <f t="shared" si="26"/>
        <v>0.28597052491682845</v>
      </c>
    </row>
    <row r="385" spans="5:12" x14ac:dyDescent="0.2">
      <c r="E385">
        <f t="shared" si="27"/>
        <v>285</v>
      </c>
      <c r="F385">
        <f t="shared" si="24"/>
        <v>0.83999999999999986</v>
      </c>
      <c r="G385">
        <f t="shared" si="25"/>
        <v>0.24982950537925383</v>
      </c>
      <c r="H385">
        <f t="shared" si="28"/>
        <v>0.28034381083962062</v>
      </c>
      <c r="I385">
        <f t="shared" si="29"/>
        <v>0.24982950537925383</v>
      </c>
      <c r="L385">
        <f t="shared" si="26"/>
        <v>0.28034381083962062</v>
      </c>
    </row>
    <row r="386" spans="5:12" x14ac:dyDescent="0.2">
      <c r="E386">
        <f t="shared" si="27"/>
        <v>286</v>
      </c>
      <c r="F386">
        <f t="shared" si="24"/>
        <v>0.86399999999999988</v>
      </c>
      <c r="G386">
        <f t="shared" si="25"/>
        <v>0.24448287724316231</v>
      </c>
      <c r="H386">
        <f t="shared" si="28"/>
        <v>0.27466955192773695</v>
      </c>
      <c r="I386">
        <f t="shared" si="29"/>
        <v>0.24448287724316231</v>
      </c>
      <c r="L386">
        <f t="shared" si="26"/>
        <v>0.27466955192773695</v>
      </c>
    </row>
    <row r="387" spans="5:12" x14ac:dyDescent="0.2">
      <c r="E387">
        <f t="shared" si="27"/>
        <v>287</v>
      </c>
      <c r="F387">
        <f t="shared" si="24"/>
        <v>0.8879999999999999</v>
      </c>
      <c r="G387">
        <f t="shared" si="25"/>
        <v>0.23915118668855898</v>
      </c>
      <c r="H387">
        <f t="shared" si="28"/>
        <v>0.26895517923567464</v>
      </c>
      <c r="I387">
        <f t="shared" si="29"/>
        <v>0.23915118668855898</v>
      </c>
      <c r="L387">
        <f t="shared" si="26"/>
        <v>0.26895517923567464</v>
      </c>
    </row>
    <row r="388" spans="5:12" x14ac:dyDescent="0.2">
      <c r="E388">
        <f t="shared" si="27"/>
        <v>288</v>
      </c>
      <c r="F388">
        <f t="shared" si="24"/>
        <v>0.91199999999999992</v>
      </c>
      <c r="G388">
        <f t="shared" si="25"/>
        <v>0.23384142881955</v>
      </c>
      <c r="H388">
        <f t="shared" si="28"/>
        <v>0.2632080399158771</v>
      </c>
      <c r="I388">
        <f t="shared" si="29"/>
        <v>0.23384142881955</v>
      </c>
      <c r="L388">
        <f t="shared" si="26"/>
        <v>0.2632080399158771</v>
      </c>
    </row>
    <row r="389" spans="5:12" x14ac:dyDescent="0.2">
      <c r="E389">
        <f t="shared" si="27"/>
        <v>289</v>
      </c>
      <c r="F389">
        <f t="shared" si="24"/>
        <v>0.93599999999999994</v>
      </c>
      <c r="G389">
        <f t="shared" si="25"/>
        <v>0.22856021064371371</v>
      </c>
      <c r="H389">
        <f t="shared" si="28"/>
        <v>0.25743538222001205</v>
      </c>
      <c r="I389">
        <f t="shared" si="29"/>
        <v>0.22856021064371371</v>
      </c>
      <c r="L389">
        <f t="shared" si="26"/>
        <v>0.25743538222001205</v>
      </c>
    </row>
    <row r="390" spans="5:12" x14ac:dyDescent="0.2">
      <c r="E390">
        <f t="shared" si="27"/>
        <v>290</v>
      </c>
      <c r="F390">
        <f t="shared" si="24"/>
        <v>0.96</v>
      </c>
      <c r="G390">
        <f t="shared" si="25"/>
        <v>0.22331374849090349</v>
      </c>
      <c r="H390">
        <f t="shared" si="28"/>
        <v>0.25164434109811712</v>
      </c>
      <c r="I390">
        <f t="shared" si="29"/>
        <v>0.22331374849090349</v>
      </c>
      <c r="L390">
        <f t="shared" si="26"/>
        <v>0.25164434109811712</v>
      </c>
    </row>
    <row r="391" spans="5:12" x14ac:dyDescent="0.2">
      <c r="E391">
        <f t="shared" si="27"/>
        <v>291</v>
      </c>
      <c r="F391">
        <f t="shared" si="24"/>
        <v>0.98399999999999999</v>
      </c>
      <c r="G391">
        <f t="shared" si="25"/>
        <v>0.21810786762547041</v>
      </c>
      <c r="H391">
        <f t="shared" si="28"/>
        <v>0.24584192443204717</v>
      </c>
      <c r="I391">
        <f t="shared" si="29"/>
        <v>0.21810786762547041</v>
      </c>
      <c r="L391">
        <f t="shared" si="26"/>
        <v>0.24584192443204717</v>
      </c>
    </row>
    <row r="392" spans="5:12" x14ac:dyDescent="0.2">
      <c r="E392">
        <f t="shared" si="27"/>
        <v>292</v>
      </c>
      <c r="F392">
        <f t="shared" si="24"/>
        <v>1.008</v>
      </c>
      <c r="G392">
        <f t="shared" si="25"/>
        <v>0.21294800389084881</v>
      </c>
      <c r="H392">
        <f t="shared" si="28"/>
        <v>0.2400349999363395</v>
      </c>
      <c r="I392">
        <f t="shared" si="29"/>
        <v>0.21294800389084881</v>
      </c>
      <c r="L392">
        <f t="shared" si="26"/>
        <v>0.2400349999363395</v>
      </c>
    </row>
    <row r="393" spans="5:12" x14ac:dyDescent="0.2">
      <c r="E393">
        <f t="shared" si="27"/>
        <v>293</v>
      </c>
      <c r="F393">
        <f t="shared" si="24"/>
        <v>1.032</v>
      </c>
      <c r="G393">
        <f t="shared" si="25"/>
        <v>0.20783920722125546</v>
      </c>
      <c r="H393">
        <f t="shared" si="28"/>
        <v>0.23423028275621952</v>
      </c>
      <c r="I393">
        <f t="shared" si="29"/>
        <v>0.20783920722125546</v>
      </c>
      <c r="L393">
        <f t="shared" si="26"/>
        <v>0.23423028275621952</v>
      </c>
    </row>
    <row r="394" spans="5:12" x14ac:dyDescent="0.2">
      <c r="E394">
        <f t="shared" si="27"/>
        <v>294</v>
      </c>
      <c r="F394">
        <f t="shared" si="24"/>
        <v>1.056</v>
      </c>
      <c r="G394">
        <f t="shared" si="25"/>
        <v>0.20278614685322385</v>
      </c>
      <c r="H394">
        <f t="shared" si="28"/>
        <v>0.22843432378901604</v>
      </c>
      <c r="I394">
        <f t="shared" si="29"/>
        <v>0.20278614685322385</v>
      </c>
      <c r="L394">
        <f t="shared" si="26"/>
        <v>0.22843432378901604</v>
      </c>
    </row>
    <row r="395" spans="5:12" x14ac:dyDescent="0.2">
      <c r="E395">
        <f t="shared" si="27"/>
        <v>295</v>
      </c>
      <c r="F395">
        <f t="shared" si="24"/>
        <v>1.08</v>
      </c>
      <c r="G395">
        <f t="shared" si="25"/>
        <v>0.19779311806963132</v>
      </c>
      <c r="H395">
        <f t="shared" si="28"/>
        <v>0.22265349875176113</v>
      </c>
      <c r="I395">
        <f t="shared" si="29"/>
        <v>0.19779311806963132</v>
      </c>
      <c r="L395">
        <f t="shared" si="26"/>
        <v>0.22265349875176113</v>
      </c>
    </row>
    <row r="396" spans="5:12" x14ac:dyDescent="0.2">
      <c r="E396">
        <f t="shared" si="27"/>
        <v>296</v>
      </c>
      <c r="F396">
        <f t="shared" si="24"/>
        <v>1.1040000000000001</v>
      </c>
      <c r="G396">
        <f t="shared" si="25"/>
        <v>0.19286405031058435</v>
      </c>
      <c r="H396">
        <f t="shared" si="28"/>
        <v>0.21689399801423551</v>
      </c>
      <c r="I396">
        <f t="shared" si="29"/>
        <v>0.19286405031058435</v>
      </c>
      <c r="L396">
        <f t="shared" si="26"/>
        <v>0.21689399801423551</v>
      </c>
    </row>
    <row r="397" spans="5:12" x14ac:dyDescent="0.2">
      <c r="E397">
        <f t="shared" si="27"/>
        <v>297</v>
      </c>
      <c r="F397">
        <f t="shared" si="24"/>
        <v>1.1280000000000001</v>
      </c>
      <c r="G397">
        <f t="shared" si="25"/>
        <v>0.18800251648878533</v>
      </c>
      <c r="H397">
        <f t="shared" si="28"/>
        <v>0.21116181721320312</v>
      </c>
      <c r="I397">
        <f t="shared" si="29"/>
        <v>0.18800251648878533</v>
      </c>
      <c r="L397">
        <f t="shared" si="26"/>
        <v>0.21116181721320312</v>
      </c>
    </row>
    <row r="398" spans="5:12" x14ac:dyDescent="0.2">
      <c r="E398">
        <f t="shared" si="27"/>
        <v>298</v>
      </c>
      <c r="F398">
        <f t="shared" si="24"/>
        <v>1.1520000000000001</v>
      </c>
      <c r="G398">
        <f t="shared" si="25"/>
        <v>0.18321174335162632</v>
      </c>
      <c r="H398">
        <f t="shared" si="28"/>
        <v>0.20546274866007688</v>
      </c>
      <c r="I398">
        <f t="shared" si="29"/>
        <v>0.18321174335162632</v>
      </c>
      <c r="L398">
        <f t="shared" si="26"/>
        <v>0.20546274866007688</v>
      </c>
    </row>
    <row r="399" spans="5:12" x14ac:dyDescent="0.2">
      <c r="E399">
        <f t="shared" si="27"/>
        <v>299</v>
      </c>
      <c r="F399">
        <f t="shared" si="24"/>
        <v>1.1760000000000002</v>
      </c>
      <c r="G399">
        <f t="shared" si="25"/>
        <v>0.17849462273801589</v>
      </c>
      <c r="H399">
        <f t="shared" si="28"/>
        <v>0.19980237355078795</v>
      </c>
      <c r="I399">
        <f t="shared" si="29"/>
        <v>0.17849462273801589</v>
      </c>
      <c r="L399">
        <f t="shared" si="26"/>
        <v>0.19980237355078795</v>
      </c>
    </row>
    <row r="400" spans="5:12" x14ac:dyDescent="0.2">
      <c r="E400">
        <f t="shared" si="27"/>
        <v>300</v>
      </c>
      <c r="F400">
        <f t="shared" si="24"/>
        <v>1.2000000000000002</v>
      </c>
      <c r="G400">
        <f t="shared" si="25"/>
        <v>0.17385372358466916</v>
      </c>
      <c r="H400">
        <f t="shared" si="28"/>
        <v>0.19418605498321292</v>
      </c>
      <c r="I400">
        <f t="shared" si="29"/>
        <v>0.17385372358466916</v>
      </c>
      <c r="L400">
        <f t="shared" si="26"/>
        <v>0.19418605498321292</v>
      </c>
    </row>
    <row r="401" spans="5:12" x14ac:dyDescent="0.2">
      <c r="E401">
        <f t="shared" si="27"/>
        <v>301</v>
      </c>
      <c r="F401">
        <f t="shared" si="24"/>
        <v>1.2240000000000002</v>
      </c>
      <c r="G401">
        <f t="shared" si="25"/>
        <v>0.16929130454407559</v>
      </c>
      <c r="H401">
        <f t="shared" si="28"/>
        <v>0.18861893178415948</v>
      </c>
      <c r="I401">
        <f t="shared" si="29"/>
        <v>0.16929130454407559</v>
      </c>
      <c r="L401">
        <f t="shared" si="26"/>
        <v>0.18861893178415948</v>
      </c>
    </row>
    <row r="402" spans="5:12" x14ac:dyDescent="0.2">
      <c r="E402">
        <f t="shared" si="27"/>
        <v>302</v>
      </c>
      <c r="F402">
        <f t="shared" si="24"/>
        <v>1.2480000000000002</v>
      </c>
      <c r="G402">
        <f t="shared" si="25"/>
        <v>0.16480932708444107</v>
      </c>
      <c r="H402">
        <f t="shared" si="28"/>
        <v>0.18310591314463986</v>
      </c>
      <c r="I402">
        <f t="shared" si="29"/>
        <v>0.16480932708444107</v>
      </c>
      <c r="L402">
        <f t="shared" si="26"/>
        <v>0.18310591314463986</v>
      </c>
    </row>
    <row r="403" spans="5:12" x14ac:dyDescent="0.2">
      <c r="E403">
        <f t="shared" si="27"/>
        <v>303</v>
      </c>
      <c r="F403">
        <f t="shared" si="24"/>
        <v>1.2720000000000002</v>
      </c>
      <c r="G403">
        <f t="shared" si="25"/>
        <v>0.160409468950407</v>
      </c>
      <c r="H403">
        <f t="shared" si="28"/>
        <v>0.1776516740589851</v>
      </c>
      <c r="I403">
        <f t="shared" si="29"/>
        <v>0.160409468950407</v>
      </c>
      <c r="L403">
        <f t="shared" si="26"/>
        <v>0.1776516740589851</v>
      </c>
    </row>
    <row r="404" spans="5:12" x14ac:dyDescent="0.2">
      <c r="E404">
        <f t="shared" si="27"/>
        <v>304</v>
      </c>
      <c r="F404">
        <f t="shared" si="24"/>
        <v>1.2960000000000003</v>
      </c>
      <c r="G404">
        <f t="shared" si="25"/>
        <v>0.15609313787214149</v>
      </c>
      <c r="H404">
        <f t="shared" si="28"/>
        <v>0.17226065156028758</v>
      </c>
      <c r="I404">
        <f t="shared" si="29"/>
        <v>0.15609313787214149</v>
      </c>
      <c r="L404">
        <f t="shared" si="26"/>
        <v>0.17226065156028758</v>
      </c>
    </row>
    <row r="405" spans="5:12" x14ac:dyDescent="0.2">
      <c r="E405">
        <f t="shared" si="27"/>
        <v>305</v>
      </c>
      <c r="F405">
        <f t="shared" si="24"/>
        <v>1.3200000000000003</v>
      </c>
      <c r="G405">
        <f t="shared" si="25"/>
        <v>0.15186148541933012</v>
      </c>
      <c r="H405">
        <f t="shared" si="28"/>
        <v>0.16693704174171375</v>
      </c>
      <c r="I405">
        <f t="shared" si="29"/>
        <v>0.15186148541933012</v>
      </c>
      <c r="L405">
        <f t="shared" si="26"/>
        <v>0.16693704174171375</v>
      </c>
    </row>
    <row r="406" spans="5:12" x14ac:dyDescent="0.2">
      <c r="E406">
        <f t="shared" si="27"/>
        <v>306</v>
      </c>
      <c r="F406">
        <f t="shared" si="24"/>
        <v>1.3440000000000003</v>
      </c>
      <c r="G406">
        <f t="shared" si="25"/>
        <v>0.14771542090555762</v>
      </c>
      <c r="H406">
        <f t="shared" si="28"/>
        <v>0.1616847975504194</v>
      </c>
      <c r="I406">
        <f t="shared" si="29"/>
        <v>0.14771542090555762</v>
      </c>
      <c r="L406">
        <f t="shared" si="26"/>
        <v>0.1616847975504194</v>
      </c>
    </row>
    <row r="407" spans="5:12" x14ac:dyDescent="0.2">
      <c r="E407">
        <f t="shared" si="27"/>
        <v>307</v>
      </c>
      <c r="F407">
        <f t="shared" si="24"/>
        <v>1.3680000000000003</v>
      </c>
      <c r="G407">
        <f t="shared" si="25"/>
        <v>0.14365562525745446</v>
      </c>
      <c r="H407">
        <f t="shared" si="28"/>
        <v>0.15650762733813126</v>
      </c>
      <c r="I407">
        <f t="shared" si="29"/>
        <v>0.14365562525745446</v>
      </c>
      <c r="L407">
        <f t="shared" si="26"/>
        <v>0.15650762733813126</v>
      </c>
    </row>
    <row r="408" spans="5:12" x14ac:dyDescent="0.2">
      <c r="E408">
        <f t="shared" si="27"/>
        <v>308</v>
      </c>
      <c r="F408">
        <f t="shared" si="24"/>
        <v>1.3920000000000003</v>
      </c>
      <c r="G408">
        <f t="shared" si="25"/>
        <v>0.13968256477169527</v>
      </c>
      <c r="H408">
        <f t="shared" si="28"/>
        <v>0.15140899414994616</v>
      </c>
      <c r="I408">
        <f t="shared" si="29"/>
        <v>0.13968256477169527</v>
      </c>
      <c r="L408">
        <f t="shared" si="26"/>
        <v>0.15140899414994616</v>
      </c>
    </row>
    <row r="409" spans="5:12" x14ac:dyDescent="0.2">
      <c r="E409">
        <f t="shared" si="27"/>
        <v>309</v>
      </c>
      <c r="F409">
        <f t="shared" si="24"/>
        <v>1.4160000000000004</v>
      </c>
      <c r="G409">
        <f t="shared" si="25"/>
        <v>0.13579650469140422</v>
      </c>
      <c r="H409">
        <f t="shared" si="28"/>
        <v>0.1463921157305455</v>
      </c>
      <c r="I409">
        <f t="shared" si="29"/>
        <v>0.13579650469140422</v>
      </c>
      <c r="L409">
        <f t="shared" si="26"/>
        <v>0.1463921157305455</v>
      </c>
    </row>
    <row r="410" spans="5:12" x14ac:dyDescent="0.2">
      <c r="E410">
        <f t="shared" si="27"/>
        <v>310</v>
      </c>
      <c r="F410">
        <f t="shared" si="24"/>
        <v>1.4400000000000004</v>
      </c>
      <c r="G410">
        <f t="shared" si="25"/>
        <v>0.13199752254167907</v>
      </c>
      <c r="H410">
        <f t="shared" si="28"/>
        <v>0.1414599652248387</v>
      </c>
      <c r="I410">
        <f t="shared" si="29"/>
        <v>0.13199752254167907</v>
      </c>
      <c r="L410">
        <f t="shared" si="26"/>
        <v>0.1414599652248387</v>
      </c>
    </row>
    <row r="411" spans="5:12" x14ac:dyDescent="0.2">
      <c r="E411">
        <f t="shared" si="27"/>
        <v>311</v>
      </c>
      <c r="F411">
        <f t="shared" si="24"/>
        <v>1.4640000000000004</v>
      </c>
      <c r="G411">
        <f t="shared" si="25"/>
        <v>0.12828552117174033</v>
      </c>
      <c r="H411">
        <f t="shared" si="28"/>
        <v>0.1366152725480389</v>
      </c>
      <c r="I411">
        <f t="shared" si="29"/>
        <v>0.12828552117174033</v>
      </c>
      <c r="L411">
        <f t="shared" si="26"/>
        <v>0.1366152725480389</v>
      </c>
    </row>
    <row r="412" spans="5:12" x14ac:dyDescent="0.2">
      <c r="E412">
        <f t="shared" si="27"/>
        <v>312</v>
      </c>
      <c r="F412">
        <f t="shared" si="24"/>
        <v>1.4880000000000004</v>
      </c>
      <c r="G412">
        <f t="shared" si="25"/>
        <v>0.12466024145860637</v>
      </c>
      <c r="H412">
        <f t="shared" si="28"/>
        <v>0.13186052639834273</v>
      </c>
      <c r="I412">
        <f t="shared" si="29"/>
        <v>0.12466024145860637</v>
      </c>
      <c r="L412">
        <f t="shared" si="26"/>
        <v>0.13186052639834273</v>
      </c>
    </row>
    <row r="413" spans="5:12" x14ac:dyDescent="0.2">
      <c r="E413">
        <f t="shared" si="27"/>
        <v>313</v>
      </c>
      <c r="F413">
        <f t="shared" si="24"/>
        <v>1.5120000000000005</v>
      </c>
      <c r="G413">
        <f t="shared" si="25"/>
        <v>0.12112127463415467</v>
      </c>
      <c r="H413">
        <f t="shared" si="28"/>
        <v>0.12719797688373641</v>
      </c>
      <c r="I413">
        <f t="shared" si="29"/>
        <v>0.12112127463415467</v>
      </c>
      <c r="L413">
        <f t="shared" si="26"/>
        <v>0.12719797688373641</v>
      </c>
    </row>
    <row r="414" spans="5:12" x14ac:dyDescent="0.2">
      <c r="E414">
        <f t="shared" si="27"/>
        <v>314</v>
      </c>
      <c r="F414">
        <f t="shared" si="24"/>
        <v>1.5360000000000005</v>
      </c>
      <c r="G414">
        <f t="shared" si="25"/>
        <v>0.11766807420394025</v>
      </c>
      <c r="H414">
        <f t="shared" si="28"/>
        <v>0.12262963873298491</v>
      </c>
      <c r="I414">
        <f t="shared" si="29"/>
        <v>0.11766807420394025</v>
      </c>
      <c r="L414">
        <f t="shared" si="26"/>
        <v>0.12262963873298491</v>
      </c>
    </row>
    <row r="415" spans="5:12" x14ac:dyDescent="0.2">
      <c r="E415">
        <f t="shared" si="27"/>
        <v>315</v>
      </c>
      <c r="F415">
        <f t="shared" si="24"/>
        <v>1.5600000000000005</v>
      </c>
      <c r="G415">
        <f t="shared" si="25"/>
        <v>0.11429996743218451</v>
      </c>
      <c r="H415">
        <f t="shared" si="28"/>
        <v>0.11815729505958221</v>
      </c>
      <c r="I415">
        <f t="shared" si="29"/>
        <v>0.11429996743218451</v>
      </c>
      <c r="L415">
        <f t="shared" si="26"/>
        <v>0.11815729505958221</v>
      </c>
    </row>
    <row r="416" spans="5:12" x14ac:dyDescent="0.2">
      <c r="E416">
        <f t="shared" si="27"/>
        <v>316</v>
      </c>
      <c r="F416">
        <f t="shared" si="24"/>
        <v>1.5840000000000005</v>
      </c>
      <c r="G416">
        <f t="shared" si="25"/>
        <v>0.11101616637292502</v>
      </c>
      <c r="H416">
        <f t="shared" si="28"/>
        <v>0.11378250164634666</v>
      </c>
      <c r="I416">
        <f t="shared" si="29"/>
        <v>0.11101616637292502</v>
      </c>
      <c r="L416">
        <f t="shared" si="26"/>
        <v>0.11378250164634666</v>
      </c>
    </row>
    <row r="417" spans="5:12" x14ac:dyDescent="0.2">
      <c r="E417">
        <f t="shared" si="27"/>
        <v>317</v>
      </c>
      <c r="F417">
        <f t="shared" si="24"/>
        <v>1.6080000000000005</v>
      </c>
      <c r="G417">
        <f t="shared" si="25"/>
        <v>0.10781577843242061</v>
      </c>
      <c r="H417">
        <f t="shared" si="28"/>
        <v>0.10950659171743668</v>
      </c>
      <c r="I417">
        <f t="shared" si="29"/>
        <v>0.10781577843242061</v>
      </c>
      <c r="L417">
        <f t="shared" si="26"/>
        <v>0.10950659171743668</v>
      </c>
    </row>
    <row r="418" spans="5:12" x14ac:dyDescent="0.2">
      <c r="E418">
        <f t="shared" si="27"/>
        <v>318</v>
      </c>
      <c r="F418">
        <f t="shared" si="24"/>
        <v>1.6320000000000006</v>
      </c>
      <c r="G418">
        <f t="shared" si="25"/>
        <v>0.10469781645255544</v>
      </c>
      <c r="H418">
        <f t="shared" si="28"/>
        <v>0.10533068116383545</v>
      </c>
      <c r="I418">
        <f t="shared" si="29"/>
        <v>0.10469781645255544</v>
      </c>
      <c r="L418">
        <f t="shared" si="26"/>
        <v>0.10533068116383545</v>
      </c>
    </row>
    <row r="419" spans="5:12" x14ac:dyDescent="0.2">
      <c r="E419">
        <f t="shared" si="27"/>
        <v>319</v>
      </c>
      <c r="F419">
        <f t="shared" si="24"/>
        <v>1.6560000000000006</v>
      </c>
      <c r="G419">
        <f t="shared" si="25"/>
        <v>0.10166120830917887</v>
      </c>
      <c r="H419">
        <f t="shared" si="28"/>
        <v>0.10125567418780868</v>
      </c>
      <c r="I419">
        <f t="shared" si="29"/>
        <v>0.10166120830917887</v>
      </c>
      <c r="L419">
        <f t="shared" si="26"/>
        <v>0.10125567418780868</v>
      </c>
    </row>
    <row r="420" spans="5:12" x14ac:dyDescent="0.2">
      <c r="E420">
        <f t="shared" si="27"/>
        <v>320</v>
      </c>
      <c r="F420">
        <f t="shared" ref="F420:F483" si="30">$F$98+($F$99-$F$98)/500*E420</f>
        <v>1.6799999999999997</v>
      </c>
      <c r="G420">
        <f t="shared" ref="G420:G483" si="31">tpdf(F420,$G$97)</f>
        <v>9.8704806023082334E-2</v>
      </c>
      <c r="H420">
        <f t="shared" si="28"/>
        <v>9.7282269331467539E-2</v>
      </c>
      <c r="I420">
        <f t="shared" si="29"/>
        <v>9.8704806023082334E-2</v>
      </c>
      <c r="L420">
        <f t="shared" ref="L420:L483" si="32">NORMDIST(F420,$C$7,$C$8,0)</f>
        <v>9.7282269331467539E-2</v>
      </c>
    </row>
    <row r="421" spans="5:12" x14ac:dyDescent="0.2">
      <c r="E421">
        <f t="shared" ref="E421:E484" si="33">ROW(E421)-100</f>
        <v>321</v>
      </c>
      <c r="F421">
        <f t="shared" si="30"/>
        <v>1.7039999999999997</v>
      </c>
      <c r="G421">
        <f t="shared" si="31"/>
        <v>9.5827394384657982E-2</v>
      </c>
      <c r="H421">
        <f t="shared" ref="H421:H484" si="34">NORMDIST(F421,0,1,0)</f>
        <v>9.3410965854371211E-2</v>
      </c>
      <c r="I421">
        <f t="shared" ref="I421:I484" si="35">IF(ABS(F421)&gt;ABS($K$100),G421,"")</f>
        <v>9.5827394384657982E-2</v>
      </c>
      <c r="L421">
        <f t="shared" si="32"/>
        <v>9.3410965854371211E-2</v>
      </c>
    </row>
    <row r="422" spans="5:12" x14ac:dyDescent="0.2">
      <c r="E422">
        <f t="shared" si="33"/>
        <v>322</v>
      </c>
      <c r="F422">
        <f t="shared" si="30"/>
        <v>1.7279999999999998</v>
      </c>
      <c r="G422">
        <f t="shared" si="31"/>
        <v>9.3027699096236496E-2</v>
      </c>
      <c r="H422">
        <f t="shared" si="34"/>
        <v>8.9642070425072398E-2</v>
      </c>
      <c r="I422">
        <f t="shared" si="35"/>
        <v>9.3027699096236496E-2</v>
      </c>
      <c r="L422">
        <f t="shared" si="32"/>
        <v>8.9642070425072398E-2</v>
      </c>
    </row>
    <row r="423" spans="5:12" x14ac:dyDescent="0.2">
      <c r="E423">
        <f t="shared" si="33"/>
        <v>323</v>
      </c>
      <c r="F423">
        <f t="shared" si="30"/>
        <v>1.7519999999999998</v>
      </c>
      <c r="G423">
        <f t="shared" si="31"/>
        <v>9.030439443867351E-2</v>
      </c>
      <c r="H423">
        <f t="shared" si="34"/>
        <v>8.5975704091632174E-2</v>
      </c>
      <c r="I423">
        <f t="shared" si="35"/>
        <v>9.030439443867351E-2</v>
      </c>
      <c r="L423">
        <f t="shared" si="32"/>
        <v>8.5975704091632174E-2</v>
      </c>
    </row>
    <row r="424" spans="5:12" x14ac:dyDescent="0.2">
      <c r="E424">
        <f t="shared" si="33"/>
        <v>324</v>
      </c>
      <c r="F424">
        <f t="shared" si="30"/>
        <v>1.7759999999999998</v>
      </c>
      <c r="G424">
        <f t="shared" si="31"/>
        <v>8.7656110470984094E-2</v>
      </c>
      <c r="H424">
        <f t="shared" si="34"/>
        <v>8.2411809496414523E-2</v>
      </c>
      <c r="I424">
        <f t="shared" si="35"/>
        <v>8.7656110470984094E-2</v>
      </c>
      <c r="L424">
        <f t="shared" si="32"/>
        <v>8.2411809496414523E-2</v>
      </c>
    </row>
    <row r="425" spans="5:12" x14ac:dyDescent="0.2">
      <c r="E425">
        <f t="shared" si="33"/>
        <v>325</v>
      </c>
      <c r="F425">
        <f t="shared" si="30"/>
        <v>1.7999999999999998</v>
      </c>
      <c r="G425">
        <f t="shared" si="31"/>
        <v>8.5081439773721027E-2</v>
      </c>
      <c r="H425">
        <f t="shared" si="34"/>
        <v>7.8950158300894177E-2</v>
      </c>
      <c r="I425">
        <f t="shared" si="35"/>
        <v>8.5081439773721027E-2</v>
      </c>
      <c r="L425">
        <f t="shared" si="32"/>
        <v>7.8950158300894177E-2</v>
      </c>
    </row>
    <row r="426" spans="5:12" x14ac:dyDescent="0.2">
      <c r="E426">
        <f t="shared" si="33"/>
        <v>326</v>
      </c>
      <c r="F426">
        <f t="shared" si="30"/>
        <v>1.8239999999999998</v>
      </c>
      <c r="G426">
        <f t="shared" si="31"/>
        <v>8.2578943748390934E-2</v>
      </c>
      <c r="H426">
        <f t="shared" si="34"/>
        <v>7.5590358786774225E-2</v>
      </c>
      <c r="I426">
        <f t="shared" si="35"/>
        <v>8.2578943748390934E-2</v>
      </c>
      <c r="L426">
        <f t="shared" si="32"/>
        <v>7.5590358786774225E-2</v>
      </c>
    </row>
    <row r="427" spans="5:12" x14ac:dyDescent="0.2">
      <c r="E427">
        <f t="shared" si="33"/>
        <v>327</v>
      </c>
      <c r="F427">
        <f t="shared" si="30"/>
        <v>1.8479999999999999</v>
      </c>
      <c r="G427">
        <f t="shared" si="31"/>
        <v>8.0147158486520917E-2</v>
      </c>
      <c r="H427">
        <f t="shared" si="34"/>
        <v>7.2331863600401836E-2</v>
      </c>
      <c r="I427">
        <f t="shared" si="35"/>
        <v>8.0147158486520917E-2</v>
      </c>
      <c r="L427">
        <f t="shared" si="32"/>
        <v>7.2331863600401836E-2</v>
      </c>
    </row>
    <row r="428" spans="5:12" x14ac:dyDescent="0.2">
      <c r="E428">
        <f t="shared" si="33"/>
        <v>328</v>
      </c>
      <c r="F428">
        <f t="shared" si="30"/>
        <v>1.8719999999999999</v>
      </c>
      <c r="G428">
        <f t="shared" si="31"/>
        <v>7.7784600223053182E-2</v>
      </c>
      <c r="H428">
        <f t="shared" si="34"/>
        <v>6.9173977608282505E-2</v>
      </c>
      <c r="I428">
        <f t="shared" si="35"/>
        <v>7.7784600223053182E-2</v>
      </c>
      <c r="L428">
        <f t="shared" si="32"/>
        <v>6.9173977608282505E-2</v>
      </c>
    </row>
    <row r="429" spans="5:12" x14ac:dyDescent="0.2">
      <c r="E429">
        <f t="shared" si="33"/>
        <v>329</v>
      </c>
      <c r="F429">
        <f t="shared" si="30"/>
        <v>1.8959999999999999</v>
      </c>
      <c r="G429">
        <f t="shared" si="31"/>
        <v>7.5489770389578395E-2</v>
      </c>
      <c r="H429">
        <f t="shared" si="34"/>
        <v>6.6115865832415521E-2</v>
      </c>
      <c r="I429">
        <f t="shared" si="35"/>
        <v>7.5489770389578395E-2</v>
      </c>
      <c r="L429">
        <f t="shared" si="32"/>
        <v>6.6115865832415521E-2</v>
      </c>
    </row>
    <row r="430" spans="5:12" x14ac:dyDescent="0.2">
      <c r="E430">
        <f t="shared" si="33"/>
        <v>330</v>
      </c>
      <c r="F430">
        <f t="shared" si="30"/>
        <v>1.92</v>
      </c>
      <c r="G430">
        <f t="shared" si="31"/>
        <v>7.3261160283543431E-2</v>
      </c>
      <c r="H430">
        <f t="shared" si="34"/>
        <v>6.3156561435198655E-2</v>
      </c>
      <c r="I430">
        <f t="shared" si="35"/>
        <v>7.3261160283543431E-2</v>
      </c>
      <c r="L430">
        <f t="shared" si="32"/>
        <v>6.3156561435198655E-2</v>
      </c>
    </row>
    <row r="431" spans="5:12" x14ac:dyDescent="0.2">
      <c r="E431">
        <f t="shared" si="33"/>
        <v>331</v>
      </c>
      <c r="F431">
        <f t="shared" si="30"/>
        <v>1.944</v>
      </c>
      <c r="G431">
        <f t="shared" si="31"/>
        <v>7.1097255370006926E-2</v>
      </c>
      <c r="H431">
        <f t="shared" si="34"/>
        <v>6.0294973724765701E-2</v>
      </c>
      <c r="I431">
        <f t="shared" si="35"/>
        <v>7.1097255370006926E-2</v>
      </c>
      <c r="L431">
        <f t="shared" si="32"/>
        <v>6.0294973724765701E-2</v>
      </c>
    </row>
    <row r="432" spans="5:12" x14ac:dyDescent="0.2">
      <c r="E432">
        <f t="shared" si="33"/>
        <v>332</v>
      </c>
      <c r="F432">
        <f t="shared" si="30"/>
        <v>1.968</v>
      </c>
      <c r="G432">
        <f t="shared" si="31"/>
        <v>6.8996539232785856E-2</v>
      </c>
      <c r="H432">
        <f t="shared" si="34"/>
        <v>5.7529896152820871E-2</v>
      </c>
      <c r="I432">
        <f t="shared" si="35"/>
        <v>6.8996539232785856E-2</v>
      </c>
      <c r="L432">
        <f t="shared" si="32"/>
        <v>5.7529896152820871E-2</v>
      </c>
    </row>
    <row r="433" spans="5:12" x14ac:dyDescent="0.2">
      <c r="E433">
        <f t="shared" si="33"/>
        <v>333</v>
      </c>
      <c r="F433">
        <f t="shared" si="30"/>
        <v>1.992</v>
      </c>
      <c r="G433">
        <f t="shared" si="31"/>
        <v>6.6957497191959731E-2</v>
      </c>
      <c r="H433">
        <f t="shared" si="34"/>
        <v>5.4860014278304732E-2</v>
      </c>
      <c r="I433">
        <f t="shared" si="35"/>
        <v>6.6957497191959731E-2</v>
      </c>
      <c r="L433">
        <f t="shared" si="32"/>
        <v>5.4860014278304732E-2</v>
      </c>
    </row>
    <row r="434" spans="5:12" x14ac:dyDescent="0.2">
      <c r="E434">
        <f t="shared" si="33"/>
        <v>334</v>
      </c>
      <c r="F434">
        <f t="shared" si="30"/>
        <v>2.016</v>
      </c>
      <c r="G434">
        <f t="shared" si="31"/>
        <v>6.4978619604691076E-2</v>
      </c>
      <c r="H434">
        <f t="shared" si="34"/>
        <v>5.2283913671562113E-2</v>
      </c>
      <c r="I434">
        <f t="shared" si="35"/>
        <v>6.4978619604691076E-2</v>
      </c>
      <c r="L434">
        <f t="shared" si="32"/>
        <v>5.2283913671562113E-2</v>
      </c>
    </row>
    <row r="435" spans="5:12" x14ac:dyDescent="0.2">
      <c r="E435">
        <f t="shared" si="33"/>
        <v>335</v>
      </c>
      <c r="F435">
        <f t="shared" si="30"/>
        <v>2.0400000000000009</v>
      </c>
      <c r="G435">
        <f t="shared" si="31"/>
        <v>6.3058404866201664E-2</v>
      </c>
      <c r="H435">
        <f t="shared" si="34"/>
        <v>4.9800087735070685E-2</v>
      </c>
      <c r="I435">
        <f t="shared" si="35"/>
        <v>6.3058404866201664E-2</v>
      </c>
      <c r="L435">
        <f t="shared" si="32"/>
        <v>4.9800087735070685E-2</v>
      </c>
    </row>
    <row r="436" spans="5:12" x14ac:dyDescent="0.2">
      <c r="E436">
        <f t="shared" si="33"/>
        <v>336</v>
      </c>
      <c r="F436">
        <f t="shared" si="30"/>
        <v>2.0640000000000001</v>
      </c>
      <c r="G436">
        <f t="shared" si="31"/>
        <v>6.1195362127525903E-2</v>
      </c>
      <c r="H436">
        <f t="shared" si="34"/>
        <v>4.7406945418221713E-2</v>
      </c>
      <c r="I436">
        <f t="shared" si="35"/>
        <v>6.1195362127525903E-2</v>
      </c>
      <c r="L436">
        <f t="shared" si="32"/>
        <v>4.7406945418221713E-2</v>
      </c>
    </row>
    <row r="437" spans="5:12" x14ac:dyDescent="0.2">
      <c r="E437">
        <f t="shared" si="33"/>
        <v>337</v>
      </c>
      <c r="F437">
        <f t="shared" si="30"/>
        <v>2.088000000000001</v>
      </c>
      <c r="G437">
        <f t="shared" si="31"/>
        <v>5.9388013746360428E-2</v>
      </c>
      <c r="H437">
        <f t="shared" si="34"/>
        <v>4.510281880510994E-2</v>
      </c>
      <c r="I437">
        <f t="shared" si="35"/>
        <v>5.9388013746360428E-2</v>
      </c>
      <c r="L437">
        <f t="shared" si="32"/>
        <v>4.510281880510994E-2</v>
      </c>
    </row>
    <row r="438" spans="5:12" x14ac:dyDescent="0.2">
      <c r="E438">
        <f t="shared" si="33"/>
        <v>338</v>
      </c>
      <c r="F438">
        <f t="shared" si="30"/>
        <v>2.1120000000000001</v>
      </c>
      <c r="G438">
        <f t="shared" si="31"/>
        <v>5.7634897486962051E-2</v>
      </c>
      <c r="H438">
        <f t="shared" si="34"/>
        <v>4.2885970555787321E-2</v>
      </c>
      <c r="I438">
        <f t="shared" si="35"/>
        <v>5.7634897486962051E-2</v>
      </c>
      <c r="L438">
        <f t="shared" si="32"/>
        <v>4.2885970555787321E-2</v>
      </c>
    </row>
    <row r="439" spans="5:12" x14ac:dyDescent="0.2">
      <c r="E439">
        <f t="shared" si="33"/>
        <v>339</v>
      </c>
      <c r="F439">
        <f t="shared" si="30"/>
        <v>2.136000000000001</v>
      </c>
      <c r="G439">
        <f t="shared" si="31"/>
        <v>5.5934568484611154E-2</v>
      </c>
      <c r="H439">
        <f t="shared" si="34"/>
        <v>4.0754601182937472E-2</v>
      </c>
      <c r="I439">
        <f t="shared" si="35"/>
        <v>5.5934568484611154E-2</v>
      </c>
      <c r="L439">
        <f t="shared" si="32"/>
        <v>4.0754601182937472E-2</v>
      </c>
    </row>
    <row r="440" spans="5:12" x14ac:dyDescent="0.2">
      <c r="E440">
        <f t="shared" si="33"/>
        <v>340</v>
      </c>
      <c r="F440">
        <f t="shared" si="30"/>
        <v>2.16</v>
      </c>
      <c r="G440">
        <f t="shared" si="31"/>
        <v>5.4285600989687266E-2</v>
      </c>
      <c r="H440">
        <f t="shared" si="34"/>
        <v>3.8706856147455608E-2</v>
      </c>
      <c r="I440">
        <f t="shared" si="35"/>
        <v>5.4285600989687266E-2</v>
      </c>
      <c r="L440">
        <f t="shared" si="32"/>
        <v>3.8706856147455608E-2</v>
      </c>
    </row>
    <row r="441" spans="5:12" x14ac:dyDescent="0.2">
      <c r="E441">
        <f t="shared" si="33"/>
        <v>341</v>
      </c>
      <c r="F441">
        <f t="shared" si="30"/>
        <v>2.1840000000000011</v>
      </c>
      <c r="G441">
        <f t="shared" si="31"/>
        <v>5.2686589905883714E-2</v>
      </c>
      <c r="H441">
        <f t="shared" si="34"/>
        <v>3.6740832757927937E-2</v>
      </c>
      <c r="I441">
        <f t="shared" si="35"/>
        <v>5.2686589905883714E-2</v>
      </c>
      <c r="L441">
        <f t="shared" si="32"/>
        <v>3.6740832757927937E-2</v>
      </c>
    </row>
    <row r="442" spans="5:12" x14ac:dyDescent="0.2">
      <c r="E442">
        <f t="shared" si="33"/>
        <v>342</v>
      </c>
      <c r="F442">
        <f t="shared" si="30"/>
        <v>2.2080000000000002</v>
      </c>
      <c r="G442">
        <f t="shared" si="31"/>
        <v>5.1136152136550199E-2</v>
      </c>
      <c r="H442">
        <f t="shared" si="34"/>
        <v>3.4854586860525415E-2</v>
      </c>
      <c r="I442">
        <f t="shared" si="35"/>
        <v>5.1136152136550199E-2</v>
      </c>
      <c r="L442">
        <f t="shared" si="32"/>
        <v>3.4854586860525415E-2</v>
      </c>
    </row>
    <row r="443" spans="5:12" x14ac:dyDescent="0.2">
      <c r="E443">
        <f t="shared" si="33"/>
        <v>343</v>
      </c>
      <c r="F443">
        <f t="shared" si="30"/>
        <v>2.2319999999999993</v>
      </c>
      <c r="G443">
        <f t="shared" si="31"/>
        <v>4.9632927752583003E-2</v>
      </c>
      <c r="H443">
        <f t="shared" si="34"/>
        <v>3.3046139307314877E-2</v>
      </c>
      <c r="I443">
        <f t="shared" si="35"/>
        <v>4.9632927752583003E-2</v>
      </c>
      <c r="L443">
        <f t="shared" si="32"/>
        <v>3.3046139307314877E-2</v>
      </c>
    </row>
    <row r="444" spans="5:12" x14ac:dyDescent="0.2">
      <c r="E444">
        <f t="shared" si="33"/>
        <v>344</v>
      </c>
      <c r="F444">
        <f t="shared" si="30"/>
        <v>2.2560000000000002</v>
      </c>
      <c r="G444">
        <f t="shared" si="31"/>
        <v>4.8175580994708145E-2</v>
      </c>
      <c r="H444">
        <f t="shared" si="34"/>
        <v>3.1313482192474262E-2</v>
      </c>
      <c r="I444">
        <f t="shared" si="35"/>
        <v>4.8175580994708145E-2</v>
      </c>
      <c r="L444">
        <f t="shared" si="32"/>
        <v>3.1313482192474262E-2</v>
      </c>
    </row>
    <row r="445" spans="5:12" x14ac:dyDescent="0.2">
      <c r="E445">
        <f t="shared" si="33"/>
        <v>345</v>
      </c>
      <c r="F445">
        <f t="shared" si="30"/>
        <v>2.2799999999999994</v>
      </c>
      <c r="G445">
        <f t="shared" si="31"/>
        <v>4.6762801122413662E-2</v>
      </c>
      <c r="H445">
        <f t="shared" si="34"/>
        <v>2.9654584847341316E-2</v>
      </c>
      <c r="I445">
        <f t="shared" si="35"/>
        <v>4.6762801122413662E-2</v>
      </c>
      <c r="L445">
        <f t="shared" si="32"/>
        <v>2.9654584847341316E-2</v>
      </c>
    </row>
    <row r="446" spans="5:12" x14ac:dyDescent="0.2">
      <c r="E446">
        <f t="shared" si="33"/>
        <v>346</v>
      </c>
      <c r="F446">
        <f t="shared" si="30"/>
        <v>2.3040000000000003</v>
      </c>
      <c r="G446">
        <f t="shared" si="31"/>
        <v>4.5393303121195952E-2</v>
      </c>
      <c r="H446">
        <f t="shared" si="34"/>
        <v>2.8067399586640077E-2</v>
      </c>
      <c r="I446">
        <f t="shared" si="35"/>
        <v>4.5393303121195952E-2</v>
      </c>
      <c r="L446">
        <f t="shared" si="32"/>
        <v>2.8067399586640077E-2</v>
      </c>
    </row>
    <row r="447" spans="5:12" x14ac:dyDescent="0.2">
      <c r="E447">
        <f t="shared" si="33"/>
        <v>347</v>
      </c>
      <c r="F447">
        <f t="shared" si="30"/>
        <v>2.3279999999999994</v>
      </c>
      <c r="G447">
        <f t="shared" si="31"/>
        <v>4.4065828279201795E-2</v>
      </c>
      <c r="H447">
        <f t="shared" si="34"/>
        <v>2.6549867199608838E-2</v>
      </c>
      <c r="I447">
        <f t="shared" si="35"/>
        <v>4.4065828279201795E-2</v>
      </c>
      <c r="L447">
        <f t="shared" si="32"/>
        <v>2.6549867199608838E-2</v>
      </c>
    </row>
    <row r="448" spans="5:12" x14ac:dyDescent="0.2">
      <c r="E448">
        <f t="shared" si="33"/>
        <v>348</v>
      </c>
      <c r="F448">
        <f t="shared" si="30"/>
        <v>2.3520000000000003</v>
      </c>
      <c r="G448">
        <f t="shared" si="31"/>
        <v>4.2779144643757865E-2</v>
      </c>
      <c r="H448">
        <f t="shared" si="34"/>
        <v>2.5099922181077736E-2</v>
      </c>
      <c r="I448">
        <f t="shared" si="35"/>
        <v>4.2779144643757865E-2</v>
      </c>
      <c r="L448">
        <f t="shared" si="32"/>
        <v>2.5099922181077736E-2</v>
      </c>
    </row>
    <row r="449" spans="5:12" x14ac:dyDescent="0.2">
      <c r="E449">
        <f t="shared" si="33"/>
        <v>349</v>
      </c>
      <c r="F449">
        <f t="shared" si="30"/>
        <v>2.3759999999999994</v>
      </c>
      <c r="G449">
        <f t="shared" si="31"/>
        <v>4.1532047367712877E-2</v>
      </c>
      <c r="H449">
        <f t="shared" si="34"/>
        <v>2.3715497698834888E-2</v>
      </c>
      <c r="I449">
        <f t="shared" si="35"/>
        <v>4.1532047367712877E-2</v>
      </c>
      <c r="L449">
        <f t="shared" si="32"/>
        <v>2.3715497698834888E-2</v>
      </c>
    </row>
    <row r="450" spans="5:12" x14ac:dyDescent="0.2">
      <c r="E450">
        <f t="shared" si="33"/>
        <v>350</v>
      </c>
      <c r="F450">
        <f t="shared" si="30"/>
        <v>2.4000000000000004</v>
      </c>
      <c r="G450">
        <f t="shared" si="31"/>
        <v>4.0323358954948249E-2</v>
      </c>
      <c r="H450">
        <f t="shared" si="34"/>
        <v>2.2394530294842882E-2</v>
      </c>
      <c r="I450">
        <f t="shared" si="35"/>
        <v>4.0323358954948249E-2</v>
      </c>
      <c r="L450">
        <f t="shared" si="32"/>
        <v>2.2394530294842882E-2</v>
      </c>
    </row>
    <row r="451" spans="5:12" x14ac:dyDescent="0.2">
      <c r="E451">
        <f t="shared" si="33"/>
        <v>351</v>
      </c>
      <c r="F451">
        <f t="shared" si="30"/>
        <v>2.4239999999999995</v>
      </c>
      <c r="G451">
        <f t="shared" si="31"/>
        <v>3.9151929413871064E-2</v>
      </c>
      <c r="H451">
        <f t="shared" si="34"/>
        <v>2.1134964319050504E-2</v>
      </c>
      <c r="I451">
        <f t="shared" si="35"/>
        <v>3.9151929413871064E-2</v>
      </c>
      <c r="L451">
        <f t="shared" si="32"/>
        <v>2.1134964319050504E-2</v>
      </c>
    </row>
    <row r="452" spans="5:12" x14ac:dyDescent="0.2">
      <c r="E452">
        <f t="shared" si="33"/>
        <v>352</v>
      </c>
      <c r="F452">
        <f t="shared" si="30"/>
        <v>2.4480000000000004</v>
      </c>
      <c r="G452">
        <f t="shared" si="31"/>
        <v>3.8016636327164718E-2</v>
      </c>
      <c r="H452">
        <f t="shared" si="34"/>
        <v>1.9934756095653629E-2</v>
      </c>
      <c r="I452">
        <f t="shared" si="35"/>
        <v>3.8016636327164718E-2</v>
      </c>
      <c r="L452">
        <f t="shared" si="32"/>
        <v>1.9934756095653629E-2</v>
      </c>
    </row>
    <row r="453" spans="5:12" x14ac:dyDescent="0.2">
      <c r="E453">
        <f t="shared" si="33"/>
        <v>353</v>
      </c>
      <c r="F453">
        <f t="shared" si="30"/>
        <v>2.4719999999999995</v>
      </c>
      <c r="G453">
        <f t="shared" si="31"/>
        <v>3.6916384845562755E-2</v>
      </c>
      <c r="H453">
        <f t="shared" si="34"/>
        <v>1.8791877822721854E-2</v>
      </c>
      <c r="I453">
        <f t="shared" si="35"/>
        <v>3.6916384845562755E-2</v>
      </c>
      <c r="L453">
        <f t="shared" si="32"/>
        <v>1.8791877822721854E-2</v>
      </c>
    </row>
    <row r="454" spans="5:12" x14ac:dyDescent="0.2">
      <c r="E454">
        <f t="shared" si="33"/>
        <v>354</v>
      </c>
      <c r="F454">
        <f t="shared" si="30"/>
        <v>2.4960000000000004</v>
      </c>
      <c r="G454">
        <f t="shared" si="31"/>
        <v>3.5850107612909812E-2</v>
      </c>
      <c r="H454">
        <f t="shared" si="34"/>
        <v>1.7704321207094198E-2</v>
      </c>
      <c r="I454">
        <f t="shared" si="35"/>
        <v>3.5850107612909812E-2</v>
      </c>
      <c r="L454">
        <f t="shared" si="32"/>
        <v>1.7704321207094198E-2</v>
      </c>
    </row>
    <row r="455" spans="5:12" x14ac:dyDescent="0.2">
      <c r="E455">
        <f t="shared" si="33"/>
        <v>355</v>
      </c>
      <c r="F455">
        <f t="shared" si="30"/>
        <v>2.5199999999999996</v>
      </c>
      <c r="G455">
        <f t="shared" si="31"/>
        <v>3.4816764629300556E-2</v>
      </c>
      <c r="H455">
        <f t="shared" si="34"/>
        <v>1.6670100837381078E-2</v>
      </c>
      <c r="I455">
        <f t="shared" si="35"/>
        <v>3.4816764629300556E-2</v>
      </c>
      <c r="L455">
        <f t="shared" si="32"/>
        <v>1.6670100837381078E-2</v>
      </c>
    </row>
    <row r="456" spans="5:12" x14ac:dyDescent="0.2">
      <c r="E456">
        <f t="shared" si="33"/>
        <v>356</v>
      </c>
      <c r="F456">
        <f t="shared" si="30"/>
        <v>2.5440000000000005</v>
      </c>
      <c r="G456">
        <f t="shared" si="31"/>
        <v>3.3815343058625824E-2</v>
      </c>
      <c r="H456">
        <f t="shared" si="34"/>
        <v>1.56872572987681E-2</v>
      </c>
      <c r="I456">
        <f t="shared" si="35"/>
        <v>3.3815343058625824E-2</v>
      </c>
      <c r="L456">
        <f t="shared" si="32"/>
        <v>1.56872572987681E-2</v>
      </c>
    </row>
    <row r="457" spans="5:12" x14ac:dyDescent="0.2">
      <c r="E457">
        <f t="shared" si="33"/>
        <v>357</v>
      </c>
      <c r="F457">
        <f t="shared" si="30"/>
        <v>2.5679999999999996</v>
      </c>
      <c r="G457">
        <f t="shared" si="31"/>
        <v>3.2844856986422692E-2</v>
      </c>
      <c r="H457">
        <f t="shared" si="34"/>
        <v>1.4753860034118655E-2</v>
      </c>
      <c r="I457">
        <f t="shared" si="35"/>
        <v>3.2844856986422692E-2</v>
      </c>
      <c r="L457">
        <f t="shared" si="32"/>
        <v>1.4753860034118655E-2</v>
      </c>
    </row>
    <row r="458" spans="5:12" x14ac:dyDescent="0.2">
      <c r="E458">
        <f t="shared" si="33"/>
        <v>358</v>
      </c>
      <c r="F458">
        <f t="shared" si="30"/>
        <v>2.5920000000000005</v>
      </c>
      <c r="G458">
        <f t="shared" si="31"/>
        <v>3.1904347133503284E-2</v>
      </c>
      <c r="H458">
        <f t="shared" si="34"/>
        <v>1.386800995659916E-2</v>
      </c>
      <c r="I458">
        <f t="shared" si="35"/>
        <v>3.1904347133503284E-2</v>
      </c>
      <c r="L458">
        <f t="shared" si="32"/>
        <v>1.386800995659916E-2</v>
      </c>
    </row>
    <row r="459" spans="5:12" x14ac:dyDescent="0.2">
      <c r="E459">
        <f t="shared" si="33"/>
        <v>359</v>
      </c>
      <c r="F459">
        <f t="shared" si="30"/>
        <v>2.6159999999999997</v>
      </c>
      <c r="G459">
        <f t="shared" si="31"/>
        <v>3.0992880530446514E-2</v>
      </c>
      <c r="H459">
        <f t="shared" si="34"/>
        <v>1.3027841819719681E-2</v>
      </c>
      <c r="I459">
        <f t="shared" si="35"/>
        <v>3.0992880530446514E-2</v>
      </c>
      <c r="L459">
        <f t="shared" si="32"/>
        <v>1.3027841819719681E-2</v>
      </c>
    </row>
    <row r="460" spans="5:12" x14ac:dyDescent="0.2">
      <c r="E460">
        <f t="shared" si="33"/>
        <v>360</v>
      </c>
      <c r="F460">
        <f t="shared" si="30"/>
        <v>2.6400000000000006</v>
      </c>
      <c r="G460">
        <f t="shared" si="31"/>
        <v>3.0109550157655689E-2</v>
      </c>
      <c r="H460">
        <f t="shared" si="34"/>
        <v>1.2231526351277954E-2</v>
      </c>
      <c r="I460">
        <f t="shared" si="35"/>
        <v>3.0109550157655689E-2</v>
      </c>
      <c r="L460">
        <f t="shared" si="32"/>
        <v>1.2231526351277954E-2</v>
      </c>
    </row>
    <row r="461" spans="5:12" x14ac:dyDescent="0.2">
      <c r="E461">
        <f t="shared" si="33"/>
        <v>361</v>
      </c>
      <c r="F461">
        <f t="shared" si="30"/>
        <v>2.6639999999999997</v>
      </c>
      <c r="G461">
        <f t="shared" si="31"/>
        <v>2.9253474555334051E-2</v>
      </c>
      <c r="H461">
        <f t="shared" si="34"/>
        <v>1.1477272158233767E-2</v>
      </c>
      <c r="I461">
        <f t="shared" si="35"/>
        <v>2.9253474555334051E-2</v>
      </c>
      <c r="L461">
        <f t="shared" si="32"/>
        <v>1.1477272158233767E-2</v>
      </c>
    </row>
    <row r="462" spans="5:12" x14ac:dyDescent="0.2">
      <c r="E462">
        <f t="shared" si="33"/>
        <v>362</v>
      </c>
      <c r="F462">
        <f t="shared" si="30"/>
        <v>2.6880000000000006</v>
      </c>
      <c r="G462">
        <f t="shared" si="31"/>
        <v>2.8423797407389238E-2</v>
      </c>
      <c r="H462">
        <f t="shared" si="34"/>
        <v>1.0763327410007729E-2</v>
      </c>
      <c r="I462">
        <f t="shared" si="35"/>
        <v>2.8423797407389238E-2</v>
      </c>
      <c r="L462">
        <f t="shared" si="32"/>
        <v>1.0763327410007729E-2</v>
      </c>
    </row>
    <row r="463" spans="5:12" x14ac:dyDescent="0.2">
      <c r="E463">
        <f t="shared" si="33"/>
        <v>363</v>
      </c>
      <c r="F463">
        <f t="shared" si="30"/>
        <v>2.7119999999999997</v>
      </c>
      <c r="G463">
        <f t="shared" si="31"/>
        <v>2.7619687102965432E-2</v>
      </c>
      <c r="H463">
        <f t="shared" si="34"/>
        <v>1.008798130811189E-2</v>
      </c>
      <c r="I463">
        <f t="shared" si="35"/>
        <v>2.7619687102965432E-2</v>
      </c>
      <c r="L463">
        <f t="shared" si="32"/>
        <v>1.008798130811189E-2</v>
      </c>
    </row>
    <row r="464" spans="5:12" x14ac:dyDescent="0.2">
      <c r="E464">
        <f t="shared" si="33"/>
        <v>364</v>
      </c>
      <c r="F464">
        <f t="shared" si="30"/>
        <v>2.7360000000000007</v>
      </c>
      <c r="G464">
        <f t="shared" si="31"/>
        <v>2.6840336278998667E-2</v>
      </c>
      <c r="H464">
        <f t="shared" si="34"/>
        <v>9.449565350364706E-3</v>
      </c>
      <c r="I464">
        <f t="shared" si="35"/>
        <v>2.6840336278998667E-2</v>
      </c>
      <c r="L464">
        <f t="shared" si="32"/>
        <v>9.449565350364706E-3</v>
      </c>
    </row>
    <row r="465" spans="5:12" x14ac:dyDescent="0.2">
      <c r="E465">
        <f t="shared" si="33"/>
        <v>365</v>
      </c>
      <c r="F465">
        <f t="shared" si="30"/>
        <v>2.76</v>
      </c>
      <c r="G465">
        <f t="shared" si="31"/>
        <v>2.6084961346914844E-2</v>
      </c>
      <c r="H465">
        <f t="shared" si="34"/>
        <v>8.8464543982372315E-3</v>
      </c>
      <c r="I465">
        <f t="shared" si="35"/>
        <v>2.6084961346914844E-2</v>
      </c>
      <c r="L465">
        <f t="shared" si="32"/>
        <v>8.8464543982372315E-3</v>
      </c>
    </row>
    <row r="466" spans="5:12" x14ac:dyDescent="0.2">
      <c r="E466">
        <f t="shared" si="33"/>
        <v>366</v>
      </c>
      <c r="F466">
        <f t="shared" si="30"/>
        <v>2.7840000000000007</v>
      </c>
      <c r="G466">
        <f t="shared" si="31"/>
        <v>2.5352802006322839E-2</v>
      </c>
      <c r="H466">
        <f t="shared" si="34"/>
        <v>8.277067556108476E-3</v>
      </c>
      <c r="I466">
        <f t="shared" si="35"/>
        <v>2.5352802006322839E-2</v>
      </c>
      <c r="L466">
        <f t="shared" si="32"/>
        <v>8.277067556108476E-3</v>
      </c>
    </row>
    <row r="467" spans="5:12" x14ac:dyDescent="0.2">
      <c r="E467">
        <f t="shared" si="33"/>
        <v>367</v>
      </c>
      <c r="F467">
        <f t="shared" si="30"/>
        <v>2.8079999999999998</v>
      </c>
      <c r="G467">
        <f t="shared" si="31"/>
        <v>2.4643120748312371E-2</v>
      </c>
      <c r="H467">
        <f t="shared" si="34"/>
        <v>7.739868871391698E-3</v>
      </c>
      <c r="I467">
        <f t="shared" si="35"/>
        <v>2.4643120748312371E-2</v>
      </c>
      <c r="L467">
        <f t="shared" si="32"/>
        <v>7.739868871391698E-3</v>
      </c>
    </row>
    <row r="468" spans="5:12" x14ac:dyDescent="0.2">
      <c r="E468">
        <f t="shared" si="33"/>
        <v>368</v>
      </c>
      <c r="F468">
        <f t="shared" si="30"/>
        <v>2.8320000000000007</v>
      </c>
      <c r="G468">
        <f t="shared" si="31"/>
        <v>2.3955202350732608E-2</v>
      </c>
      <c r="H468">
        <f t="shared" si="34"/>
        <v>7.2333678646196676E-3</v>
      </c>
      <c r="I468">
        <f t="shared" si="35"/>
        <v>2.3955202350732608E-2</v>
      </c>
      <c r="L468">
        <f t="shared" si="32"/>
        <v>7.2333678646196676E-3</v>
      </c>
    </row>
    <row r="469" spans="5:12" x14ac:dyDescent="0.2">
      <c r="E469">
        <f t="shared" si="33"/>
        <v>369</v>
      </c>
      <c r="F469">
        <f t="shared" si="30"/>
        <v>2.8559999999999999</v>
      </c>
      <c r="G469">
        <f t="shared" si="31"/>
        <v>2.3288353367615314E-2</v>
      </c>
      <c r="H469">
        <f t="shared" si="34"/>
        <v>6.7561198986603012E-3</v>
      </c>
      <c r="I469">
        <f t="shared" si="35"/>
        <v>2.3288353367615314E-2</v>
      </c>
      <c r="L469">
        <f t="shared" si="32"/>
        <v>6.7561198986603012E-3</v>
      </c>
    </row>
    <row r="470" spans="5:12" x14ac:dyDescent="0.2">
      <c r="E470">
        <f t="shared" si="33"/>
        <v>370</v>
      </c>
      <c r="F470">
        <f t="shared" si="30"/>
        <v>2.8800000000000008</v>
      </c>
      <c r="G470">
        <f t="shared" si="31"/>
        <v>2.2641901614703346E-2</v>
      </c>
      <c r="H470">
        <f t="shared" si="34"/>
        <v>6.3067263962659102E-3</v>
      </c>
      <c r="I470">
        <f t="shared" si="35"/>
        <v>2.2641901614703346E-2</v>
      </c>
      <c r="L470">
        <f t="shared" si="32"/>
        <v>6.3067263962659102E-3</v>
      </c>
    </row>
    <row r="471" spans="5:12" x14ac:dyDescent="0.2">
      <c r="E471">
        <f t="shared" si="33"/>
        <v>371</v>
      </c>
      <c r="F471">
        <f t="shared" si="30"/>
        <v>2.9039999999999999</v>
      </c>
      <c r="G471">
        <f t="shared" si="31"/>
        <v>2.2015195652861166E-2</v>
      </c>
      <c r="H471">
        <f t="shared" si="34"/>
        <v>5.883834915153101E-3</v>
      </c>
      <c r="I471">
        <f t="shared" si="35"/>
        <v>2.2015195652861166E-2</v>
      </c>
      <c r="L471">
        <f t="shared" si="32"/>
        <v>5.883834915153101E-3</v>
      </c>
    </row>
    <row r="472" spans="5:12" x14ac:dyDescent="0.2">
      <c r="E472">
        <f t="shared" si="33"/>
        <v>372</v>
      </c>
      <c r="F472">
        <f t="shared" si="30"/>
        <v>2.9280000000000008</v>
      </c>
      <c r="G472">
        <f t="shared" si="31"/>
        <v>2.1407604270967859E-2</v>
      </c>
      <c r="H472">
        <f t="shared" si="34"/>
        <v>5.4861390897587908E-3</v>
      </c>
      <c r="I472">
        <f t="shared" si="35"/>
        <v>2.1407604270967859E-2</v>
      </c>
      <c r="L472">
        <f t="shared" si="32"/>
        <v>5.4861390897587908E-3</v>
      </c>
    </row>
    <row r="473" spans="5:12" x14ac:dyDescent="0.2">
      <c r="E473">
        <f t="shared" si="33"/>
        <v>373</v>
      </c>
      <c r="F473">
        <f t="shared" si="30"/>
        <v>2.952</v>
      </c>
      <c r="G473">
        <f t="shared" si="31"/>
        <v>2.0818515969735316E-2</v>
      </c>
      <c r="H473">
        <f t="shared" si="34"/>
        <v>5.1123784487336638E-3</v>
      </c>
      <c r="I473">
        <f t="shared" si="35"/>
        <v>2.0818515969735316E-2</v>
      </c>
      <c r="L473">
        <f t="shared" si="32"/>
        <v>5.1123784487336638E-3</v>
      </c>
    </row>
    <row r="474" spans="5:12" x14ac:dyDescent="0.2">
      <c r="E474">
        <f t="shared" si="33"/>
        <v>374</v>
      </c>
      <c r="F474">
        <f t="shared" si="30"/>
        <v>2.9760000000000009</v>
      </c>
      <c r="G474">
        <f t="shared" si="31"/>
        <v>2.0247338447741837E-2</v>
      </c>
      <c r="H474">
        <f t="shared" si="34"/>
        <v>4.7613381171109914E-3</v>
      </c>
      <c r="I474">
        <f t="shared" si="35"/>
        <v>2.0247338447741837E-2</v>
      </c>
      <c r="L474">
        <f t="shared" si="32"/>
        <v>4.7613381171109914E-3</v>
      </c>
    </row>
    <row r="475" spans="5:12" x14ac:dyDescent="0.2">
      <c r="E475">
        <f t="shared" si="33"/>
        <v>375</v>
      </c>
      <c r="F475">
        <f t="shared" si="30"/>
        <v>3</v>
      </c>
      <c r="G475">
        <f t="shared" si="31"/>
        <v>1.969349809083654E-2</v>
      </c>
      <c r="H475">
        <f t="shared" si="34"/>
        <v>4.4318484119380075E-3</v>
      </c>
      <c r="I475">
        <f t="shared" si="35"/>
        <v>1.969349809083654E-2</v>
      </c>
      <c r="L475">
        <f t="shared" si="32"/>
        <v>4.4318484119380075E-3</v>
      </c>
    </row>
    <row r="476" spans="5:12" x14ac:dyDescent="0.2">
      <c r="E476">
        <f t="shared" si="33"/>
        <v>376</v>
      </c>
      <c r="F476">
        <f t="shared" si="30"/>
        <v>3.0240000000000009</v>
      </c>
      <c r="G476">
        <f t="shared" si="31"/>
        <v>1.9156439465939538E-2</v>
      </c>
      <c r="H476">
        <f t="shared" si="34"/>
        <v>4.1227843399736916E-3</v>
      </c>
      <c r="I476">
        <f t="shared" si="35"/>
        <v>1.9156439465939538E-2</v>
      </c>
      <c r="L476">
        <f t="shared" si="32"/>
        <v>4.1227843399736916E-3</v>
      </c>
    </row>
    <row r="477" spans="5:12" x14ac:dyDescent="0.2">
      <c r="E477">
        <f t="shared" si="33"/>
        <v>377</v>
      </c>
      <c r="F477">
        <f t="shared" si="30"/>
        <v>3.048</v>
      </c>
      <c r="G477">
        <f t="shared" si="31"/>
        <v>1.8635624820147932E-2</v>
      </c>
      <c r="H477">
        <f t="shared" si="34"/>
        <v>3.8330650058511109E-3</v>
      </c>
      <c r="I477">
        <f t="shared" si="35"/>
        <v>1.8635624820147932E-2</v>
      </c>
      <c r="L477">
        <f t="shared" si="32"/>
        <v>3.8330650058511109E-3</v>
      </c>
    </row>
    <row r="478" spans="5:12" x14ac:dyDescent="0.2">
      <c r="E478">
        <f t="shared" si="33"/>
        <v>378</v>
      </c>
      <c r="F478">
        <f t="shared" si="30"/>
        <v>3.072000000000001</v>
      </c>
      <c r="G478">
        <f t="shared" si="31"/>
        <v>1.8130533585946594E-2</v>
      </c>
      <c r="H478">
        <f t="shared" si="34"/>
        <v>3.5616529388703255E-3</v>
      </c>
      <c r="I478">
        <f t="shared" si="35"/>
        <v>1.8130533585946594E-2</v>
      </c>
      <c r="L478">
        <f t="shared" si="32"/>
        <v>3.5616529388703255E-3</v>
      </c>
    </row>
    <row r="479" spans="5:12" x14ac:dyDescent="0.2">
      <c r="E479">
        <f t="shared" si="33"/>
        <v>379</v>
      </c>
      <c r="F479">
        <f t="shared" si="30"/>
        <v>3.0960000000000001</v>
      </c>
      <c r="G479">
        <f t="shared" si="31"/>
        <v>1.7640661893225631E-2</v>
      </c>
      <c r="H479">
        <f t="shared" si="34"/>
        <v>3.3075533463386006E-3</v>
      </c>
      <c r="I479">
        <f t="shared" si="35"/>
        <v>1.7640661893225631E-2</v>
      </c>
      <c r="L479">
        <f t="shared" si="32"/>
        <v>3.3075533463386006E-3</v>
      </c>
    </row>
    <row r="480" spans="5:12" x14ac:dyDescent="0.2">
      <c r="E480">
        <f t="shared" si="33"/>
        <v>380</v>
      </c>
      <c r="F480">
        <f t="shared" si="30"/>
        <v>3.120000000000001</v>
      </c>
      <c r="G480">
        <f t="shared" si="31"/>
        <v>1.7165522088712411E-2</v>
      </c>
      <c r="H480">
        <f t="shared" si="34"/>
        <v>3.0698133011047325E-3</v>
      </c>
      <c r="I480">
        <f t="shared" si="35"/>
        <v>1.7165522088712411E-2</v>
      </c>
      <c r="L480">
        <f t="shared" si="32"/>
        <v>3.0698133011047325E-3</v>
      </c>
    </row>
    <row r="481" spans="5:12" x14ac:dyDescent="0.2">
      <c r="E481">
        <f t="shared" si="33"/>
        <v>381</v>
      </c>
      <c r="F481">
        <f t="shared" si="30"/>
        <v>3.1440000000000001</v>
      </c>
      <c r="G481">
        <f t="shared" si="31"/>
        <v>1.6704642263344262E-2</v>
      </c>
      <c r="H481">
        <f t="shared" si="34"/>
        <v>2.8475208706519421E-3</v>
      </c>
      <c r="I481">
        <f t="shared" si="35"/>
        <v>1.6704642263344262E-2</v>
      </c>
      <c r="L481">
        <f t="shared" si="32"/>
        <v>2.8475208706519421E-3</v>
      </c>
    </row>
    <row r="482" spans="5:12" x14ac:dyDescent="0.2">
      <c r="E482">
        <f t="shared" si="33"/>
        <v>382</v>
      </c>
      <c r="F482">
        <f t="shared" si="30"/>
        <v>3.168000000000001</v>
      </c>
      <c r="G482">
        <f t="shared" si="31"/>
        <v>1.6257565788029043E-2</v>
      </c>
      <c r="H482">
        <f t="shared" si="34"/>
        <v>2.6398041948164446E-3</v>
      </c>
      <c r="I482">
        <f t="shared" si="35"/>
        <v>1.6257565788029043E-2</v>
      </c>
      <c r="L482">
        <f t="shared" si="32"/>
        <v>2.6398041948164446E-3</v>
      </c>
    </row>
    <row r="483" spans="5:12" x14ac:dyDescent="0.2">
      <c r="E483">
        <f t="shared" si="33"/>
        <v>383</v>
      </c>
      <c r="F483">
        <f t="shared" si="30"/>
        <v>3.1920000000000002</v>
      </c>
      <c r="G483">
        <f t="shared" si="31"/>
        <v>1.5823850858172627E-2</v>
      </c>
      <c r="H483">
        <f t="shared" si="34"/>
        <v>2.4458305188934013E-3</v>
      </c>
      <c r="I483">
        <f t="shared" si="35"/>
        <v>1.5823850858172627E-2</v>
      </c>
      <c r="L483">
        <f t="shared" si="32"/>
        <v>2.4458305188934013E-3</v>
      </c>
    </row>
    <row r="484" spans="5:12" x14ac:dyDescent="0.2">
      <c r="E484">
        <f t="shared" si="33"/>
        <v>384</v>
      </c>
      <c r="F484">
        <f t="shared" ref="F484:F547" si="36">$F$98+($F$99-$F$98)/500*E484</f>
        <v>3.2160000000000011</v>
      </c>
      <c r="G484">
        <f t="shared" ref="G484:G547" si="37">tpdf(F484,$G$97)</f>
        <v>1.5403070047286032E-2</v>
      </c>
      <c r="H484">
        <f t="shared" si="34"/>
        <v>2.264805188576473E-3</v>
      </c>
      <c r="I484">
        <f t="shared" si="35"/>
        <v>1.5403070047286032E-2</v>
      </c>
      <c r="L484">
        <f t="shared" ref="L484:L547" si="38">NORMDIST(F484,$C$7,$C$8,0)</f>
        <v>2.264805188576473E-3</v>
      </c>
    </row>
    <row r="485" spans="5:12" x14ac:dyDescent="0.2">
      <c r="E485">
        <f t="shared" ref="E485:E548" si="39">ROW(E485)-100</f>
        <v>385</v>
      </c>
      <c r="F485">
        <f t="shared" si="36"/>
        <v>3.24</v>
      </c>
      <c r="G485">
        <f t="shared" si="37"/>
        <v>1.4994809869928873E-2</v>
      </c>
      <c r="H485">
        <f t="shared" ref="H485:H548" si="40">NORMDIST(F485,0,1,0)</f>
        <v>2.0959706128579419E-3</v>
      </c>
      <c r="I485">
        <f t="shared" ref="I485:I548" si="41">IF(ABS(F485)&gt;ABS($K$100),G485,"")</f>
        <v>1.4994809869928873E-2</v>
      </c>
      <c r="L485">
        <f t="shared" si="38"/>
        <v>2.0959706128579419E-3</v>
      </c>
    </row>
    <row r="486" spans="5:12" x14ac:dyDescent="0.2">
      <c r="E486">
        <f t="shared" si="39"/>
        <v>386</v>
      </c>
      <c r="F486">
        <f t="shared" si="36"/>
        <v>3.2639999999999993</v>
      </c>
      <c r="G486">
        <f t="shared" si="37"/>
        <v>1.4598670354190582E-2</v>
      </c>
      <c r="H486">
        <f t="shared" si="40"/>
        <v>1.9386052006913198E-3</v>
      </c>
      <c r="I486">
        <f t="shared" si="41"/>
        <v>1.4598670354190582E-2</v>
      </c>
      <c r="L486">
        <f t="shared" si="38"/>
        <v>1.9386052006913198E-3</v>
      </c>
    </row>
    <row r="487" spans="5:12" x14ac:dyDescent="0.2">
      <c r="E487">
        <f t="shared" si="39"/>
        <v>387</v>
      </c>
      <c r="F487">
        <f t="shared" si="36"/>
        <v>3.2880000000000003</v>
      </c>
      <c r="G487">
        <f t="shared" si="37"/>
        <v>1.4214264623864688E-2</v>
      </c>
      <c r="H487">
        <f t="shared" si="40"/>
        <v>1.7920222768931717E-3</v>
      </c>
      <c r="I487">
        <f t="shared" si="41"/>
        <v>1.4214264623864688E-2</v>
      </c>
      <c r="L487">
        <f t="shared" si="38"/>
        <v>1.7920222768931717E-3</v>
      </c>
    </row>
    <row r="488" spans="5:12" x14ac:dyDescent="0.2">
      <c r="E488">
        <f t="shared" si="39"/>
        <v>388</v>
      </c>
      <c r="F488">
        <f t="shared" si="36"/>
        <v>3.3119999999999994</v>
      </c>
      <c r="G488">
        <f t="shared" si="37"/>
        <v>1.3841218490426669E-2</v>
      </c>
      <c r="H488">
        <f t="shared" si="40"/>
        <v>1.6555689824342091E-3</v>
      </c>
      <c r="I488">
        <f t="shared" si="41"/>
        <v>1.3841218490426669E-2</v>
      </c>
      <c r="L488">
        <f t="shared" si="38"/>
        <v>1.6555689824342091E-3</v>
      </c>
    </row>
    <row r="489" spans="5:12" x14ac:dyDescent="0.2">
      <c r="E489">
        <f t="shared" si="39"/>
        <v>389</v>
      </c>
      <c r="F489">
        <f t="shared" si="36"/>
        <v>3.3360000000000003</v>
      </c>
      <c r="G489">
        <f t="shared" si="37"/>
        <v>1.3479170054886941E-2</v>
      </c>
      <c r="H489">
        <f t="shared" si="40"/>
        <v>1.5286251639451411E-3</v>
      </c>
      <c r="I489">
        <f t="shared" si="41"/>
        <v>1.3479170054886941E-2</v>
      </c>
      <c r="L489">
        <f t="shared" si="38"/>
        <v>1.5286251639451411E-3</v>
      </c>
    </row>
    <row r="490" spans="5:12" x14ac:dyDescent="0.2">
      <c r="E490">
        <f t="shared" si="39"/>
        <v>390</v>
      </c>
      <c r="F490">
        <f t="shared" si="36"/>
        <v>3.3599999999999994</v>
      </c>
      <c r="G490">
        <f t="shared" si="37"/>
        <v>1.3127769319555827E-2</v>
      </c>
      <c r="H490">
        <f t="shared" si="40"/>
        <v>1.4106022569413861E-3</v>
      </c>
      <c r="I490">
        <f t="shared" si="41"/>
        <v>1.3127769319555827E-2</v>
      </c>
      <c r="L490">
        <f t="shared" si="38"/>
        <v>1.4106022569413861E-3</v>
      </c>
    </row>
    <row r="491" spans="5:12" x14ac:dyDescent="0.2">
      <c r="E491">
        <f t="shared" si="39"/>
        <v>391</v>
      </c>
      <c r="F491">
        <f t="shared" si="36"/>
        <v>3.3840000000000003</v>
      </c>
      <c r="G491">
        <f t="shared" si="37"/>
        <v>1.2786677809724381E-2</v>
      </c>
      <c r="H491">
        <f t="shared" si="40"/>
        <v>1.3009421669529281E-3</v>
      </c>
      <c r="I491">
        <f t="shared" si="41"/>
        <v>1.2786677809724381E-2</v>
      </c>
      <c r="L491">
        <f t="shared" si="38"/>
        <v>1.3009421669529281E-3</v>
      </c>
    </row>
    <row r="492" spans="5:12" x14ac:dyDescent="0.2">
      <c r="E492">
        <f t="shared" si="39"/>
        <v>392</v>
      </c>
      <c r="F492">
        <f t="shared" si="36"/>
        <v>3.4079999999999995</v>
      </c>
      <c r="G492">
        <f t="shared" si="37"/>
        <v>1.2455568205238143E-2</v>
      </c>
      <c r="H492">
        <f t="shared" si="40"/>
        <v>1.1991161524345115E-3</v>
      </c>
      <c r="I492">
        <f t="shared" si="41"/>
        <v>1.2455568205238143E-2</v>
      </c>
      <c r="L492">
        <f t="shared" si="38"/>
        <v>1.1991161524345115E-3</v>
      </c>
    </row>
    <row r="493" spans="5:12" x14ac:dyDescent="0.2">
      <c r="E493">
        <f t="shared" si="39"/>
        <v>393</v>
      </c>
      <c r="F493">
        <f t="shared" si="36"/>
        <v>3.4320000000000004</v>
      </c>
      <c r="G493">
        <f t="shared" si="37"/>
        <v>1.213412398191384E-2</v>
      </c>
      <c r="H493">
        <f t="shared" si="40"/>
        <v>1.1046237130258364E-3</v>
      </c>
      <c r="I493">
        <f t="shared" si="41"/>
        <v>1.213412398191384E-2</v>
      </c>
      <c r="L493">
        <f t="shared" si="38"/>
        <v>1.1046237130258364E-3</v>
      </c>
    </row>
    <row r="494" spans="5:12" x14ac:dyDescent="0.2">
      <c r="E494">
        <f t="shared" si="39"/>
        <v>394</v>
      </c>
      <c r="F494">
        <f t="shared" si="36"/>
        <v>3.4559999999999995</v>
      </c>
      <c r="G494">
        <f t="shared" si="37"/>
        <v>1.182203906272831E-2</v>
      </c>
      <c r="H494">
        <f t="shared" si="40"/>
        <v>1.0169914864347654E-3</v>
      </c>
      <c r="I494">
        <f t="shared" si="41"/>
        <v>1.182203906272831E-2</v>
      </c>
      <c r="L494">
        <f t="shared" si="38"/>
        <v>1.0169914864347654E-3</v>
      </c>
    </row>
    <row r="495" spans="5:12" x14ac:dyDescent="0.2">
      <c r="E495">
        <f t="shared" si="39"/>
        <v>395</v>
      </c>
      <c r="F495">
        <f t="shared" si="36"/>
        <v>3.4800000000000004</v>
      </c>
      <c r="G495">
        <f t="shared" si="37"/>
        <v>1.1519017478687376E-2</v>
      </c>
      <c r="H495">
        <f t="shared" si="40"/>
        <v>9.3577215692747804E-4</v>
      </c>
      <c r="I495">
        <f t="shared" si="41"/>
        <v>1.1519017478687376E-2</v>
      </c>
      <c r="L495">
        <f t="shared" si="38"/>
        <v>9.3577215692747804E-4</v>
      </c>
    </row>
    <row r="496" spans="5:12" x14ac:dyDescent="0.2">
      <c r="E496">
        <f t="shared" si="39"/>
        <v>396</v>
      </c>
      <c r="F496">
        <f t="shared" si="36"/>
        <v>3.5039999999999996</v>
      </c>
      <c r="G496">
        <f t="shared" si="37"/>
        <v>1.1224773039266471E-2</v>
      </c>
      <c r="H496">
        <f t="shared" si="40"/>
        <v>8.6054337813075866E-4</v>
      </c>
      <c r="I496">
        <f t="shared" si="41"/>
        <v>1.1224773039266471E-2</v>
      </c>
      <c r="L496">
        <f t="shared" si="38"/>
        <v>8.6054337813075866E-4</v>
      </c>
    </row>
    <row r="497" spans="5:12" x14ac:dyDescent="0.2">
      <c r="E497">
        <f t="shared" si="39"/>
        <v>397</v>
      </c>
      <c r="F497">
        <f t="shared" si="36"/>
        <v>3.5280000000000005</v>
      </c>
      <c r="G497">
        <f t="shared" si="37"/>
        <v>1.0939029012297916E-2</v>
      </c>
      <c r="H497">
        <f t="shared" si="40"/>
        <v>7.9090671258203685E-4</v>
      </c>
      <c r="I497">
        <f t="shared" si="41"/>
        <v>1.0939029012297916E-2</v>
      </c>
      <c r="L497">
        <f t="shared" si="38"/>
        <v>7.9090671258203685E-4</v>
      </c>
    </row>
    <row r="498" spans="5:12" x14ac:dyDescent="0.2">
      <c r="E498">
        <f t="shared" si="39"/>
        <v>398</v>
      </c>
      <c r="F498">
        <f t="shared" si="36"/>
        <v>3.5519999999999996</v>
      </c>
      <c r="G498">
        <f t="shared" si="37"/>
        <v>1.0661517813168056E-2</v>
      </c>
      <c r="H498">
        <f t="shared" si="40"/>
        <v>7.2648659020460235E-4</v>
      </c>
      <c r="I498">
        <f t="shared" si="41"/>
        <v>1.0661517813168056E-2</v>
      </c>
      <c r="L498">
        <f t="shared" si="38"/>
        <v>7.2648659020460235E-4</v>
      </c>
    </row>
    <row r="499" spans="5:12" x14ac:dyDescent="0.2">
      <c r="E499">
        <f t="shared" si="39"/>
        <v>399</v>
      </c>
      <c r="F499">
        <f t="shared" si="36"/>
        <v>3.5760000000000005</v>
      </c>
      <c r="G499">
        <f t="shared" si="37"/>
        <v>1.0391980703174382E-2</v>
      </c>
      <c r="H499">
        <f t="shared" si="40"/>
        <v>6.6692928763750108E-4</v>
      </c>
      <c r="I499">
        <f t="shared" si="41"/>
        <v>1.0391980703174382E-2</v>
      </c>
      <c r="L499">
        <f t="shared" si="38"/>
        <v>6.6692928763750108E-4</v>
      </c>
    </row>
    <row r="500" spans="5:12" x14ac:dyDescent="0.2">
      <c r="E500">
        <f t="shared" si="39"/>
        <v>400</v>
      </c>
      <c r="F500">
        <f t="shared" si="36"/>
        <v>3.5999999999999996</v>
      </c>
      <c r="G500">
        <f t="shared" si="37"/>
        <v>1.0130167496884297E-2</v>
      </c>
      <c r="H500">
        <f t="shared" si="40"/>
        <v>6.1190193011377298E-4</v>
      </c>
      <c r="I500">
        <f t="shared" si="41"/>
        <v>1.0130167496884297E-2</v>
      </c>
      <c r="L500">
        <f t="shared" si="38"/>
        <v>6.1190193011377298E-4</v>
      </c>
    </row>
    <row r="501" spans="5:12" x14ac:dyDescent="0.2">
      <c r="E501">
        <f t="shared" si="39"/>
        <v>401</v>
      </c>
      <c r="F501">
        <f t="shared" si="36"/>
        <v>3.6240000000000006</v>
      </c>
      <c r="G501">
        <f t="shared" si="37"/>
        <v>9.8758362783277487E-3</v>
      </c>
      <c r="H501">
        <f t="shared" si="40"/>
        <v>5.610915173558204E-4</v>
      </c>
      <c r="I501">
        <f t="shared" si="41"/>
        <v>9.8758362783277487E-3</v>
      </c>
      <c r="L501">
        <f t="shared" si="38"/>
        <v>5.610915173558204E-4</v>
      </c>
    </row>
    <row r="502" spans="5:12" x14ac:dyDescent="0.2">
      <c r="E502">
        <f t="shared" si="39"/>
        <v>402</v>
      </c>
      <c r="F502">
        <f t="shared" si="36"/>
        <v>3.6479999999999997</v>
      </c>
      <c r="G502">
        <f t="shared" si="37"/>
        <v>9.628753125850098E-3</v>
      </c>
      <c r="H502">
        <f t="shared" si="40"/>
        <v>5.1420397474424406E-4</v>
      </c>
      <c r="I502">
        <f t="shared" si="41"/>
        <v>9.628753125850098E-3</v>
      </c>
      <c r="L502">
        <f t="shared" si="38"/>
        <v>5.1420397474424406E-4</v>
      </c>
    </row>
    <row r="503" spans="5:12" x14ac:dyDescent="0.2">
      <c r="E503">
        <f t="shared" si="39"/>
        <v>403</v>
      </c>
      <c r="F503">
        <f t="shared" si="36"/>
        <v>3.6720000000000006</v>
      </c>
      <c r="G503">
        <f t="shared" si="37"/>
        <v>9.3886918454446893E-3</v>
      </c>
      <c r="H503">
        <f t="shared" si="40"/>
        <v>4.7096323081532873E-4</v>
      </c>
      <c r="I503">
        <f t="shared" si="41"/>
        <v>9.3886918454446893E-3</v>
      </c>
      <c r="L503">
        <f t="shared" si="38"/>
        <v>4.7096323081532873E-4</v>
      </c>
    </row>
    <row r="504" spans="5:12" x14ac:dyDescent="0.2">
      <c r="E504">
        <f t="shared" si="39"/>
        <v>404</v>
      </c>
      <c r="F504">
        <f t="shared" si="36"/>
        <v>3.6959999999999997</v>
      </c>
      <c r="G504">
        <f t="shared" si="37"/>
        <v>9.1554337123814535E-3</v>
      </c>
      <c r="H504">
        <f t="shared" si="40"/>
        <v>4.3111032195367678E-4</v>
      </c>
      <c r="I504">
        <f t="shared" si="41"/>
        <v>9.1554337123814535E-3</v>
      </c>
      <c r="L504">
        <f t="shared" si="38"/>
        <v>4.3111032195367678E-4</v>
      </c>
    </row>
    <row r="505" spans="5:12" x14ac:dyDescent="0.2">
      <c r="E505">
        <f t="shared" si="39"/>
        <v>405</v>
      </c>
      <c r="F505">
        <f t="shared" si="36"/>
        <v>3.7200000000000006</v>
      </c>
      <c r="G505">
        <f t="shared" si="37"/>
        <v>8.9287672209428619E-3</v>
      </c>
      <c r="H505">
        <f t="shared" si="40"/>
        <v>3.9440252496915552E-4</v>
      </c>
      <c r="I505">
        <f t="shared" si="41"/>
        <v>8.9287672209428619E-3</v>
      </c>
      <c r="L505">
        <f t="shared" si="38"/>
        <v>3.9440252496915552E-4</v>
      </c>
    </row>
    <row r="506" spans="5:12" x14ac:dyDescent="0.2">
      <c r="E506">
        <f t="shared" si="39"/>
        <v>406</v>
      </c>
      <c r="F506">
        <f t="shared" si="36"/>
        <v>3.7439999999999998</v>
      </c>
      <c r="G506">
        <f t="shared" si="37"/>
        <v>8.7084878420774468E-3</v>
      </c>
      <c r="H506">
        <f t="shared" si="40"/>
        <v>3.6061251808220806E-4</v>
      </c>
      <c r="I506">
        <f t="shared" si="41"/>
        <v>8.7084878420774468E-3</v>
      </c>
      <c r="L506">
        <f t="shared" si="38"/>
        <v>3.6061251808220806E-4</v>
      </c>
    </row>
    <row r="507" spans="5:12" x14ac:dyDescent="0.2">
      <c r="E507">
        <f t="shared" si="39"/>
        <v>407</v>
      </c>
      <c r="F507">
        <f t="shared" si="36"/>
        <v>3.7680000000000007</v>
      </c>
      <c r="G507">
        <f t="shared" si="37"/>
        <v>8.4943977887779326E-3</v>
      </c>
      <c r="H507">
        <f t="shared" si="40"/>
        <v>3.2952757068762842E-4</v>
      </c>
      <c r="I507">
        <f t="shared" si="41"/>
        <v>8.4943977887779326E-3</v>
      </c>
      <c r="L507">
        <f t="shared" si="38"/>
        <v>3.2952757068762842E-4</v>
      </c>
    </row>
    <row r="508" spans="5:12" x14ac:dyDescent="0.2">
      <c r="E508">
        <f t="shared" si="39"/>
        <v>408</v>
      </c>
      <c r="F508">
        <f t="shared" si="36"/>
        <v>3.7919999999999998</v>
      </c>
      <c r="G508">
        <f t="shared" si="37"/>
        <v>8.28630578899134E-3</v>
      </c>
      <c r="H508">
        <f t="shared" si="40"/>
        <v>3.0094876212471999E-4</v>
      </c>
      <c r="I508">
        <f t="shared" si="41"/>
        <v>8.28630578899134E-3</v>
      </c>
      <c r="L508">
        <f t="shared" si="38"/>
        <v>3.0094876212471999E-4</v>
      </c>
    </row>
    <row r="509" spans="5:12" x14ac:dyDescent="0.2">
      <c r="E509">
        <f t="shared" si="39"/>
        <v>409</v>
      </c>
      <c r="F509">
        <f t="shared" si="36"/>
        <v>3.8160000000000007</v>
      </c>
      <c r="G509">
        <f t="shared" si="37"/>
        <v>8.0840268658669383E-3</v>
      </c>
      <c r="H509">
        <f t="shared" si="40"/>
        <v>2.746902295503147E-4</v>
      </c>
      <c r="I509">
        <f t="shared" si="41"/>
        <v>8.0840268658669383E-3</v>
      </c>
      <c r="L509">
        <f t="shared" si="38"/>
        <v>2.746902295503147E-4</v>
      </c>
    </row>
    <row r="510" spans="5:12" x14ac:dyDescent="0.2">
      <c r="E510">
        <f t="shared" si="39"/>
        <v>410</v>
      </c>
      <c r="F510">
        <f t="shared" si="36"/>
        <v>3.84</v>
      </c>
      <c r="G510">
        <f t="shared" si="37"/>
        <v>7.8873821251491377E-3</v>
      </c>
      <c r="H510">
        <f t="shared" si="40"/>
        <v>2.5057844489086075E-4</v>
      </c>
      <c r="I510">
        <f t="shared" si="41"/>
        <v>7.8873821251491377E-3</v>
      </c>
      <c r="L510">
        <f t="shared" si="38"/>
        <v>2.5057844489086075E-4</v>
      </c>
    </row>
    <row r="511" spans="5:12" x14ac:dyDescent="0.2">
      <c r="E511">
        <f t="shared" si="39"/>
        <v>411</v>
      </c>
      <c r="F511">
        <f t="shared" si="36"/>
        <v>3.8640000000000008</v>
      </c>
      <c r="G511">
        <f t="shared" si="37"/>
        <v>7.6961985495224176E-3</v>
      </c>
      <c r="H511">
        <f t="shared" si="40"/>
        <v>2.2845152073967183E-4</v>
      </c>
      <c r="I511">
        <f t="shared" si="41"/>
        <v>7.6961985495224176E-3</v>
      </c>
      <c r="L511">
        <f t="shared" si="38"/>
        <v>2.2845152073967183E-4</v>
      </c>
    </row>
    <row r="512" spans="5:12" x14ac:dyDescent="0.2">
      <c r="E512">
        <f t="shared" si="39"/>
        <v>412</v>
      </c>
      <c r="F512">
        <f t="shared" si="36"/>
        <v>3.8879999999999999</v>
      </c>
      <c r="G512">
        <f t="shared" si="37"/>
        <v>7.5103087997174271E-3</v>
      </c>
      <c r="H512">
        <f t="shared" si="40"/>
        <v>2.0815854496572918E-4</v>
      </c>
      <c r="I512">
        <f t="shared" si="41"/>
        <v>7.5103087997174271E-3</v>
      </c>
      <c r="L512">
        <f t="shared" si="38"/>
        <v>2.0815854496572918E-4</v>
      </c>
    </row>
    <row r="513" spans="5:12" x14ac:dyDescent="0.2">
      <c r="E513">
        <f t="shared" si="39"/>
        <v>413</v>
      </c>
      <c r="F513">
        <f t="shared" si="36"/>
        <v>3.9120000000000008</v>
      </c>
      <c r="G513">
        <f t="shared" si="37"/>
        <v>7.3295510221882869E-3</v>
      </c>
      <c r="H513">
        <f t="shared" si="40"/>
        <v>1.8955894371021248E-4</v>
      </c>
      <c r="I513">
        <f t="shared" si="41"/>
        <v>7.3295510221882869E-3</v>
      </c>
      <c r="L513">
        <f t="shared" si="38"/>
        <v>1.8955894371021248E-4</v>
      </c>
    </row>
    <row r="514" spans="5:12" x14ac:dyDescent="0.2">
      <c r="E514">
        <f t="shared" si="39"/>
        <v>414</v>
      </c>
      <c r="F514">
        <f t="shared" si="36"/>
        <v>3.9359999999999999</v>
      </c>
      <c r="G514">
        <f t="shared" si="37"/>
        <v>7.1537686631740535E-3</v>
      </c>
      <c r="H514">
        <f t="shared" si="40"/>
        <v>1.7252187236626288E-4</v>
      </c>
      <c r="I514">
        <f t="shared" si="41"/>
        <v>7.1537686631740535E-3</v>
      </c>
      <c r="L514">
        <f t="shared" si="38"/>
        <v>1.7252187236626288E-4</v>
      </c>
    </row>
    <row r="515" spans="5:12" x14ac:dyDescent="0.2">
      <c r="E515">
        <f t="shared" si="39"/>
        <v>415</v>
      </c>
      <c r="F515">
        <f t="shared" si="36"/>
        <v>3.9600000000000009</v>
      </c>
      <c r="G515">
        <f t="shared" si="37"/>
        <v>6.9828102889587171E-3</v>
      </c>
      <c r="H515">
        <f t="shared" si="40"/>
        <v>1.5692563406553169E-4</v>
      </c>
      <c r="I515">
        <f t="shared" si="41"/>
        <v>6.9828102889587171E-3</v>
      </c>
      <c r="L515">
        <f t="shared" si="38"/>
        <v>1.5692563406553169E-4</v>
      </c>
    </row>
    <row r="516" spans="5:12" x14ac:dyDescent="0.2">
      <c r="E516">
        <f t="shared" si="39"/>
        <v>416</v>
      </c>
      <c r="F516">
        <f t="shared" si="36"/>
        <v>3.984</v>
      </c>
      <c r="G516">
        <f t="shared" si="37"/>
        <v>6.8165294121478332E-3</v>
      </c>
      <c r="H516">
        <f t="shared" si="40"/>
        <v>1.4265712513176652E-4</v>
      </c>
      <c r="I516">
        <f t="shared" si="41"/>
        <v>6.8165294121478332E-3</v>
      </c>
      <c r="L516">
        <f t="shared" si="38"/>
        <v>1.4265712513176652E-4</v>
      </c>
    </row>
    <row r="517" spans="5:12" x14ac:dyDescent="0.2">
      <c r="E517">
        <f t="shared" si="39"/>
        <v>417</v>
      </c>
      <c r="F517">
        <f t="shared" si="36"/>
        <v>4.0080000000000009</v>
      </c>
      <c r="G517">
        <f t="shared" si="37"/>
        <v>6.6547843237817249E-3</v>
      </c>
      <c r="H517">
        <f t="shared" si="40"/>
        <v>1.2961130690625344E-4</v>
      </c>
      <c r="I517">
        <f t="shared" si="41"/>
        <v>6.6547843237817249E-3</v>
      </c>
      <c r="L517">
        <f t="shared" si="38"/>
        <v>1.2961130690625344E-4</v>
      </c>
    </row>
    <row r="518" spans="5:12" x14ac:dyDescent="0.2">
      <c r="E518">
        <f t="shared" si="39"/>
        <v>418</v>
      </c>
      <c r="F518">
        <f t="shared" si="36"/>
        <v>4.032</v>
      </c>
      <c r="G518">
        <f t="shared" si="37"/>
        <v>6.4974379311092453E-3</v>
      </c>
      <c r="H518">
        <f t="shared" si="40"/>
        <v>1.1769070330224524E-4</v>
      </c>
      <c r="I518">
        <f t="shared" si="41"/>
        <v>6.4974379311092453E-3</v>
      </c>
      <c r="L518">
        <f t="shared" si="38"/>
        <v>1.1769070330224524E-4</v>
      </c>
    </row>
    <row r="519" spans="5:12" x14ac:dyDescent="0.2">
      <c r="E519">
        <f t="shared" si="39"/>
        <v>419</v>
      </c>
      <c r="F519">
        <f t="shared" si="36"/>
        <v>4.0560000000000009</v>
      </c>
      <c r="G519">
        <f t="shared" si="37"/>
        <v>6.3443576008485767E-3</v>
      </c>
      <c r="H519">
        <f t="shared" si="40"/>
        <v>1.0680492340481733E-4</v>
      </c>
      <c r="I519">
        <f t="shared" si="41"/>
        <v>6.3443576008485767E-3</v>
      </c>
      <c r="L519">
        <f t="shared" si="38"/>
        <v>1.0680492340481733E-4</v>
      </c>
    </row>
    <row r="520" spans="5:12" x14ac:dyDescent="0.2">
      <c r="E520">
        <f t="shared" si="39"/>
        <v>420</v>
      </c>
      <c r="F520">
        <f t="shared" si="36"/>
        <v>4.08</v>
      </c>
      <c r="G520">
        <f t="shared" si="37"/>
        <v>6.1954150077656615E-3</v>
      </c>
      <c r="H520">
        <f t="shared" si="40"/>
        <v>9.687020839871926E-5</v>
      </c>
      <c r="I520">
        <f t="shared" si="41"/>
        <v>6.1954150077656615E-3</v>
      </c>
      <c r="L520">
        <f t="shared" si="38"/>
        <v>9.687020839871926E-5</v>
      </c>
    </row>
    <row r="521" spans="5:12" x14ac:dyDescent="0.2">
      <c r="E521">
        <f t="shared" si="39"/>
        <v>421</v>
      </c>
      <c r="F521">
        <f t="shared" si="36"/>
        <v>4.104000000000001</v>
      </c>
      <c r="G521">
        <f t="shared" si="37"/>
        <v>6.0504859884037282E-3</v>
      </c>
      <c r="H521">
        <f t="shared" si="40"/>
        <v>8.7809002079063768E-5</v>
      </c>
      <c r="I521">
        <f t="shared" si="41"/>
        <v>6.0504859884037282E-3</v>
      </c>
      <c r="L521">
        <f t="shared" si="38"/>
        <v>8.7809002079063768E-5</v>
      </c>
    </row>
    <row r="522" spans="5:12" x14ac:dyDescent="0.2">
      <c r="E522">
        <f t="shared" si="39"/>
        <v>422</v>
      </c>
      <c r="F522">
        <f t="shared" si="36"/>
        <v>4.1280000000000001</v>
      </c>
      <c r="G522">
        <f t="shared" si="37"/>
        <v>5.9094503998017517E-3</v>
      </c>
      <c r="H522">
        <f t="shared" si="40"/>
        <v>7.9549544177881284E-5</v>
      </c>
      <c r="I522">
        <f t="shared" si="41"/>
        <v>5.9094503998017517E-3</v>
      </c>
      <c r="L522">
        <f t="shared" si="38"/>
        <v>7.9549544177881284E-5</v>
      </c>
    </row>
    <row r="523" spans="5:12" x14ac:dyDescent="0.2">
      <c r="E523">
        <f t="shared" si="39"/>
        <v>423</v>
      </c>
      <c r="F523">
        <f t="shared" si="36"/>
        <v>4.152000000000001</v>
      </c>
      <c r="G523">
        <f t="shared" si="37"/>
        <v>5.7721919830425652E-3</v>
      </c>
      <c r="H523">
        <f t="shared" si="40"/>
        <v>7.2025485723040892E-5</v>
      </c>
      <c r="I523">
        <f t="shared" si="41"/>
        <v>5.7721919830425652E-3</v>
      </c>
      <c r="L523">
        <f t="shared" si="38"/>
        <v>7.2025485723040892E-5</v>
      </c>
    </row>
    <row r="524" spans="5:12" x14ac:dyDescent="0.2">
      <c r="E524">
        <f t="shared" si="39"/>
        <v>424</v>
      </c>
      <c r="F524">
        <f t="shared" si="36"/>
        <v>4.1760000000000002</v>
      </c>
      <c r="G524">
        <f t="shared" si="37"/>
        <v>5.6385982314759988E-3</v>
      </c>
      <c r="H524">
        <f t="shared" si="40"/>
        <v>6.5175525634586447E-5</v>
      </c>
      <c r="I524">
        <f t="shared" si="41"/>
        <v>5.6385982314759988E-3</v>
      </c>
      <c r="L524">
        <f t="shared" si="38"/>
        <v>6.5175525634586447E-5</v>
      </c>
    </row>
    <row r="525" spans="5:12" x14ac:dyDescent="0.2">
      <c r="E525">
        <f t="shared" si="39"/>
        <v>425</v>
      </c>
      <c r="F525">
        <f t="shared" si="36"/>
        <v>4.2000000000000011</v>
      </c>
      <c r="G525">
        <f t="shared" si="37"/>
        <v>5.5085602634653529E-3</v>
      </c>
      <c r="H525">
        <f t="shared" si="40"/>
        <v>5.8943067756539645E-5</v>
      </c>
      <c r="I525">
        <f t="shared" si="41"/>
        <v>5.5085602634653529E-3</v>
      </c>
      <c r="L525">
        <f t="shared" si="38"/>
        <v>5.8943067756539645E-5</v>
      </c>
    </row>
    <row r="526" spans="5:12" x14ac:dyDescent="0.2">
      <c r="E526">
        <f t="shared" si="39"/>
        <v>426</v>
      </c>
      <c r="F526">
        <f t="shared" si="36"/>
        <v>4.2240000000000002</v>
      </c>
      <c r="G526">
        <f t="shared" si="37"/>
        <v>5.3819726995101317E-3</v>
      </c>
      <c r="H526">
        <f t="shared" si="40"/>
        <v>5.3275897519493968E-5</v>
      </c>
      <c r="I526">
        <f t="shared" si="41"/>
        <v>5.3819726995101317E-3</v>
      </c>
      <c r="L526">
        <f t="shared" si="38"/>
        <v>5.3275897519493968E-5</v>
      </c>
    </row>
    <row r="527" spans="5:12" x14ac:dyDescent="0.2">
      <c r="E527">
        <f t="shared" si="39"/>
        <v>427</v>
      </c>
      <c r="F527">
        <f t="shared" si="36"/>
        <v>4.2479999999999993</v>
      </c>
      <c r="G527">
        <f t="shared" si="37"/>
        <v>5.258733543601104E-3</v>
      </c>
      <c r="H527">
        <f t="shared" si="40"/>
        <v>4.8125877430297145E-5</v>
      </c>
      <c r="I527">
        <f t="shared" si="41"/>
        <v>5.258733543601104E-3</v>
      </c>
      <c r="L527">
        <f t="shared" si="38"/>
        <v>4.8125877430297145E-5</v>
      </c>
    </row>
    <row r="528" spans="5:12" x14ac:dyDescent="0.2">
      <c r="E528">
        <f t="shared" si="39"/>
        <v>428</v>
      </c>
      <c r="F528">
        <f t="shared" si="36"/>
        <v>4.2720000000000002</v>
      </c>
      <c r="G528">
        <f t="shared" si="37"/>
        <v>5.1387440686681352E-3</v>
      </c>
      <c r="H528">
        <f t="shared" si="40"/>
        <v>4.3448660589589352E-5</v>
      </c>
      <c r="I528">
        <f t="shared" si="41"/>
        <v>5.1387440686681352E-3</v>
      </c>
      <c r="L528">
        <f t="shared" si="38"/>
        <v>4.3448660589589352E-5</v>
      </c>
    </row>
    <row r="529" spans="5:12" x14ac:dyDescent="0.2">
      <c r="E529">
        <f t="shared" si="39"/>
        <v>429</v>
      </c>
      <c r="F529">
        <f t="shared" si="36"/>
        <v>4.2959999999999994</v>
      </c>
      <c r="G529">
        <f t="shared" si="37"/>
        <v>5.0219087059847345E-3</v>
      </c>
      <c r="H529">
        <f t="shared" si="40"/>
        <v>3.9203421445463147E-5</v>
      </c>
      <c r="I529">
        <f t="shared" si="41"/>
        <v>5.0219087059847345E-3</v>
      </c>
      <c r="L529">
        <f t="shared" si="38"/>
        <v>3.9203421445463147E-5</v>
      </c>
    </row>
    <row r="530" spans="5:12" x14ac:dyDescent="0.2">
      <c r="E530">
        <f t="shared" si="39"/>
        <v>430</v>
      </c>
      <c r="F530">
        <f t="shared" si="36"/>
        <v>4.32</v>
      </c>
      <c r="G530">
        <f t="shared" si="37"/>
        <v>4.9081349383970499E-3</v>
      </c>
      <c r="H530">
        <f t="shared" si="40"/>
        <v>3.5352603001773097E-5</v>
      </c>
      <c r="I530">
        <f t="shared" si="41"/>
        <v>4.9081349383970499E-3</v>
      </c>
      <c r="L530">
        <f t="shared" si="38"/>
        <v>3.5352603001773097E-5</v>
      </c>
    </row>
    <row r="531" spans="5:12" x14ac:dyDescent="0.2">
      <c r="E531">
        <f t="shared" si="39"/>
        <v>431</v>
      </c>
      <c r="F531">
        <f t="shared" si="36"/>
        <v>4.3439999999999994</v>
      </c>
      <c r="G531">
        <f t="shared" si="37"/>
        <v>4.797333197249066E-3</v>
      </c>
      <c r="H531">
        <f t="shared" si="40"/>
        <v>3.1861679712324632E-5</v>
      </c>
      <c r="I531">
        <f t="shared" si="41"/>
        <v>4.797333197249066E-3</v>
      </c>
      <c r="L531">
        <f t="shared" si="38"/>
        <v>3.1861679712324632E-5</v>
      </c>
    </row>
    <row r="532" spans="5:12" x14ac:dyDescent="0.2">
      <c r="E532">
        <f t="shared" si="39"/>
        <v>432</v>
      </c>
      <c r="F532">
        <f t="shared" si="36"/>
        <v>4.3680000000000003</v>
      </c>
      <c r="G532">
        <f t="shared" si="37"/>
        <v>4.6894167628790534E-3</v>
      </c>
      <c r="H532">
        <f t="shared" si="40"/>
        <v>2.8698935306977618E-5</v>
      </c>
      <c r="I532">
        <f t="shared" si="41"/>
        <v>4.6894167628790534E-3</v>
      </c>
      <c r="L532">
        <f t="shared" si="38"/>
        <v>2.8698935306977618E-5</v>
      </c>
    </row>
    <row r="533" spans="5:12" x14ac:dyDescent="0.2">
      <c r="E533">
        <f t="shared" si="39"/>
        <v>433</v>
      </c>
      <c r="F533">
        <f t="shared" si="36"/>
        <v>4.3919999999999995</v>
      </c>
      <c r="G533">
        <f t="shared" si="37"/>
        <v>4.584301668566472E-3</v>
      </c>
      <c r="H533">
        <f t="shared" si="40"/>
        <v>2.5835254812390093E-5</v>
      </c>
      <c r="I533">
        <f t="shared" si="41"/>
        <v>4.584301668566472E-3</v>
      </c>
      <c r="L533">
        <f t="shared" si="38"/>
        <v>2.5835254812390093E-5</v>
      </c>
    </row>
    <row r="534" spans="5:12" x14ac:dyDescent="0.2">
      <c r="E534">
        <f t="shared" si="39"/>
        <v>434</v>
      </c>
      <c r="F534">
        <f t="shared" si="36"/>
        <v>4.4160000000000004</v>
      </c>
      <c r="G534">
        <f t="shared" si="37"/>
        <v>4.4819066078116004E-3</v>
      </c>
      <c r="H534">
        <f t="shared" si="40"/>
        <v>2.3243930048373714E-5</v>
      </c>
      <c r="I534">
        <f t="shared" si="41"/>
        <v>4.4819066078116004E-3</v>
      </c>
      <c r="L534">
        <f t="shared" si="38"/>
        <v>2.3243930048373714E-5</v>
      </c>
    </row>
    <row r="535" spans="5:12" x14ac:dyDescent="0.2">
      <c r="E535">
        <f t="shared" si="39"/>
        <v>435</v>
      </c>
      <c r="F535">
        <f t="shared" si="36"/>
        <v>4.4399999999999995</v>
      </c>
      <c r="G535">
        <f t="shared" si="37"/>
        <v>4.3821528448342922E-3</v>
      </c>
      <c r="H535">
        <f t="shared" si="40"/>
        <v>2.0900477900450482E-5</v>
      </c>
      <c r="I535">
        <f t="shared" si="41"/>
        <v>4.3821528448342922E-3</v>
      </c>
      <c r="L535">
        <f t="shared" si="38"/>
        <v>2.0900477900450482E-5</v>
      </c>
    </row>
    <row r="536" spans="5:12" x14ac:dyDescent="0.2">
      <c r="E536">
        <f t="shared" si="39"/>
        <v>436</v>
      </c>
      <c r="F536">
        <f t="shared" si="36"/>
        <v>4.4640000000000004</v>
      </c>
      <c r="G536">
        <f t="shared" si="37"/>
        <v>4.2849641281811884E-3</v>
      </c>
      <c r="H536">
        <f t="shared" si="40"/>
        <v>1.8782470689901945E-5</v>
      </c>
      <c r="I536">
        <f t="shared" si="41"/>
        <v>4.2849641281811884E-3</v>
      </c>
      <c r="L536">
        <f t="shared" si="38"/>
        <v>1.8782470689901945E-5</v>
      </c>
    </row>
    <row r="537" spans="5:12" x14ac:dyDescent="0.2">
      <c r="E537">
        <f t="shared" si="39"/>
        <v>437</v>
      </c>
      <c r="F537">
        <f t="shared" si="36"/>
        <v>4.4879999999999995</v>
      </c>
      <c r="G537">
        <f t="shared" si="37"/>
        <v>4.1902666073346459E-3</v>
      </c>
      <c r="H537">
        <f t="shared" si="40"/>
        <v>1.6869377984230626E-5</v>
      </c>
      <c r="I537">
        <f t="shared" si="41"/>
        <v>4.1902666073346459E-3</v>
      </c>
      <c r="L537">
        <f t="shared" si="38"/>
        <v>1.6869377984230626E-5</v>
      </c>
    </row>
    <row r="538" spans="5:12" x14ac:dyDescent="0.2">
      <c r="E538">
        <f t="shared" si="39"/>
        <v>438</v>
      </c>
      <c r="F538">
        <f t="shared" si="36"/>
        <v>4.5120000000000005</v>
      </c>
      <c r="G538">
        <f t="shared" si="37"/>
        <v>4.0979887522195465E-3</v>
      </c>
      <c r="H538">
        <f t="shared" si="40"/>
        <v>1.5142419213261371E-5</v>
      </c>
      <c r="I538">
        <f t="shared" si="41"/>
        <v>4.0979887522195465E-3</v>
      </c>
      <c r="L538">
        <f t="shared" si="38"/>
        <v>1.5142419213261371E-5</v>
      </c>
    </row>
    <row r="539" spans="5:12" x14ac:dyDescent="0.2">
      <c r="E539">
        <f t="shared" si="39"/>
        <v>439</v>
      </c>
      <c r="F539">
        <f t="shared" si="36"/>
        <v>4.5359999999999996</v>
      </c>
      <c r="G539">
        <f t="shared" si="37"/>
        <v>4.0080612755078729E-3</v>
      </c>
      <c r="H539">
        <f t="shared" si="40"/>
        <v>1.3584426478963919E-5</v>
      </c>
      <c r="I539">
        <f t="shared" si="41"/>
        <v>4.0080612755078729E-3</v>
      </c>
      <c r="L539">
        <f t="shared" si="38"/>
        <v>1.3584426478963919E-5</v>
      </c>
    </row>
    <row r="540" spans="5:12" x14ac:dyDescent="0.2">
      <c r="E540">
        <f t="shared" si="39"/>
        <v>440</v>
      </c>
      <c r="F540">
        <f t="shared" si="36"/>
        <v>4.5600000000000005</v>
      </c>
      <c r="G540">
        <f t="shared" si="37"/>
        <v>3.9204170576237008E-3</v>
      </c>
      <c r="H540">
        <f t="shared" si="40"/>
        <v>1.2179716970268655E-5</v>
      </c>
      <c r="I540">
        <f t="shared" si="41"/>
        <v>3.9204170576237008E-3</v>
      </c>
      <c r="L540">
        <f t="shared" si="38"/>
        <v>1.2179716970268655E-5</v>
      </c>
    </row>
    <row r="541" spans="5:12" x14ac:dyDescent="0.2">
      <c r="E541">
        <f t="shared" si="39"/>
        <v>441</v>
      </c>
      <c r="F541">
        <f t="shared" si="36"/>
        <v>4.5839999999999996</v>
      </c>
      <c r="G541">
        <f t="shared" si="37"/>
        <v>3.8349910743548442E-3</v>
      </c>
      <c r="H541">
        <f t="shared" si="40"/>
        <v>1.0913974417565564E-5</v>
      </c>
      <c r="I541">
        <f t="shared" si="41"/>
        <v>3.8349910743548442E-3</v>
      </c>
      <c r="L541">
        <f t="shared" si="38"/>
        <v>1.0913974417565564E-5</v>
      </c>
    </row>
    <row r="542" spans="5:12" x14ac:dyDescent="0.2">
      <c r="E542">
        <f t="shared" si="39"/>
        <v>442</v>
      </c>
      <c r="F542">
        <f t="shared" si="36"/>
        <v>4.6080000000000005</v>
      </c>
      <c r="G542">
        <f t="shared" si="37"/>
        <v>3.7517203269800108E-3</v>
      </c>
      <c r="H542">
        <f t="shared" si="40"/>
        <v>9.7741390450493509E-6</v>
      </c>
      <c r="I542">
        <f t="shared" si="41"/>
        <v>3.7517203269800108E-3</v>
      </c>
      <c r="L542">
        <f t="shared" si="38"/>
        <v>9.7741390450493509E-6</v>
      </c>
    </row>
    <row r="543" spans="5:12" x14ac:dyDescent="0.2">
      <c r="E543">
        <f t="shared" si="39"/>
        <v>443</v>
      </c>
      <c r="F543">
        <f t="shared" si="36"/>
        <v>4.6319999999999997</v>
      </c>
      <c r="G543">
        <f t="shared" si="37"/>
        <v>3.6705437748237599E-3</v>
      </c>
      <c r="H543">
        <f t="shared" si="40"/>
        <v>8.7483055025099134E-6</v>
      </c>
      <c r="I543">
        <f t="shared" si="41"/>
        <v>3.6705437748237599E-3</v>
      </c>
      <c r="L543">
        <f t="shared" si="38"/>
        <v>8.7483055025099134E-6</v>
      </c>
    </row>
    <row r="544" spans="5:12" x14ac:dyDescent="0.2">
      <c r="E544">
        <f t="shared" si="39"/>
        <v>444</v>
      </c>
      <c r="F544">
        <f t="shared" si="36"/>
        <v>4.6560000000000006</v>
      </c>
      <c r="G544">
        <f t="shared" si="37"/>
        <v>3.5914022701539956E-3</v>
      </c>
      <c r="H544">
        <f t="shared" si="40"/>
        <v>7.8256282814302102E-6</v>
      </c>
      <c r="I544">
        <f t="shared" si="41"/>
        <v>3.5914022701539956E-3</v>
      </c>
      <c r="L544">
        <f t="shared" si="38"/>
        <v>7.8256282814302102E-6</v>
      </c>
    </row>
    <row r="545" spans="5:12" x14ac:dyDescent="0.2">
      <c r="E545">
        <f t="shared" si="39"/>
        <v>445</v>
      </c>
      <c r="F545">
        <f t="shared" si="36"/>
        <v>4.68</v>
      </c>
      <c r="G545">
        <f t="shared" si="37"/>
        <v>3.5142384953400236E-3</v>
      </c>
      <c r="H545">
        <f t="shared" si="40"/>
        <v>6.996234143270405E-6</v>
      </c>
      <c r="I545">
        <f t="shared" si="41"/>
        <v>3.5142384953400236E-3</v>
      </c>
      <c r="L545">
        <f t="shared" si="38"/>
        <v>6.996234143270405E-6</v>
      </c>
    </row>
    <row r="546" spans="5:12" x14ac:dyDescent="0.2">
      <c r="E546">
        <f t="shared" si="39"/>
        <v>446</v>
      </c>
      <c r="F546">
        <f t="shared" si="36"/>
        <v>4.7040000000000006</v>
      </c>
      <c r="G546">
        <f t="shared" si="37"/>
        <v>3.4389969021915287E-3</v>
      </c>
      <c r="H546">
        <f t="shared" si="40"/>
        <v>6.2511411104785215E-6</v>
      </c>
      <c r="I546">
        <f t="shared" si="41"/>
        <v>3.4389969021915287E-3</v>
      </c>
      <c r="L546">
        <f t="shared" si="38"/>
        <v>6.2511411104785215E-6</v>
      </c>
    </row>
    <row r="547" spans="5:12" x14ac:dyDescent="0.2">
      <c r="E547">
        <f t="shared" si="39"/>
        <v>447</v>
      </c>
      <c r="F547">
        <f t="shared" si="36"/>
        <v>4.7279999999999998</v>
      </c>
      <c r="G547">
        <f t="shared" si="37"/>
        <v>3.3656236534018967E-3</v>
      </c>
      <c r="H547">
        <f t="shared" si="40"/>
        <v>5.5821835930201659E-6</v>
      </c>
      <c r="I547">
        <f t="shared" si="41"/>
        <v>3.3656236534018967E-3</v>
      </c>
      <c r="L547">
        <f t="shared" si="38"/>
        <v>5.5821835930201659E-6</v>
      </c>
    </row>
    <row r="548" spans="5:12" x14ac:dyDescent="0.2">
      <c r="E548">
        <f t="shared" si="39"/>
        <v>448</v>
      </c>
      <c r="F548">
        <f t="shared" ref="F548:F600" si="42">$F$98+($F$99-$F$98)/500*E548</f>
        <v>4.7520000000000007</v>
      </c>
      <c r="G548">
        <f t="shared" ref="G548:G600" si="43">tpdf(F548,$G$97)</f>
        <v>3.2940665660215391E-3</v>
      </c>
      <c r="H548">
        <f t="shared" si="40"/>
        <v>4.9819432449787756E-6</v>
      </c>
      <c r="I548">
        <f t="shared" si="41"/>
        <v>3.2940665660215391E-3</v>
      </c>
      <c r="L548">
        <f t="shared" ref="L548:L600" si="44">NORMDIST(F548,$C$7,$C$8,0)</f>
        <v>4.9819432449787756E-6</v>
      </c>
    </row>
    <row r="549" spans="5:12" x14ac:dyDescent="0.2">
      <c r="E549">
        <f t="shared" ref="E549:E600" si="45">ROW(E549)-100</f>
        <v>449</v>
      </c>
      <c r="F549">
        <f t="shared" si="42"/>
        <v>4.7759999999999998</v>
      </c>
      <c r="G549">
        <f t="shared" si="43"/>
        <v>3.224275056889775E-3</v>
      </c>
      <c r="H549">
        <f t="shared" ref="H549:H600" si="46">NORMDIST(F549,0,1,0)</f>
        <v>4.443685167005601E-6</v>
      </c>
      <c r="I549">
        <f t="shared" ref="I549:I600" si="47">IF(ABS(F549)&gt;ABS($K$100),G549,"")</f>
        <v>3.224275056889775E-3</v>
      </c>
      <c r="L549">
        <f t="shared" si="44"/>
        <v>4.443685167005601E-6</v>
      </c>
    </row>
    <row r="550" spans="5:12" x14ac:dyDescent="0.2">
      <c r="E550">
        <f t="shared" si="45"/>
        <v>450</v>
      </c>
      <c r="F550">
        <f t="shared" si="42"/>
        <v>4.8000000000000007</v>
      </c>
      <c r="G550">
        <f t="shared" si="43"/>
        <v>3.15620008995591E-3</v>
      </c>
      <c r="H550">
        <f t="shared" si="46"/>
        <v>3.9612990910320609E-6</v>
      </c>
      <c r="I550">
        <f t="shared" si="47"/>
        <v>3.15620008995591E-3</v>
      </c>
      <c r="L550">
        <f t="shared" si="44"/>
        <v>3.9612990910320609E-6</v>
      </c>
    </row>
    <row r="551" spans="5:12" x14ac:dyDescent="0.2">
      <c r="E551">
        <f t="shared" si="45"/>
        <v>451</v>
      </c>
      <c r="F551">
        <f t="shared" si="42"/>
        <v>4.8239999999999998</v>
      </c>
      <c r="G551">
        <f t="shared" si="43"/>
        <v>3.0897941254228959E-3</v>
      </c>
      <c r="H551">
        <f t="shared" si="46"/>
        <v>3.5292452036728565E-6</v>
      </c>
      <c r="I551">
        <f t="shared" si="47"/>
        <v>3.0897941254228959E-3</v>
      </c>
      <c r="L551">
        <f t="shared" si="44"/>
        <v>3.5292452036728565E-6</v>
      </c>
    </row>
    <row r="552" spans="5:12" x14ac:dyDescent="0.2">
      <c r="E552">
        <f t="shared" si="45"/>
        <v>452</v>
      </c>
      <c r="F552">
        <f t="shared" si="42"/>
        <v>4.8480000000000008</v>
      </c>
      <c r="G552">
        <f t="shared" si="43"/>
        <v>3.0250110706489175E-3</v>
      </c>
      <c r="H552">
        <f t="shared" si="46"/>
        <v>3.1425042841019365E-6</v>
      </c>
      <c r="I552">
        <f t="shared" si="47"/>
        <v>3.0250110706489175E-3</v>
      </c>
      <c r="L552">
        <f t="shared" si="44"/>
        <v>3.1425042841019365E-6</v>
      </c>
    </row>
    <row r="553" spans="5:12" x14ac:dyDescent="0.2">
      <c r="E553">
        <f t="shared" si="45"/>
        <v>453</v>
      </c>
      <c r="F553">
        <f t="shared" si="42"/>
        <v>4.8719999999999999</v>
      </c>
      <c r="G553">
        <f t="shared" si="43"/>
        <v>2.9618062327448173E-3</v>
      </c>
      <c r="H553">
        <f t="shared" si="46"/>
        <v>2.7965318508624735E-6</v>
      </c>
      <c r="I553">
        <f t="shared" si="47"/>
        <v>2.9618062327448173E-3</v>
      </c>
      <c r="L553">
        <f t="shared" si="44"/>
        <v>2.7965318508624735E-6</v>
      </c>
    </row>
    <row r="554" spans="5:12" x14ac:dyDescent="0.2">
      <c r="E554">
        <f t="shared" si="45"/>
        <v>454</v>
      </c>
      <c r="F554">
        <f t="shared" si="42"/>
        <v>4.8960000000000008</v>
      </c>
      <c r="G554">
        <f t="shared" si="43"/>
        <v>2.9001362728071195E-3</v>
      </c>
      <c r="H554">
        <f t="shared" si="46"/>
        <v>2.4872160300486709E-6</v>
      </c>
      <c r="I554">
        <f t="shared" si="47"/>
        <v>2.9001362728071195E-3</v>
      </c>
      <c r="L554">
        <f t="shared" si="44"/>
        <v>2.4872160300486709E-6</v>
      </c>
    </row>
    <row r="555" spans="5:12" x14ac:dyDescent="0.2">
      <c r="E555">
        <f t="shared" si="45"/>
        <v>455</v>
      </c>
      <c r="F555">
        <f t="shared" si="42"/>
        <v>4.92</v>
      </c>
      <c r="G555">
        <f t="shared" si="43"/>
        <v>2.8399591617288408E-3</v>
      </c>
      <c r="H555">
        <f t="shared" si="46"/>
        <v>2.2108388745684212E-6</v>
      </c>
      <c r="I555">
        <f t="shared" si="47"/>
        <v>2.8399591617288408E-3</v>
      </c>
      <c r="L555">
        <f t="shared" si="44"/>
        <v>2.2108388745684212E-6</v>
      </c>
    </row>
    <row r="556" spans="5:12" x14ac:dyDescent="0.2">
      <c r="E556">
        <f t="shared" si="45"/>
        <v>456</v>
      </c>
      <c r="F556">
        <f t="shared" si="42"/>
        <v>4.9440000000000008</v>
      </c>
      <c r="G556">
        <f t="shared" si="43"/>
        <v>2.7812341375319776E-3</v>
      </c>
      <c r="H556">
        <f t="shared" si="46"/>
        <v>1.9640408807463227E-6</v>
      </c>
      <c r="I556">
        <f t="shared" si="47"/>
        <v>2.7812341375319776E-3</v>
      </c>
      <c r="L556">
        <f t="shared" si="44"/>
        <v>1.9640408807463227E-6</v>
      </c>
    </row>
    <row r="557" spans="5:12" x14ac:dyDescent="0.2">
      <c r="E557">
        <f t="shared" si="45"/>
        <v>457</v>
      </c>
      <c r="F557">
        <f t="shared" si="42"/>
        <v>4.968</v>
      </c>
      <c r="G557">
        <f t="shared" si="43"/>
        <v>2.7239216641678451E-3</v>
      </c>
      <c r="H557">
        <f t="shared" si="46"/>
        <v>1.7437884643617589E-6</v>
      </c>
      <c r="I557">
        <f t="shared" si="47"/>
        <v>2.7239216641678451E-3</v>
      </c>
      <c r="L557">
        <f t="shared" si="44"/>
        <v>1.7437884643617589E-6</v>
      </c>
    </row>
    <row r="558" spans="5:12" x14ac:dyDescent="0.2">
      <c r="E558">
        <f t="shared" si="45"/>
        <v>458</v>
      </c>
      <c r="F558">
        <f t="shared" si="42"/>
        <v>4.9920000000000009</v>
      </c>
      <c r="G558">
        <f t="shared" si="43"/>
        <v>2.6679833917330536E-3</v>
      </c>
      <c r="H558">
        <f t="shared" si="46"/>
        <v>1.5473441733317354E-6</v>
      </c>
      <c r="I558">
        <f t="shared" si="47"/>
        <v>2.6679833917330536E-3</v>
      </c>
      <c r="L558">
        <f t="shared" si="44"/>
        <v>1.5473441733317354E-6</v>
      </c>
    </row>
    <row r="559" spans="5:12" x14ac:dyDescent="0.2">
      <c r="E559">
        <f t="shared" si="45"/>
        <v>459</v>
      </c>
      <c r="F559">
        <f t="shared" si="42"/>
        <v>5.016</v>
      </c>
      <c r="G559">
        <f t="shared" si="43"/>
        <v>2.6133821180510273E-3</v>
      </c>
      <c r="H559">
        <f t="shared" si="46"/>
        <v>1.3722394286545041E-6</v>
      </c>
      <c r="I559">
        <f t="shared" si="47"/>
        <v>2.6133821180510273E-3</v>
      </c>
      <c r="L559">
        <f t="shared" si="44"/>
        <v>1.3722394286545041E-6</v>
      </c>
    </row>
    <row r="560" spans="5:12" x14ac:dyDescent="0.2">
      <c r="E560">
        <f t="shared" si="45"/>
        <v>460</v>
      </c>
      <c r="F560">
        <f t="shared" si="42"/>
        <v>5.0400000000000009</v>
      </c>
      <c r="G560">
        <f t="shared" si="43"/>
        <v>2.560081751570483E-3</v>
      </c>
      <c r="H560">
        <f t="shared" si="46"/>
        <v>1.2162495989313138E-6</v>
      </c>
      <c r="I560">
        <f t="shared" si="47"/>
        <v>2.560081751570483E-3</v>
      </c>
      <c r="L560">
        <f t="shared" si="44"/>
        <v>1.2162495989313138E-6</v>
      </c>
    </row>
    <row r="561" spans="5:12" x14ac:dyDescent="0.2">
      <c r="E561">
        <f t="shared" si="45"/>
        <v>461</v>
      </c>
      <c r="F561">
        <f t="shared" si="42"/>
        <v>5.0640000000000001</v>
      </c>
      <c r="G561">
        <f t="shared" si="43"/>
        <v>2.5080472755342623E-3</v>
      </c>
      <c r="H561">
        <f t="shared" si="46"/>
        <v>1.0773712267960586E-6</v>
      </c>
      <c r="I561">
        <f t="shared" si="47"/>
        <v>2.5080472755342623E-3</v>
      </c>
      <c r="L561">
        <f t="shared" si="44"/>
        <v>1.0773712267960586E-6</v>
      </c>
    </row>
    <row r="562" spans="5:12" x14ac:dyDescent="0.2">
      <c r="E562">
        <f t="shared" si="45"/>
        <v>462</v>
      </c>
      <c r="F562">
        <f t="shared" si="42"/>
        <v>5.088000000000001</v>
      </c>
      <c r="G562">
        <f t="shared" si="43"/>
        <v>2.4572447133733391E-3</v>
      </c>
      <c r="H562">
        <f t="shared" si="46"/>
        <v>9.5380123791646786E-7</v>
      </c>
      <c r="I562">
        <f t="shared" si="47"/>
        <v>2.4572447133733391E-3</v>
      </c>
      <c r="L562">
        <f t="shared" si="44"/>
        <v>9.5380123791646786E-7</v>
      </c>
    </row>
    <row r="563" spans="5:12" x14ac:dyDescent="0.2">
      <c r="E563">
        <f t="shared" si="45"/>
        <v>463</v>
      </c>
      <c r="F563">
        <f t="shared" si="42"/>
        <v>5.1120000000000001</v>
      </c>
      <c r="G563">
        <f t="shared" si="43"/>
        <v>2.4076410952826532E-3</v>
      </c>
      <c r="H563">
        <f t="shared" si="46"/>
        <v>8.4391797490514879E-7</v>
      </c>
      <c r="I563">
        <f t="shared" si="47"/>
        <v>2.4076410952826532E-3</v>
      </c>
      <c r="L563">
        <f t="shared" si="44"/>
        <v>8.4391797490514879E-7</v>
      </c>
    </row>
    <row r="564" spans="5:12" x14ac:dyDescent="0.2">
      <c r="E564">
        <f t="shared" si="45"/>
        <v>464</v>
      </c>
      <c r="F564">
        <f t="shared" si="42"/>
        <v>5.136000000000001</v>
      </c>
      <c r="G564">
        <f t="shared" si="43"/>
        <v>2.3592044259367565E-3</v>
      </c>
      <c r="H564">
        <f t="shared" si="46"/>
        <v>7.4626390950944014E-7</v>
      </c>
      <c r="I564">
        <f t="shared" si="47"/>
        <v>2.3592044259367565E-3</v>
      </c>
      <c r="L564">
        <f t="shared" si="44"/>
        <v>7.4626390950944014E-7</v>
      </c>
    </row>
    <row r="565" spans="5:12" x14ac:dyDescent="0.2">
      <c r="E565">
        <f t="shared" si="45"/>
        <v>465</v>
      </c>
      <c r="F565">
        <f t="shared" si="42"/>
        <v>5.16</v>
      </c>
      <c r="G565">
        <f t="shared" si="43"/>
        <v>2.311903653304978E-3</v>
      </c>
      <c r="H565">
        <f t="shared" si="46"/>
        <v>6.5952989685752167E-7</v>
      </c>
      <c r="I565">
        <f t="shared" si="47"/>
        <v>2.311903653304978E-3</v>
      </c>
      <c r="L565">
        <f t="shared" si="44"/>
        <v>6.5952989685752167E-7</v>
      </c>
    </row>
    <row r="566" spans="5:12" x14ac:dyDescent="0.2">
      <c r="E566">
        <f t="shared" si="45"/>
        <v>466</v>
      </c>
      <c r="F566">
        <f t="shared" si="42"/>
        <v>5.1840000000000011</v>
      </c>
      <c r="G566">
        <f t="shared" si="43"/>
        <v>2.2657086385270398E-3</v>
      </c>
      <c r="H566">
        <f t="shared" si="46"/>
        <v>5.8254084534282999E-7</v>
      </c>
      <c r="I566">
        <f t="shared" si="47"/>
        <v>2.2657086385270398E-3</v>
      </c>
      <c r="L566">
        <f t="shared" si="44"/>
        <v>5.8254084534282999E-7</v>
      </c>
    </row>
    <row r="567" spans="5:12" x14ac:dyDescent="0.2">
      <c r="E567">
        <f t="shared" si="45"/>
        <v>467</v>
      </c>
      <c r="F567">
        <f t="shared" si="42"/>
        <v>5.2080000000000002</v>
      </c>
      <c r="G567">
        <f t="shared" si="43"/>
        <v>2.2205901268116707E-3</v>
      </c>
      <c r="H567">
        <f t="shared" si="46"/>
        <v>5.1424268495308647E-7</v>
      </c>
      <c r="I567">
        <f t="shared" si="47"/>
        <v>2.2205901268116707E-3</v>
      </c>
      <c r="L567">
        <f t="shared" si="44"/>
        <v>5.1424268495308647E-7</v>
      </c>
    </row>
    <row r="568" spans="5:12" x14ac:dyDescent="0.2">
      <c r="E568">
        <f t="shared" si="45"/>
        <v>468</v>
      </c>
      <c r="F568">
        <f t="shared" si="42"/>
        <v>5.2320000000000011</v>
      </c>
      <c r="G568">
        <f t="shared" si="43"/>
        <v>2.1765197193219128E-3</v>
      </c>
      <c r="H568">
        <f t="shared" si="46"/>
        <v>4.536905255144105E-7</v>
      </c>
      <c r="I568">
        <f t="shared" si="47"/>
        <v>2.1765197193219128E-3</v>
      </c>
      <c r="L568">
        <f t="shared" si="44"/>
        <v>4.536905255144105E-7</v>
      </c>
    </row>
    <row r="569" spans="5:12" x14ac:dyDescent="0.2">
      <c r="E569">
        <f t="shared" si="45"/>
        <v>469</v>
      </c>
      <c r="F569">
        <f t="shared" si="42"/>
        <v>5.2560000000000002</v>
      </c>
      <c r="G569">
        <f t="shared" si="43"/>
        <v>2.1334698460123021E-3</v>
      </c>
      <c r="H569">
        <f t="shared" si="46"/>
        <v>4.0003790444932249E-7</v>
      </c>
      <c r="I569">
        <f t="shared" si="47"/>
        <v>2.1334698460123021E-3</v>
      </c>
      <c r="L569">
        <f t="shared" si="44"/>
        <v>4.0003790444932249E-7</v>
      </c>
    </row>
    <row r="570" spans="5:12" x14ac:dyDescent="0.2">
      <c r="E570">
        <f t="shared" si="45"/>
        <v>470</v>
      </c>
      <c r="F570">
        <f t="shared" si="42"/>
        <v>5.2799999999999994</v>
      </c>
      <c r="G570">
        <f t="shared" si="43"/>
        <v>2.0914137393841922E-3</v>
      </c>
      <c r="H570">
        <f t="shared" si="46"/>
        <v>3.5252703126140567E-7</v>
      </c>
      <c r="I570">
        <f t="shared" si="47"/>
        <v>2.0914137393841922E-3</v>
      </c>
      <c r="L570">
        <f t="shared" si="44"/>
        <v>3.5252703126140567E-7</v>
      </c>
    </row>
    <row r="571" spans="5:12" x14ac:dyDescent="0.2">
      <c r="E571">
        <f t="shared" si="45"/>
        <v>471</v>
      </c>
      <c r="F571">
        <f t="shared" si="42"/>
        <v>5.3040000000000003</v>
      </c>
      <c r="G571">
        <f t="shared" si="43"/>
        <v>2.0503254091268439E-3</v>
      </c>
      <c r="H571">
        <f t="shared" si="46"/>
        <v>3.104799430831489E-7</v>
      </c>
      <c r="I571">
        <f t="shared" si="47"/>
        <v>2.0503254091268439E-3</v>
      </c>
      <c r="L571">
        <f t="shared" si="44"/>
        <v>3.104799430831489E-7</v>
      </c>
    </row>
    <row r="572" spans="5:12" x14ac:dyDescent="0.2">
      <c r="E572">
        <f t="shared" si="45"/>
        <v>472</v>
      </c>
      <c r="F572">
        <f t="shared" si="42"/>
        <v>5.3279999999999994</v>
      </c>
      <c r="G572">
        <f t="shared" si="43"/>
        <v>2.0101796176130024E-3</v>
      </c>
      <c r="H572">
        <f t="shared" si="46"/>
        <v>2.7329049227913364E-7</v>
      </c>
      <c r="I572">
        <f t="shared" si="47"/>
        <v>2.0101796176130024E-3</v>
      </c>
      <c r="L572">
        <f t="shared" si="44"/>
        <v>2.7329049227913364E-7</v>
      </c>
    </row>
    <row r="573" spans="5:12" x14ac:dyDescent="0.2">
      <c r="E573">
        <f t="shared" si="45"/>
        <v>473</v>
      </c>
      <c r="F573">
        <f t="shared" si="42"/>
        <v>5.3520000000000003</v>
      </c>
      <c r="G573">
        <f t="shared" si="43"/>
        <v>1.9709518562187616E-3</v>
      </c>
      <c r="H573">
        <f t="shared" si="46"/>
        <v>2.4041709330746573E-7</v>
      </c>
      <c r="I573">
        <f t="shared" si="47"/>
        <v>1.9709518562187616E-3</v>
      </c>
      <c r="L573">
        <f t="shared" si="44"/>
        <v>2.4041709330746573E-7</v>
      </c>
    </row>
    <row r="574" spans="5:12" x14ac:dyDescent="0.2">
      <c r="E574">
        <f t="shared" si="45"/>
        <v>474</v>
      </c>
      <c r="F574">
        <f t="shared" si="42"/>
        <v>5.3759999999999994</v>
      </c>
      <c r="G574">
        <f t="shared" si="43"/>
        <v>1.9326183224387824E-3</v>
      </c>
      <c r="H574">
        <f t="shared" si="46"/>
        <v>2.1137616183074136E-7</v>
      </c>
      <c r="I574">
        <f t="shared" si="47"/>
        <v>1.9326183224387824E-3</v>
      </c>
      <c r="L574">
        <f t="shared" si="44"/>
        <v>2.1137616183074136E-7</v>
      </c>
    </row>
    <row r="575" spans="5:12" x14ac:dyDescent="0.2">
      <c r="E575">
        <f t="shared" si="45"/>
        <v>475</v>
      </c>
      <c r="F575">
        <f t="shared" si="42"/>
        <v>5.4</v>
      </c>
      <c r="G575">
        <f t="shared" si="43"/>
        <v>1.8951558977687263E-3</v>
      </c>
      <c r="H575">
        <f t="shared" si="46"/>
        <v>1.8573618445552897E-7</v>
      </c>
      <c r="I575">
        <f t="shared" si="47"/>
        <v>1.8951558977687263E-3</v>
      </c>
      <c r="L575">
        <f t="shared" si="44"/>
        <v>1.8573618445552897E-7</v>
      </c>
    </row>
    <row r="576" spans="5:12" x14ac:dyDescent="0.2">
      <c r="E576">
        <f t="shared" si="45"/>
        <v>476</v>
      </c>
      <c r="F576">
        <f t="shared" si="42"/>
        <v>5.4239999999999995</v>
      </c>
      <c r="G576">
        <f t="shared" si="43"/>
        <v>1.8585421263280259E-3</v>
      </c>
      <c r="H576">
        <f t="shared" si="46"/>
        <v>1.6311236248861543E-7</v>
      </c>
      <c r="I576">
        <f t="shared" si="47"/>
        <v>1.8585421263280259E-3</v>
      </c>
      <c r="L576">
        <f t="shared" si="44"/>
        <v>1.6311236248861543E-7</v>
      </c>
    </row>
    <row r="577" spans="5:12" x14ac:dyDescent="0.2">
      <c r="E577">
        <f t="shared" si="45"/>
        <v>477</v>
      </c>
      <c r="F577">
        <f t="shared" si="42"/>
        <v>5.4480000000000004</v>
      </c>
      <c r="G577">
        <f t="shared" si="43"/>
        <v>1.822755194196903E-3</v>
      </c>
      <c r="H577">
        <f t="shared" si="46"/>
        <v>1.4316177774957213E-7</v>
      </c>
      <c r="I577">
        <f t="shared" si="47"/>
        <v>1.822755194196903E-3</v>
      </c>
      <c r="L577">
        <f t="shared" si="44"/>
        <v>1.4316177774957213E-7</v>
      </c>
    </row>
    <row r="578" spans="5:12" x14ac:dyDescent="0.2">
      <c r="E578">
        <f t="shared" si="45"/>
        <v>478</v>
      </c>
      <c r="F578">
        <f t="shared" si="42"/>
        <v>5.4719999999999995</v>
      </c>
      <c r="G578">
        <f t="shared" si="43"/>
        <v>1.7877739094426049E-3</v>
      </c>
      <c r="H578">
        <f t="shared" si="46"/>
        <v>1.2557903279356918E-7</v>
      </c>
      <c r="I578">
        <f t="shared" si="47"/>
        <v>1.7877739094426049E-3</v>
      </c>
      <c r="L578">
        <f t="shared" si="44"/>
        <v>1.2557903279356918E-7</v>
      </c>
    </row>
    <row r="579" spans="5:12" x14ac:dyDescent="0.2">
      <c r="E579">
        <f t="shared" si="45"/>
        <v>479</v>
      </c>
      <c r="F579">
        <f t="shared" si="42"/>
        <v>5.4960000000000004</v>
      </c>
      <c r="G579">
        <f t="shared" si="43"/>
        <v>1.7535776828106458E-3</v>
      </c>
      <c r="H579">
        <f t="shared" si="46"/>
        <v>1.1009232189518106E-7</v>
      </c>
      <c r="I579">
        <f t="shared" si="47"/>
        <v>1.7535776828106458E-3</v>
      </c>
      <c r="L579">
        <f t="shared" si="44"/>
        <v>1.1009232189518106E-7</v>
      </c>
    </row>
    <row r="580" spans="5:12" x14ac:dyDescent="0.2">
      <c r="E580">
        <f t="shared" si="45"/>
        <v>480</v>
      </c>
      <c r="F580">
        <f t="shared" si="42"/>
        <v>5.52</v>
      </c>
      <c r="G580">
        <f t="shared" si="43"/>
        <v>1.7201465090578147E-3</v>
      </c>
      <c r="H580">
        <f t="shared" si="46"/>
        <v>9.6459892842733842E-8</v>
      </c>
      <c r="I580">
        <f t="shared" si="47"/>
        <v>1.7201465090578147E-3</v>
      </c>
      <c r="L580">
        <f t="shared" si="44"/>
        <v>9.6459892842733842E-8</v>
      </c>
    </row>
    <row r="581" spans="5:12" x14ac:dyDescent="0.2">
      <c r="E581">
        <f t="shared" si="45"/>
        <v>481</v>
      </c>
      <c r="F581">
        <f t="shared" si="42"/>
        <v>5.5440000000000005</v>
      </c>
      <c r="G581">
        <f t="shared" si="43"/>
        <v>1.6874609489044244E-3</v>
      </c>
      <c r="H581">
        <f t="shared" si="46"/>
        <v>8.4466863011587931E-8</v>
      </c>
      <c r="I581">
        <f t="shared" si="47"/>
        <v>1.6874609489044244E-3</v>
      </c>
      <c r="L581">
        <f t="shared" si="44"/>
        <v>8.4466863011587931E-8</v>
      </c>
    </row>
    <row r="582" spans="5:12" x14ac:dyDescent="0.2">
      <c r="E582">
        <f t="shared" si="45"/>
        <v>482</v>
      </c>
      <c r="F582">
        <f t="shared" si="42"/>
        <v>5.5679999999999996</v>
      </c>
      <c r="G582">
        <f t="shared" si="43"/>
        <v>1.6555021115842359E-3</v>
      </c>
      <c r="H582">
        <f t="shared" si="46"/>
        <v>7.3922356341658018E-8</v>
      </c>
      <c r="I582">
        <f t="shared" si="47"/>
        <v>1.6555021115842359E-3</v>
      </c>
      <c r="L582">
        <f t="shared" si="44"/>
        <v>7.3922356341658018E-8</v>
      </c>
    </row>
    <row r="583" spans="5:12" x14ac:dyDescent="0.2">
      <c r="E583">
        <f t="shared" si="45"/>
        <v>483</v>
      </c>
      <c r="F583">
        <f t="shared" si="42"/>
        <v>5.5920000000000005</v>
      </c>
      <c r="G583">
        <f t="shared" si="43"/>
        <v>1.6242516379711201E-3</v>
      </c>
      <c r="H583">
        <f t="shared" si="46"/>
        <v>6.4656930756044859E-8</v>
      </c>
      <c r="I583">
        <f t="shared" si="47"/>
        <v>1.6242516379711201E-3</v>
      </c>
      <c r="L583">
        <f t="shared" si="44"/>
        <v>6.4656930756044859E-8</v>
      </c>
    </row>
    <row r="584" spans="5:12" x14ac:dyDescent="0.2">
      <c r="E584">
        <f t="shared" si="45"/>
        <v>484</v>
      </c>
      <c r="F584">
        <f t="shared" si="42"/>
        <v>5.6159999999999997</v>
      </c>
      <c r="G584">
        <f t="shared" si="43"/>
        <v>1.5936916842624253E-3</v>
      </c>
      <c r="H584">
        <f t="shared" si="46"/>
        <v>5.6520268240340859E-8</v>
      </c>
      <c r="I584">
        <f t="shared" si="47"/>
        <v>1.5936916842624253E-3</v>
      </c>
      <c r="L584">
        <f t="shared" si="44"/>
        <v>5.6520268240340859E-8</v>
      </c>
    </row>
    <row r="585" spans="5:12" x14ac:dyDescent="0.2">
      <c r="E585">
        <f t="shared" si="45"/>
        <v>485</v>
      </c>
      <c r="F585">
        <f t="shared" si="42"/>
        <v>5.6400000000000006</v>
      </c>
      <c r="G585">
        <f t="shared" si="43"/>
        <v>1.5638049061996002E-3</v>
      </c>
      <c r="H585">
        <f t="shared" si="46"/>
        <v>4.9379102271104225E-8</v>
      </c>
      <c r="I585">
        <f t="shared" si="47"/>
        <v>1.5638049061996002E-3</v>
      </c>
      <c r="L585">
        <f t="shared" si="44"/>
        <v>4.9379102271104225E-8</v>
      </c>
    </row>
    <row r="586" spans="5:12" x14ac:dyDescent="0.2">
      <c r="E586">
        <f t="shared" si="45"/>
        <v>486</v>
      </c>
      <c r="F586">
        <f t="shared" si="42"/>
        <v>5.6639999999999997</v>
      </c>
      <c r="G586">
        <f t="shared" si="43"/>
        <v>1.5345744438074443E-3</v>
      </c>
      <c r="H586">
        <f t="shared" si="46"/>
        <v>4.3115359552033492E-8</v>
      </c>
      <c r="I586">
        <f t="shared" si="47"/>
        <v>1.5345744438074443E-3</v>
      </c>
      <c r="L586">
        <f t="shared" si="44"/>
        <v>4.3115359552033492E-8</v>
      </c>
    </row>
    <row r="587" spans="5:12" x14ac:dyDescent="0.2">
      <c r="E587">
        <f t="shared" si="45"/>
        <v>487</v>
      </c>
      <c r="F587">
        <f t="shared" si="42"/>
        <v>5.6880000000000006</v>
      </c>
      <c r="G587">
        <f t="shared" si="43"/>
        <v>1.5059839066339374E-3</v>
      </c>
      <c r="H587">
        <f t="shared" si="46"/>
        <v>3.7624495101197867E-8</v>
      </c>
      <c r="I587">
        <f t="shared" si="47"/>
        <v>1.5059839066339374E-3</v>
      </c>
      <c r="L587">
        <f t="shared" si="44"/>
        <v>3.7624495101197867E-8</v>
      </c>
    </row>
    <row r="588" spans="5:12" x14ac:dyDescent="0.2">
      <c r="E588">
        <f t="shared" si="45"/>
        <v>488</v>
      </c>
      <c r="F588">
        <f t="shared" si="42"/>
        <v>5.7119999999999997</v>
      </c>
      <c r="G588">
        <f t="shared" si="43"/>
        <v>1.4780173594733288E-3</v>
      </c>
      <c r="H588">
        <f t="shared" si="46"/>
        <v>3.2814001645590985E-8</v>
      </c>
      <c r="I588">
        <f t="shared" si="47"/>
        <v>1.4780173594733288E-3</v>
      </c>
      <c r="L588">
        <f t="shared" si="44"/>
        <v>3.2814001645590985E-8</v>
      </c>
    </row>
    <row r="589" spans="5:12" x14ac:dyDescent="0.2">
      <c r="E589">
        <f t="shared" si="45"/>
        <v>489</v>
      </c>
      <c r="F589">
        <f t="shared" si="42"/>
        <v>5.7360000000000007</v>
      </c>
      <c r="G589">
        <f t="shared" si="43"/>
        <v>1.4506593085557005E-3</v>
      </c>
      <c r="H589">
        <f t="shared" si="46"/>
        <v>2.8602076032539976E-8</v>
      </c>
      <c r="I589">
        <f t="shared" si="47"/>
        <v>1.4506593085557005E-3</v>
      </c>
      <c r="L589">
        <f t="shared" si="44"/>
        <v>2.8602076032539976E-8</v>
      </c>
    </row>
    <row r="590" spans="5:12" x14ac:dyDescent="0.2">
      <c r="E590">
        <f t="shared" si="45"/>
        <v>490</v>
      </c>
      <c r="F590">
        <f t="shared" si="42"/>
        <v>5.76</v>
      </c>
      <c r="G590">
        <f t="shared" si="43"/>
        <v>1.4238946881869421E-3</v>
      </c>
      <c r="H590">
        <f t="shared" si="46"/>
        <v>2.4916426972950989E-8</v>
      </c>
      <c r="I590">
        <f t="shared" si="47"/>
        <v>1.4238946881869421E-3</v>
      </c>
      <c r="L590">
        <f t="shared" si="44"/>
        <v>2.4916426972950989E-8</v>
      </c>
    </row>
    <row r="591" spans="5:12" x14ac:dyDescent="0.2">
      <c r="E591">
        <f t="shared" si="45"/>
        <v>491</v>
      </c>
      <c r="F591">
        <f t="shared" si="42"/>
        <v>5.7840000000000007</v>
      </c>
      <c r="G591">
        <f t="shared" si="43"/>
        <v>1.3977088478235114E-3</v>
      </c>
      <c r="H591">
        <f t="shared" si="46"/>
        <v>2.1693209899897903E-8</v>
      </c>
      <c r="I591">
        <f t="shared" si="47"/>
        <v>1.3977088478235114E-3</v>
      </c>
      <c r="L591">
        <f t="shared" si="44"/>
        <v>2.1693209899897903E-8</v>
      </c>
    </row>
    <row r="592" spans="5:12" x14ac:dyDescent="0.2">
      <c r="E592">
        <f t="shared" si="45"/>
        <v>492</v>
      </c>
      <c r="F592">
        <f t="shared" si="42"/>
        <v>5.8079999999999998</v>
      </c>
      <c r="G592">
        <f t="shared" si="43"/>
        <v>1.3720875395670609E-3</v>
      </c>
      <c r="H592">
        <f t="shared" si="46"/>
        <v>1.8876076068122808E-8</v>
      </c>
      <c r="I592">
        <f t="shared" si="47"/>
        <v>1.3720875395670609E-3</v>
      </c>
      <c r="L592">
        <f t="shared" si="44"/>
        <v>1.8876076068122808E-8</v>
      </c>
    </row>
    <row r="593" spans="5:12" x14ac:dyDescent="0.2">
      <c r="E593">
        <f t="shared" si="45"/>
        <v>493</v>
      </c>
      <c r="F593">
        <f t="shared" si="42"/>
        <v>5.8320000000000007</v>
      </c>
      <c r="G593">
        <f t="shared" si="43"/>
        <v>1.3470169060644179E-3</v>
      </c>
      <c r="H593">
        <f t="shared" si="46"/>
        <v>1.6415324245220292E-8</v>
      </c>
      <c r="I593">
        <f t="shared" si="47"/>
        <v>1.3470169060644179E-3</v>
      </c>
      <c r="L593">
        <f t="shared" si="44"/>
        <v>1.6415324245220292E-8</v>
      </c>
    </row>
    <row r="594" spans="5:12" x14ac:dyDescent="0.2">
      <c r="E594">
        <f t="shared" si="45"/>
        <v>494</v>
      </c>
      <c r="F594">
        <f t="shared" si="42"/>
        <v>5.8559999999999999</v>
      </c>
      <c r="G594">
        <f t="shared" si="43"/>
        <v>1.3224834687990369E-3</v>
      </c>
      <c r="H594">
        <f t="shared" si="46"/>
        <v>1.4267144462795874E-8</v>
      </c>
      <c r="I594">
        <f t="shared" si="47"/>
        <v>1.3224834687990369E-3</v>
      </c>
      <c r="L594">
        <f t="shared" si="44"/>
        <v>1.4267144462795874E-8</v>
      </c>
    </row>
    <row r="595" spans="5:12" x14ac:dyDescent="0.2">
      <c r="E595">
        <f t="shared" si="45"/>
        <v>495</v>
      </c>
      <c r="F595">
        <f t="shared" si="42"/>
        <v>5.8800000000000008</v>
      </c>
      <c r="G595">
        <f t="shared" si="43"/>
        <v>1.2984741167604375E-3</v>
      </c>
      <c r="H595">
        <f t="shared" si="46"/>
        <v>1.239294431415004E-8</v>
      </c>
      <c r="I595">
        <f t="shared" si="47"/>
        <v>1.2984741167604375E-3</v>
      </c>
      <c r="L595">
        <f t="shared" si="44"/>
        <v>1.239294431415004E-8</v>
      </c>
    </row>
    <row r="596" spans="5:12" x14ac:dyDescent="0.2">
      <c r="E596">
        <f t="shared" si="45"/>
        <v>496</v>
      </c>
      <c r="F596">
        <f t="shared" si="42"/>
        <v>5.9039999999999999</v>
      </c>
      <c r="G596">
        <f t="shared" si="43"/>
        <v>1.274976095478737E-3</v>
      </c>
      <c r="H596">
        <f t="shared" si="46"/>
        <v>1.0758749212031231E-8</v>
      </c>
      <c r="I596">
        <f t="shared" si="47"/>
        <v>1.274976095478737E-3</v>
      </c>
      <c r="L596">
        <f t="shared" si="44"/>
        <v>1.0758749212031231E-8</v>
      </c>
    </row>
    <row r="597" spans="5:12" x14ac:dyDescent="0.2">
      <c r="E597">
        <f t="shared" si="45"/>
        <v>497</v>
      </c>
      <c r="F597">
        <f t="shared" si="42"/>
        <v>5.9280000000000008</v>
      </c>
      <c r="G597">
        <f t="shared" si="43"/>
        <v>1.2519769964117213E-3</v>
      </c>
      <c r="H597">
        <f t="shared" si="46"/>
        <v>9.3346688630663104E-9</v>
      </c>
      <c r="I597">
        <f t="shared" si="47"/>
        <v>1.2519769964117213E-3</v>
      </c>
      <c r="L597">
        <f t="shared" si="44"/>
        <v>9.3346688630663104E-9</v>
      </c>
    </row>
    <row r="598" spans="5:12" x14ac:dyDescent="0.2">
      <c r="E598">
        <f t="shared" si="45"/>
        <v>498</v>
      </c>
      <c r="F598">
        <f t="shared" si="42"/>
        <v>5.952</v>
      </c>
      <c r="G598">
        <f t="shared" si="43"/>
        <v>1.2294647466724814E-3</v>
      </c>
      <c r="H598">
        <f t="shared" si="46"/>
        <v>8.094422981541427E-9</v>
      </c>
      <c r="I598">
        <f t="shared" si="47"/>
        <v>1.2294647466724814E-3</v>
      </c>
      <c r="L598">
        <f t="shared" si="44"/>
        <v>8.094422981541427E-9</v>
      </c>
    </row>
    <row r="599" spans="5:12" x14ac:dyDescent="0.2">
      <c r="E599">
        <f t="shared" si="45"/>
        <v>499</v>
      </c>
      <c r="F599">
        <f t="shared" si="42"/>
        <v>5.9760000000000009</v>
      </c>
      <c r="G599">
        <f t="shared" si="43"/>
        <v>1.2074275990859426E-3</v>
      </c>
      <c r="H599">
        <f t="shared" si="46"/>
        <v>7.0149199606205826E-9</v>
      </c>
      <c r="I599">
        <f t="shared" si="47"/>
        <v>1.2074275990859426E-3</v>
      </c>
      <c r="L599">
        <f t="shared" si="44"/>
        <v>7.0149199606205826E-9</v>
      </c>
    </row>
    <row r="600" spans="5:12" x14ac:dyDescent="0.2">
      <c r="E600">
        <f t="shared" si="45"/>
        <v>500</v>
      </c>
      <c r="F600">
        <f t="shared" si="42"/>
        <v>6</v>
      </c>
      <c r="G600">
        <f t="shared" si="43"/>
        <v>1.1858541225631424E-3</v>
      </c>
      <c r="H600">
        <f t="shared" si="46"/>
        <v>6.0758828498232861E-9</v>
      </c>
      <c r="I600">
        <f t="shared" si="47"/>
        <v>1.1858541225631424E-3</v>
      </c>
      <c r="L600">
        <f t="shared" si="44"/>
        <v>6.0758828498232861E-9</v>
      </c>
    </row>
  </sheetData>
  <dataValidations count="1">
    <dataValidation type="whole" operator="greaterThan" allowBlank="1" showInputMessage="1" showErrorMessage="1" sqref="D10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sample2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9525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eet4.s1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0</xdr:col>
                    <xdr:colOff>742950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1]!resample2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9525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2:O63"/>
  <sheetViews>
    <sheetView showGridLines="0" showRowColHeaders="0" zoomScale="75" zoomScaleNormal="75" workbookViewId="0">
      <selection activeCell="N7" sqref="N7"/>
    </sheetView>
  </sheetViews>
  <sheetFormatPr defaultRowHeight="15" x14ac:dyDescent="0.2"/>
  <sheetData>
    <row r="2" spans="2:10" ht="18.75" x14ac:dyDescent="0.3">
      <c r="B2" s="36" t="s">
        <v>124</v>
      </c>
    </row>
    <row r="12" spans="2:10" ht="15.75" x14ac:dyDescent="0.25">
      <c r="B12" s="56" t="s">
        <v>119</v>
      </c>
      <c r="C12" s="56"/>
      <c r="G12" s="56" t="s">
        <v>120</v>
      </c>
      <c r="H12" s="56"/>
      <c r="I12" s="56"/>
      <c r="J12" s="56"/>
    </row>
    <row r="13" spans="2:10" x14ac:dyDescent="0.2">
      <c r="B13" s="21" t="s">
        <v>49</v>
      </c>
      <c r="C13" s="21" t="s">
        <v>33</v>
      </c>
    </row>
    <row r="14" spans="2:10" x14ac:dyDescent="0.2">
      <c r="B14" s="54">
        <v>10</v>
      </c>
      <c r="C14" s="54">
        <v>9.5</v>
      </c>
      <c r="G14" s="31" t="s">
        <v>12</v>
      </c>
      <c r="H14" s="21">
        <v>5</v>
      </c>
      <c r="I14" t="s">
        <v>1</v>
      </c>
    </row>
    <row r="15" spans="2:10" x14ac:dyDescent="0.2">
      <c r="B15" s="30"/>
      <c r="C15" s="54">
        <v>10.5</v>
      </c>
      <c r="G15" s="31" t="s">
        <v>121</v>
      </c>
      <c r="H15" s="21">
        <f>reference</f>
        <v>10</v>
      </c>
      <c r="I15" t="s">
        <v>122</v>
      </c>
    </row>
    <row r="16" spans="2:10" x14ac:dyDescent="0.2">
      <c r="B16" s="30"/>
      <c r="C16" s="54">
        <v>10.75</v>
      </c>
    </row>
    <row r="17" spans="2:12" ht="15.75" x14ac:dyDescent="0.25">
      <c r="B17" s="30"/>
      <c r="C17" s="54">
        <v>11.5</v>
      </c>
      <c r="G17" s="40" t="s">
        <v>50</v>
      </c>
      <c r="H17" s="32"/>
    </row>
    <row r="18" spans="2:12" x14ac:dyDescent="0.2">
      <c r="B18" s="30"/>
      <c r="C18" s="54">
        <v>12</v>
      </c>
      <c r="G18" s="1" t="s">
        <v>34</v>
      </c>
      <c r="H18" s="4">
        <f>AVERAGE(sample)</f>
        <v>10.85</v>
      </c>
    </row>
    <row r="19" spans="2:12" x14ac:dyDescent="0.2">
      <c r="B19" s="14"/>
      <c r="C19" s="26"/>
      <c r="G19" s="1" t="s">
        <v>4</v>
      </c>
      <c r="H19" s="4">
        <f>STDEV(sample)</f>
        <v>0.96176920308356728</v>
      </c>
    </row>
    <row r="20" spans="2:12" x14ac:dyDescent="0.2">
      <c r="B20" s="14"/>
      <c r="C20" s="26"/>
      <c r="G20" s="1" t="s">
        <v>5</v>
      </c>
      <c r="H20" s="4">
        <f>H19/SQRT(H14)</f>
        <v>0.43011626335213132</v>
      </c>
    </row>
    <row r="21" spans="2:12" x14ac:dyDescent="0.2">
      <c r="B21" s="14"/>
      <c r="C21" s="26"/>
    </row>
    <row r="22" spans="2:12" ht="15.75" x14ac:dyDescent="0.25">
      <c r="B22" s="14"/>
      <c r="C22" s="26"/>
      <c r="G22" s="40" t="s">
        <v>51</v>
      </c>
      <c r="H22" s="32"/>
    </row>
    <row r="23" spans="2:12" x14ac:dyDescent="0.2">
      <c r="B23" s="14"/>
      <c r="C23" s="26"/>
      <c r="G23" s="31" t="s">
        <v>20</v>
      </c>
      <c r="H23" s="4">
        <f>ABS((H18-H15)/H20)</f>
        <v>1.976209858644927</v>
      </c>
      <c r="I23" t="s">
        <v>53</v>
      </c>
    </row>
    <row r="24" spans="2:12" x14ac:dyDescent="0.2">
      <c r="B24" s="14"/>
      <c r="C24" s="26"/>
      <c r="G24" s="31" t="s">
        <v>93</v>
      </c>
      <c r="H24" s="51">
        <f>H14-1</f>
        <v>4</v>
      </c>
      <c r="I24" t="s">
        <v>52</v>
      </c>
    </row>
    <row r="25" spans="2:12" x14ac:dyDescent="0.2">
      <c r="B25" s="14"/>
      <c r="C25" s="26"/>
      <c r="I25" s="51"/>
      <c r="J25" s="51"/>
    </row>
    <row r="26" spans="2:12" ht="15.75" x14ac:dyDescent="0.25">
      <c r="B26" s="14"/>
      <c r="C26" s="26"/>
      <c r="G26" s="35" t="s">
        <v>78</v>
      </c>
      <c r="K26" t="s">
        <v>79</v>
      </c>
    </row>
    <row r="27" spans="2:12" x14ac:dyDescent="0.2">
      <c r="B27" s="14"/>
      <c r="C27" s="26"/>
      <c r="G27" s="1" t="s">
        <v>76</v>
      </c>
      <c r="H27" s="51">
        <v>95</v>
      </c>
      <c r="K27" s="28" t="str">
        <f>"P &gt; " &amp;(1-H27/100)&amp;" when tested against the sample"</f>
        <v>P &gt; 0.05 when tested against the sample</v>
      </c>
      <c r="L27" s="28"/>
    </row>
    <row r="28" spans="2:12" x14ac:dyDescent="0.2">
      <c r="B28" s="14"/>
      <c r="C28" s="26"/>
      <c r="G28" s="1" t="s">
        <v>77</v>
      </c>
      <c r="H28" s="4">
        <f>$H$18-tp(1-$H$27/100,$H$24,2)*$H$20</f>
        <v>9.6558058059500098</v>
      </c>
      <c r="I28" s="4">
        <f>$H$18+tp(1-$H$27/100,$H$24,2)*$H$20</f>
        <v>12.044194194049989</v>
      </c>
    </row>
    <row r="29" spans="2:12" x14ac:dyDescent="0.2">
      <c r="B29" s="14"/>
      <c r="C29" s="26"/>
    </row>
    <row r="30" spans="2:12" x14ac:dyDescent="0.2">
      <c r="B30" s="14"/>
      <c r="C30" s="26"/>
    </row>
    <row r="31" spans="2:12" ht="15.75" x14ac:dyDescent="0.25">
      <c r="B31" s="14"/>
      <c r="C31" s="26"/>
      <c r="G31" s="35" t="s">
        <v>80</v>
      </c>
    </row>
    <row r="32" spans="2:12" x14ac:dyDescent="0.2">
      <c r="B32" s="14"/>
      <c r="C32" s="26"/>
    </row>
    <row r="33" spans="2:15" x14ac:dyDescent="0.2">
      <c r="B33" s="14"/>
      <c r="C33" s="26"/>
      <c r="H33" s="50" t="s">
        <v>95</v>
      </c>
      <c r="I33" s="50"/>
    </row>
    <row r="34" spans="2:15" x14ac:dyDescent="0.2">
      <c r="B34" s="14"/>
      <c r="C34" s="26"/>
      <c r="H34" s="51" t="s">
        <v>56</v>
      </c>
      <c r="I34" s="51" t="s">
        <v>55</v>
      </c>
    </row>
    <row r="35" spans="2:15" x14ac:dyDescent="0.2">
      <c r="B35" s="14"/>
      <c r="C35" s="26"/>
      <c r="G35" s="31" t="s">
        <v>20</v>
      </c>
      <c r="H35" s="5">
        <f>pt(H23,H24,2)</f>
        <v>0.11931804688539804</v>
      </c>
      <c r="I35" s="5">
        <f>pt(H23,H24,1)</f>
        <v>5.9659023442699022E-2</v>
      </c>
    </row>
    <row r="36" spans="2:15" x14ac:dyDescent="0.2">
      <c r="B36" s="14"/>
      <c r="C36" s="26"/>
      <c r="G36" s="1" t="s">
        <v>54</v>
      </c>
      <c r="H36" s="5">
        <f>pz(H23,2)</f>
        <v>4.8131013781061771E-2</v>
      </c>
      <c r="I36" s="5">
        <f>pz(H23,1)</f>
        <v>2.4065506890530886E-2</v>
      </c>
    </row>
    <row r="37" spans="2:15" x14ac:dyDescent="0.2">
      <c r="B37" s="14"/>
      <c r="C37" s="26"/>
    </row>
    <row r="38" spans="2:15" x14ac:dyDescent="0.2">
      <c r="B38" s="14"/>
      <c r="C38" s="26"/>
    </row>
    <row r="39" spans="2:15" ht="15.75" x14ac:dyDescent="0.25">
      <c r="B39" s="14"/>
      <c r="C39" s="26"/>
      <c r="L39" s="42"/>
      <c r="M39" s="32"/>
      <c r="N39" s="28"/>
    </row>
    <row r="40" spans="2:15" x14ac:dyDescent="0.2">
      <c r="B40" s="14"/>
      <c r="C40" s="26"/>
      <c r="L40" s="1"/>
      <c r="M40" s="5"/>
    </row>
    <row r="41" spans="2:15" x14ac:dyDescent="0.2">
      <c r="C41" s="26"/>
      <c r="O41" s="29"/>
    </row>
    <row r="42" spans="2:15" ht="15.75" x14ac:dyDescent="0.25">
      <c r="C42" s="26"/>
      <c r="L42" s="42"/>
      <c r="M42" s="32"/>
      <c r="O42" s="51"/>
    </row>
    <row r="43" spans="2:15" x14ac:dyDescent="0.2">
      <c r="C43" s="26"/>
      <c r="L43" s="1"/>
      <c r="M43" s="5"/>
      <c r="N43" s="28"/>
      <c r="O43" s="51"/>
    </row>
    <row r="44" spans="2:15" x14ac:dyDescent="0.2">
      <c r="C44" s="26"/>
      <c r="M44" s="1"/>
    </row>
    <row r="45" spans="2:15" x14ac:dyDescent="0.2">
      <c r="C45" s="26"/>
      <c r="N45" s="28"/>
      <c r="O45" s="5"/>
    </row>
    <row r="46" spans="2:15" x14ac:dyDescent="0.2">
      <c r="C46" s="26"/>
    </row>
    <row r="47" spans="2:15" x14ac:dyDescent="0.2">
      <c r="C47" s="26"/>
    </row>
    <row r="48" spans="2:15" x14ac:dyDescent="0.2">
      <c r="C48" s="26"/>
    </row>
    <row r="49" spans="3:3" x14ac:dyDescent="0.2">
      <c r="C49" s="26"/>
    </row>
    <row r="50" spans="3:3" x14ac:dyDescent="0.2">
      <c r="C50" s="26"/>
    </row>
    <row r="51" spans="3:3" x14ac:dyDescent="0.2">
      <c r="C51" s="26"/>
    </row>
    <row r="52" spans="3:3" x14ac:dyDescent="0.2">
      <c r="C52" s="26"/>
    </row>
    <row r="53" spans="3:3" x14ac:dyDescent="0.2">
      <c r="C53" s="26"/>
    </row>
    <row r="54" spans="3:3" x14ac:dyDescent="0.2">
      <c r="C54" s="26"/>
    </row>
    <row r="55" spans="3:3" x14ac:dyDescent="0.2">
      <c r="C55" s="26"/>
    </row>
    <row r="56" spans="3:3" x14ac:dyDescent="0.2">
      <c r="C56" s="26"/>
    </row>
    <row r="57" spans="3:3" x14ac:dyDescent="0.2">
      <c r="C57" s="26"/>
    </row>
    <row r="58" spans="3:3" x14ac:dyDescent="0.2">
      <c r="C58" s="26"/>
    </row>
    <row r="59" spans="3:3" x14ac:dyDescent="0.2">
      <c r="C59" s="26"/>
    </row>
    <row r="60" spans="3:3" x14ac:dyDescent="0.2">
      <c r="C60" s="26"/>
    </row>
    <row r="61" spans="3:3" x14ac:dyDescent="0.2">
      <c r="C61" s="26"/>
    </row>
    <row r="62" spans="3:3" x14ac:dyDescent="0.2">
      <c r="C62" s="26"/>
    </row>
    <row r="63" spans="3:3" x14ac:dyDescent="0.2">
      <c r="C63" s="26"/>
    </row>
  </sheetData>
  <mergeCells count="2">
    <mergeCell ref="B12:C12"/>
    <mergeCell ref="G12:J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4.s1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752475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default1">
                <anchor moveWithCells="1" sizeWithCells="1">
                  <from>
                    <xdr:col>1</xdr:col>
                    <xdr:colOff>133350</xdr:colOff>
                    <xdr:row>9</xdr:row>
                    <xdr:rowOff>114300</xdr:rowOff>
                  </from>
                  <to>
                    <xdr:col>2</xdr:col>
                    <xdr:colOff>685800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:I200"/>
  <sheetViews>
    <sheetView showGridLines="0" showRowColHeaders="0" zoomScale="75" zoomScaleNormal="75" workbookViewId="0">
      <selection activeCell="B26" sqref="B26"/>
    </sheetView>
  </sheetViews>
  <sheetFormatPr defaultRowHeight="15" x14ac:dyDescent="0.2"/>
  <sheetData>
    <row r="2" spans="2:2" ht="18.75" x14ac:dyDescent="0.3">
      <c r="B2" s="36" t="s">
        <v>62</v>
      </c>
    </row>
    <row r="20" spans="2:3" x14ac:dyDescent="0.2">
      <c r="B20" s="18" t="s">
        <v>12</v>
      </c>
      <c r="C20" s="18" t="s">
        <v>93</v>
      </c>
    </row>
    <row r="21" spans="2:3" x14ac:dyDescent="0.2">
      <c r="B21" s="24">
        <v>3</v>
      </c>
      <c r="C21" s="19">
        <f>B21-1</f>
        <v>2</v>
      </c>
    </row>
    <row r="22" spans="2:3" x14ac:dyDescent="0.2">
      <c r="B22" s="24">
        <v>4</v>
      </c>
      <c r="C22" s="19">
        <f>B22-1</f>
        <v>3</v>
      </c>
    </row>
    <row r="23" spans="2:3" x14ac:dyDescent="0.2">
      <c r="B23" s="24">
        <v>5</v>
      </c>
      <c r="C23" s="19">
        <f>B23-1</f>
        <v>4</v>
      </c>
    </row>
    <row r="24" spans="2:3" x14ac:dyDescent="0.2">
      <c r="B24" s="24">
        <v>10</v>
      </c>
      <c r="C24" s="19">
        <f>B24-1</f>
        <v>9</v>
      </c>
    </row>
    <row r="25" spans="2:3" x14ac:dyDescent="0.2">
      <c r="B25" s="24">
        <v>20</v>
      </c>
      <c r="C25" s="19">
        <f>B25-1</f>
        <v>19</v>
      </c>
    </row>
    <row r="96" spans="2:3" x14ac:dyDescent="0.2">
      <c r="B96" t="s">
        <v>12</v>
      </c>
      <c r="C96">
        <v>100</v>
      </c>
    </row>
    <row r="97" spans="1:9" x14ac:dyDescent="0.2">
      <c r="B97" t="s">
        <v>17</v>
      </c>
      <c r="C97">
        <v>-4</v>
      </c>
    </row>
    <row r="98" spans="1:9" x14ac:dyDescent="0.2">
      <c r="B98" t="s">
        <v>18</v>
      </c>
      <c r="C98">
        <v>4</v>
      </c>
      <c r="I98" t="s">
        <v>47</v>
      </c>
    </row>
    <row r="99" spans="1:9" x14ac:dyDescent="0.2">
      <c r="A99" t="s">
        <v>9</v>
      </c>
      <c r="B99" t="s">
        <v>0</v>
      </c>
      <c r="C99" t="s">
        <v>46</v>
      </c>
      <c r="D99" t="str">
        <f>"df="&amp;C21</f>
        <v>df=2</v>
      </c>
      <c r="E99" t="str">
        <f>"df="&amp;C22</f>
        <v>df=3</v>
      </c>
      <c r="F99" t="str">
        <f>"df="&amp;C23</f>
        <v>df=4</v>
      </c>
      <c r="G99" t="str">
        <f>"df="&amp;C24</f>
        <v>df=9</v>
      </c>
      <c r="H99" t="str">
        <f>"df="&amp;C25</f>
        <v>df=19</v>
      </c>
    </row>
    <row r="100" spans="1:9" x14ac:dyDescent="0.2">
      <c r="A100">
        <f>ROW(A100)-100</f>
        <v>0</v>
      </c>
      <c r="B100">
        <f>axisrange(A100,$C$96,$C$97,$C$98)</f>
        <v>-4</v>
      </c>
      <c r="C100">
        <f>NORMDIST(B100,0,1,0)</f>
        <v>1.3383022576488537E-4</v>
      </c>
      <c r="D100">
        <f t="shared" ref="D100:D131" si="0">tpdf(B100,$C$21)</f>
        <v>1.3094570021973104E-2</v>
      </c>
      <c r="E100">
        <f t="shared" ref="E100:E131" si="1">tpdf(B100,$C$22)</f>
        <v>9.1633611427444656E-3</v>
      </c>
      <c r="F100">
        <f t="shared" ref="F100:F131" si="2">tpdf(B100,$C$23)</f>
        <v>6.7082039324993705E-3</v>
      </c>
      <c r="G100">
        <f t="shared" ref="G100:G131" si="3">tpdf(B100,$C$24)</f>
        <v>2.3462987093978279E-3</v>
      </c>
      <c r="H100">
        <f t="shared" ref="H100:H131" si="4">tpdf(B100,$C$25)</f>
        <v>8.7509229562642086E-4</v>
      </c>
    </row>
    <row r="101" spans="1:9" x14ac:dyDescent="0.2">
      <c r="A101">
        <f t="shared" ref="A101:A164" si="5">ROW(A101)-100</f>
        <v>1</v>
      </c>
      <c r="B101">
        <f t="shared" ref="B101:B164" si="6">axisrange(A101,$C$96,$C$97,$C$98)</f>
        <v>-3.92</v>
      </c>
      <c r="C101">
        <f t="shared" ref="C101:C164" si="7">NORMDIST(B101,0,1,0)</f>
        <v>1.8371249800245711E-4</v>
      </c>
      <c r="D101">
        <f t="shared" si="0"/>
        <v>1.3817685389624671E-2</v>
      </c>
      <c r="E101">
        <f t="shared" si="1"/>
        <v>9.8064976358220781E-3</v>
      </c>
      <c r="F101">
        <f t="shared" si="2"/>
        <v>7.2704116601029324E-3</v>
      </c>
      <c r="G101">
        <f t="shared" si="3"/>
        <v>2.6676355626087671E-3</v>
      </c>
      <c r="H101">
        <f t="shared" si="4"/>
        <v>1.0504947763400616E-3</v>
      </c>
    </row>
    <row r="102" spans="1:9" x14ac:dyDescent="0.2">
      <c r="A102">
        <f t="shared" si="5"/>
        <v>2</v>
      </c>
      <c r="B102">
        <f t="shared" si="6"/>
        <v>-3.84</v>
      </c>
      <c r="C102">
        <f t="shared" si="7"/>
        <v>2.5057844489086075E-4</v>
      </c>
      <c r="D102">
        <f t="shared" si="0"/>
        <v>1.4593146098593168E-2</v>
      </c>
      <c r="E102">
        <f t="shared" si="1"/>
        <v>1.0504626833954027E-2</v>
      </c>
      <c r="F102">
        <f t="shared" si="2"/>
        <v>7.8873821251491377E-3</v>
      </c>
      <c r="G102">
        <f t="shared" si="3"/>
        <v>3.0350622735803761E-3</v>
      </c>
      <c r="H102">
        <f t="shared" si="4"/>
        <v>1.2605577893062335E-3</v>
      </c>
    </row>
    <row r="103" spans="1:9" x14ac:dyDescent="0.2">
      <c r="A103">
        <f t="shared" si="5"/>
        <v>3</v>
      </c>
      <c r="B103">
        <f t="shared" si="6"/>
        <v>-3.76</v>
      </c>
      <c r="C103">
        <f t="shared" si="7"/>
        <v>3.3960121248365478E-4</v>
      </c>
      <c r="D103">
        <f t="shared" si="0"/>
        <v>1.5425582765044668E-2</v>
      </c>
      <c r="E103">
        <f t="shared" si="1"/>
        <v>1.1263205321550254E-2</v>
      </c>
      <c r="F103">
        <f t="shared" si="2"/>
        <v>8.565085375564099E-3</v>
      </c>
      <c r="G103">
        <f t="shared" si="3"/>
        <v>3.4553480637429489E-3</v>
      </c>
      <c r="H103">
        <f t="shared" si="4"/>
        <v>1.5119025188597181E-3</v>
      </c>
    </row>
    <row r="104" spans="1:9" x14ac:dyDescent="0.2">
      <c r="A104">
        <f t="shared" si="5"/>
        <v>4</v>
      </c>
      <c r="B104">
        <f t="shared" si="6"/>
        <v>-3.68</v>
      </c>
      <c r="C104">
        <f t="shared" si="7"/>
        <v>4.5731481405985675E-4</v>
      </c>
      <c r="D104">
        <f t="shared" si="0"/>
        <v>1.6320102321698175E-2</v>
      </c>
      <c r="E104">
        <f t="shared" si="1"/>
        <v>1.2088292751016907E-2</v>
      </c>
      <c r="F104">
        <f t="shared" si="2"/>
        <v>9.3101938200690591E-3</v>
      </c>
      <c r="G104">
        <f t="shared" si="3"/>
        <v>3.9362492070757977E-3</v>
      </c>
      <c r="H104">
        <f t="shared" si="4"/>
        <v>1.8123351518951373E-3</v>
      </c>
    </row>
    <row r="105" spans="1:9" x14ac:dyDescent="0.2">
      <c r="A105">
        <f t="shared" si="5"/>
        <v>5</v>
      </c>
      <c r="B105">
        <f t="shared" si="6"/>
        <v>-3.6</v>
      </c>
      <c r="C105">
        <f t="shared" si="7"/>
        <v>6.119019301137719E-4</v>
      </c>
      <c r="D105">
        <f t="shared" si="0"/>
        <v>1.7282342580047433E-2</v>
      </c>
      <c r="E105">
        <f t="shared" si="1"/>
        <v>1.298662293472855E-2</v>
      </c>
      <c r="F105">
        <f t="shared" si="2"/>
        <v>1.0130167496884291E-2</v>
      </c>
      <c r="G105">
        <f t="shared" si="3"/>
        <v>4.4866445690837642E-3</v>
      </c>
      <c r="H105">
        <f t="shared" si="4"/>
        <v>2.1710338625362991E-3</v>
      </c>
    </row>
    <row r="106" spans="1:9" x14ac:dyDescent="0.2">
      <c r="A106">
        <f t="shared" si="5"/>
        <v>6</v>
      </c>
      <c r="B106">
        <f t="shared" si="6"/>
        <v>-3.52</v>
      </c>
      <c r="C106">
        <f t="shared" si="7"/>
        <v>8.1352123108180841E-4</v>
      </c>
      <c r="D106">
        <f t="shared" si="0"/>
        <v>1.83185334207818E-2</v>
      </c>
      <c r="E106">
        <f t="shared" si="1"/>
        <v>1.3965683330665321E-2</v>
      </c>
      <c r="F106">
        <f t="shared" si="2"/>
        <v>1.1033349233456015E-2</v>
      </c>
      <c r="G106">
        <f t="shared" si="3"/>
        <v>5.1166865806555615E-3</v>
      </c>
      <c r="H106">
        <f t="shared" si="4"/>
        <v>2.5987577972712214E-3</v>
      </c>
    </row>
    <row r="107" spans="1:9" x14ac:dyDescent="0.2">
      <c r="A107">
        <f t="shared" si="5"/>
        <v>7</v>
      </c>
      <c r="B107">
        <f t="shared" si="6"/>
        <v>-3.44</v>
      </c>
      <c r="C107">
        <f t="shared" si="7"/>
        <v>1.0746733401537356E-3</v>
      </c>
      <c r="D107">
        <f t="shared" si="0"/>
        <v>1.9435565400383596E-2</v>
      </c>
      <c r="E107">
        <f t="shared" si="1"/>
        <v>1.5033803780495378E-2</v>
      </c>
      <c r="F107">
        <f t="shared" si="2"/>
        <v>1.2029070573368415E-2</v>
      </c>
      <c r="G107">
        <f t="shared" si="3"/>
        <v>5.8379683650283936E-3</v>
      </c>
      <c r="H107">
        <f t="shared" si="4"/>
        <v>3.1080783856877914E-3</v>
      </c>
    </row>
    <row r="108" spans="1:9" x14ac:dyDescent="0.2">
      <c r="A108">
        <f t="shared" si="5"/>
        <v>8</v>
      </c>
      <c r="B108">
        <f t="shared" si="6"/>
        <v>-3.36</v>
      </c>
      <c r="C108">
        <f t="shared" si="7"/>
        <v>1.4106022569413848E-3</v>
      </c>
      <c r="D108">
        <f t="shared" si="0"/>
        <v>2.064106663438631E-2</v>
      </c>
      <c r="E108">
        <f t="shared" si="1"/>
        <v>1.6200255387909972E-2</v>
      </c>
      <c r="F108">
        <f t="shared" si="2"/>
        <v>1.3127769319555822E-2</v>
      </c>
      <c r="G108">
        <f t="shared" si="3"/>
        <v>6.663707398306665E-3</v>
      </c>
      <c r="H108">
        <f t="shared" si="4"/>
        <v>3.7136324872708393E-3</v>
      </c>
    </row>
    <row r="109" spans="1:9" x14ac:dyDescent="0.2">
      <c r="A109">
        <f t="shared" si="5"/>
        <v>9</v>
      </c>
      <c r="B109">
        <f t="shared" si="6"/>
        <v>-3.2800000000000002</v>
      </c>
      <c r="C109">
        <f t="shared" si="7"/>
        <v>1.8397261808242775E-3</v>
      </c>
      <c r="D109">
        <f t="shared" si="0"/>
        <v>2.1943488887170931E-2</v>
      </c>
      <c r="E109">
        <f t="shared" si="1"/>
        <v>1.7475360429540995E-2</v>
      </c>
      <c r="F109">
        <f t="shared" si="2"/>
        <v>1.4341119468080922E-2</v>
      </c>
      <c r="G109">
        <f t="shared" si="3"/>
        <v>7.6089455918455159E-3</v>
      </c>
      <c r="H109">
        <f t="shared" si="4"/>
        <v>4.43239578281957E-3</v>
      </c>
    </row>
    <row r="110" spans="1:9" x14ac:dyDescent="0.2">
      <c r="A110">
        <f t="shared" si="5"/>
        <v>10</v>
      </c>
      <c r="B110">
        <f t="shared" si="6"/>
        <v>-3.2</v>
      </c>
      <c r="C110">
        <f t="shared" si="7"/>
        <v>2.3840882014648404E-3</v>
      </c>
      <c r="D110">
        <f t="shared" si="0"/>
        <v>2.3352203859274081E-2</v>
      </c>
      <c r="E110">
        <f t="shared" si="1"/>
        <v>1.8870614158612277E-2</v>
      </c>
      <c r="F110">
        <f t="shared" si="2"/>
        <v>1.5682174165287877E-2</v>
      </c>
      <c r="G110">
        <f t="shared" si="3"/>
        <v>8.6907649979532306E-3</v>
      </c>
      <c r="H110">
        <f t="shared" si="4"/>
        <v>5.2839733789948355E-3</v>
      </c>
    </row>
    <row r="111" spans="1:9" x14ac:dyDescent="0.2">
      <c r="A111">
        <f t="shared" si="5"/>
        <v>11</v>
      </c>
      <c r="B111">
        <f t="shared" si="6"/>
        <v>-3.12</v>
      </c>
      <c r="C111">
        <f t="shared" si="7"/>
        <v>3.0698133011047403E-3</v>
      </c>
      <c r="D111">
        <f t="shared" si="0"/>
        <v>2.4877610708421389E-2</v>
      </c>
      <c r="E111">
        <f t="shared" si="1"/>
        <v>2.0398819276168573E-2</v>
      </c>
      <c r="F111">
        <f t="shared" si="2"/>
        <v>1.7165522088712429E-2</v>
      </c>
      <c r="G111">
        <f t="shared" si="3"/>
        <v>9.9285174123143784E-3</v>
      </c>
      <c r="H111">
        <f t="shared" si="4"/>
        <v>6.2909027671282786E-3</v>
      </c>
    </row>
    <row r="112" spans="1:9" x14ac:dyDescent="0.2">
      <c r="A112">
        <f t="shared" si="5"/>
        <v>12</v>
      </c>
      <c r="B112">
        <f t="shared" si="6"/>
        <v>-3.04</v>
      </c>
      <c r="C112">
        <f t="shared" si="7"/>
        <v>3.9275536289247789E-3</v>
      </c>
      <c r="D112">
        <f t="shared" si="0"/>
        <v>2.653125585906798E-2</v>
      </c>
      <c r="E112">
        <f t="shared" si="1"/>
        <v>2.2074233684398651E-2</v>
      </c>
      <c r="F112">
        <f t="shared" si="2"/>
        <v>1.8807457297531662E-2</v>
      </c>
      <c r="G112">
        <f t="shared" si="3"/>
        <v>1.1344064925296054E-2</v>
      </c>
      <c r="H112">
        <f t="shared" si="4"/>
        <v>7.4789620200480618E-3</v>
      </c>
    </row>
    <row r="113" spans="1:8" x14ac:dyDescent="0.2">
      <c r="A113">
        <f t="shared" si="5"/>
        <v>13</v>
      </c>
      <c r="B113">
        <f t="shared" si="6"/>
        <v>-2.96</v>
      </c>
      <c r="C113">
        <f t="shared" si="7"/>
        <v>4.9928992136123763E-3</v>
      </c>
      <c r="D113">
        <f t="shared" si="0"/>
        <v>2.8325966131874412E-2</v>
      </c>
      <c r="E113">
        <f t="shared" si="1"/>
        <v>2.3912731872341522E-2</v>
      </c>
      <c r="F113">
        <f t="shared" si="2"/>
        <v>2.0626162082077185E-2</v>
      </c>
      <c r="G113">
        <f t="shared" si="3"/>
        <v>1.2962026903814806E-2</v>
      </c>
      <c r="H113">
        <f t="shared" si="4"/>
        <v>8.877473393595476E-3</v>
      </c>
    </row>
    <row r="114" spans="1:8" x14ac:dyDescent="0.2">
      <c r="A114">
        <f t="shared" si="5"/>
        <v>14</v>
      </c>
      <c r="B114">
        <f t="shared" si="6"/>
        <v>-2.88</v>
      </c>
      <c r="C114">
        <f t="shared" si="7"/>
        <v>6.3067263962659275E-3</v>
      </c>
      <c r="D114">
        <f t="shared" si="0"/>
        <v>3.0275996138034895E-2</v>
      </c>
      <c r="E114">
        <f t="shared" si="1"/>
        <v>2.5931979878434319E-2</v>
      </c>
      <c r="F114">
        <f t="shared" si="2"/>
        <v>2.2641901614703371E-2</v>
      </c>
      <c r="G114">
        <f t="shared" si="3"/>
        <v>1.4810026908272171E-2</v>
      </c>
      <c r="H114">
        <f t="shared" si="4"/>
        <v>1.0519589314286782E-2</v>
      </c>
    </row>
    <row r="115" spans="1:8" x14ac:dyDescent="0.2">
      <c r="A115">
        <f t="shared" si="5"/>
        <v>15</v>
      </c>
      <c r="B115">
        <f t="shared" si="6"/>
        <v>-2.8</v>
      </c>
      <c r="C115">
        <f t="shared" si="7"/>
        <v>7.9154515829799686E-3</v>
      </c>
      <c r="D115">
        <f t="shared" si="0"/>
        <v>3.2397190704437931E-2</v>
      </c>
      <c r="E115">
        <f t="shared" si="1"/>
        <v>2.8151623178220894E-2</v>
      </c>
      <c r="F115">
        <f t="shared" si="2"/>
        <v>2.4877228205426087E-2</v>
      </c>
      <c r="G115">
        <f t="shared" si="3"/>
        <v>1.6918930610727505E-2</v>
      </c>
      <c r="H115">
        <f t="shared" si="4"/>
        <v>1.2442544104229526E-2</v>
      </c>
    </row>
    <row r="116" spans="1:8" x14ac:dyDescent="0.2">
      <c r="A116">
        <f t="shared" si="5"/>
        <v>16</v>
      </c>
      <c r="B116">
        <f t="shared" si="6"/>
        <v>-2.7199999999999998</v>
      </c>
      <c r="C116">
        <f t="shared" si="7"/>
        <v>9.8711537947511439E-3</v>
      </c>
      <c r="D116">
        <f t="shared" si="0"/>
        <v>3.4707162784334229E-2</v>
      </c>
      <c r="E116">
        <f t="shared" si="1"/>
        <v>3.0593485996906485E-2</v>
      </c>
      <c r="F116">
        <f t="shared" si="2"/>
        <v>2.735719162189186E-2</v>
      </c>
      <c r="G116">
        <f t="shared" si="3"/>
        <v>1.9323062835933179E-2</v>
      </c>
      <c r="H116">
        <f t="shared" si="4"/>
        <v>1.468785078528163E-2</v>
      </c>
    </row>
    <row r="117" spans="1:8" x14ac:dyDescent="0.2">
      <c r="A117">
        <f t="shared" si="5"/>
        <v>17</v>
      </c>
      <c r="B117">
        <f t="shared" si="6"/>
        <v>-2.6399999999999997</v>
      </c>
      <c r="C117">
        <f t="shared" si="7"/>
        <v>1.2231526351277987E-2</v>
      </c>
      <c r="D117">
        <f t="shared" si="0"/>
        <v>3.7225486810498733E-2</v>
      </c>
      <c r="E117">
        <f t="shared" si="1"/>
        <v>3.3281779366966489E-2</v>
      </c>
      <c r="F117">
        <f t="shared" si="2"/>
        <v>3.0109550157655728E-2</v>
      </c>
      <c r="G117">
        <f t="shared" si="3"/>
        <v>2.2060388369710832E-2</v>
      </c>
      <c r="H117">
        <f t="shared" si="4"/>
        <v>1.7301418039333983E-2</v>
      </c>
    </row>
    <row r="118" spans="1:8" x14ac:dyDescent="0.2">
      <c r="A118">
        <f t="shared" si="5"/>
        <v>18</v>
      </c>
      <c r="B118">
        <f t="shared" si="6"/>
        <v>-2.56</v>
      </c>
      <c r="C118">
        <f t="shared" si="7"/>
        <v>1.5059616327377449E-2</v>
      </c>
      <c r="D118">
        <f t="shared" si="0"/>
        <v>3.9973906691442712E-2</v>
      </c>
      <c r="E118">
        <f t="shared" si="1"/>
        <v>3.6243313643499683E-2</v>
      </c>
      <c r="F118">
        <f t="shared" si="2"/>
        <v>3.3164974825615458E-2</v>
      </c>
      <c r="G118">
        <f t="shared" si="3"/>
        <v>2.5172637174009686E-2</v>
      </c>
      <c r="H118">
        <f t="shared" si="4"/>
        <v>2.0333558073185692E-2</v>
      </c>
    </row>
    <row r="119" spans="1:8" x14ac:dyDescent="0.2">
      <c r="A119">
        <f t="shared" si="5"/>
        <v>19</v>
      </c>
      <c r="B119">
        <f t="shared" si="6"/>
        <v>-2.48</v>
      </c>
      <c r="C119">
        <f t="shared" si="7"/>
        <v>1.8423310646862048E-2</v>
      </c>
      <c r="D119">
        <f t="shared" si="0"/>
        <v>4.2976556540087862E-2</v>
      </c>
      <c r="E119">
        <f t="shared" si="1"/>
        <v>3.9507709036153645E-2</v>
      </c>
      <c r="F119">
        <f t="shared" si="2"/>
        <v>3.655723610407792E-2</v>
      </c>
      <c r="G119">
        <f t="shared" si="3"/>
        <v>2.8705350166417336E-2</v>
      </c>
      <c r="H119">
        <f t="shared" si="4"/>
        <v>2.3838852019766821E-2</v>
      </c>
    </row>
    <row r="120" spans="1:8" x14ac:dyDescent="0.2">
      <c r="A120">
        <f t="shared" si="5"/>
        <v>20</v>
      </c>
      <c r="B120">
        <f t="shared" si="6"/>
        <v>-2.4</v>
      </c>
      <c r="C120">
        <f t="shared" si="7"/>
        <v>2.2394530294842899E-2</v>
      </c>
      <c r="D120">
        <f t="shared" si="0"/>
        <v>4.6260190632586226E-2</v>
      </c>
      <c r="E120">
        <f t="shared" si="1"/>
        <v>4.3107594875663978E-2</v>
      </c>
      <c r="F120">
        <f t="shared" si="2"/>
        <v>4.0323358954948263E-2</v>
      </c>
      <c r="G120">
        <f t="shared" si="3"/>
        <v>3.270781688198017E-2</v>
      </c>
      <c r="H120">
        <f t="shared" si="4"/>
        <v>2.7875835969250713E-2</v>
      </c>
    </row>
    <row r="121" spans="1:8" x14ac:dyDescent="0.2">
      <c r="A121">
        <f t="shared" si="5"/>
        <v>21</v>
      </c>
      <c r="B121">
        <f t="shared" si="6"/>
        <v>-2.3200000000000003</v>
      </c>
      <c r="C121">
        <f t="shared" si="7"/>
        <v>2.7048099546881761E-2</v>
      </c>
      <c r="D121">
        <f t="shared" si="0"/>
        <v>4.9854416859717386E-2</v>
      </c>
      <c r="E121">
        <f t="shared" si="1"/>
        <v>4.7078784643563333E-2</v>
      </c>
      <c r="F121">
        <f t="shared" si="2"/>
        <v>4.4503727254597364E-2</v>
      </c>
      <c r="G121">
        <f t="shared" si="3"/>
        <v>3.7232871344399801E-2</v>
      </c>
      <c r="H121">
        <f t="shared" si="4"/>
        <v>3.2506468226532984E-2</v>
      </c>
    </row>
    <row r="122" spans="1:8" x14ac:dyDescent="0.2">
      <c r="A122">
        <f t="shared" si="5"/>
        <v>22</v>
      </c>
      <c r="B122">
        <f t="shared" si="6"/>
        <v>-2.2400000000000002</v>
      </c>
      <c r="C122">
        <f t="shared" si="7"/>
        <v>3.2460265643697445E-2</v>
      </c>
      <c r="D122">
        <f t="shared" si="0"/>
        <v>5.3791924846914932E-2</v>
      </c>
      <c r="E122">
        <f t="shared" si="1"/>
        <v>5.1460409077472173E-2</v>
      </c>
      <c r="F122">
        <f t="shared" si="2"/>
        <v>4.914211323603631E-2</v>
      </c>
      <c r="G122">
        <f t="shared" si="3"/>
        <v>4.233650765374742E-2</v>
      </c>
      <c r="H122">
        <f t="shared" si="4"/>
        <v>3.7795337489727E-2</v>
      </c>
    </row>
    <row r="123" spans="1:8" x14ac:dyDescent="0.2">
      <c r="A123">
        <f t="shared" si="5"/>
        <v>23</v>
      </c>
      <c r="B123">
        <f t="shared" si="6"/>
        <v>-2.16</v>
      </c>
      <c r="C123">
        <f t="shared" si="7"/>
        <v>3.8706856147455608E-2</v>
      </c>
      <c r="D123">
        <f t="shared" si="0"/>
        <v>5.8108695722226232E-2</v>
      </c>
      <c r="E123">
        <f t="shared" si="1"/>
        <v>5.629498373898395E-2</v>
      </c>
      <c r="F123">
        <f t="shared" si="2"/>
        <v>5.4285600989687266E-2</v>
      </c>
      <c r="G123">
        <f t="shared" si="3"/>
        <v>4.8077272609555861E-2</v>
      </c>
      <c r="H123">
        <f t="shared" si="4"/>
        <v>4.3808572967137603E-2</v>
      </c>
    </row>
    <row r="124" spans="1:8" x14ac:dyDescent="0.2">
      <c r="A124">
        <f t="shared" si="5"/>
        <v>24</v>
      </c>
      <c r="B124">
        <f t="shared" si="6"/>
        <v>-2.08</v>
      </c>
      <c r="C124">
        <f t="shared" si="7"/>
        <v>4.5861076271054887E-2</v>
      </c>
      <c r="D124">
        <f t="shared" si="0"/>
        <v>6.2844174889159429E-2</v>
      </c>
      <c r="E124">
        <f t="shared" si="1"/>
        <v>6.1628380130930194E-2</v>
      </c>
      <c r="F124">
        <f t="shared" si="2"/>
        <v>5.9984365545804962E-2</v>
      </c>
      <c r="G124">
        <f t="shared" si="3"/>
        <v>5.4515389752181967E-2</v>
      </c>
      <c r="H124">
        <f t="shared" si="4"/>
        <v>5.0612421671160535E-2</v>
      </c>
    </row>
    <row r="125" spans="1:8" x14ac:dyDescent="0.2">
      <c r="A125">
        <f t="shared" si="5"/>
        <v>25</v>
      </c>
      <c r="B125">
        <f t="shared" si="6"/>
        <v>-2</v>
      </c>
      <c r="C125">
        <f t="shared" si="7"/>
        <v>5.3990966513188063E-2</v>
      </c>
      <c r="D125">
        <f t="shared" si="0"/>
        <v>6.8041381743977183E-2</v>
      </c>
      <c r="E125">
        <f t="shared" si="1"/>
        <v>6.7509660663892912E-2</v>
      </c>
      <c r="F125">
        <f t="shared" si="2"/>
        <v>6.6291260736238838E-2</v>
      </c>
      <c r="G125">
        <f t="shared" si="3"/>
        <v>6.1711568313873852E-2</v>
      </c>
      <c r="H125">
        <f t="shared" si="4"/>
        <v>5.8271465915450509E-2</v>
      </c>
    </row>
    <row r="126" spans="1:8" x14ac:dyDescent="0.2">
      <c r="A126">
        <f t="shared" si="5"/>
        <v>26</v>
      </c>
      <c r="B126">
        <f t="shared" si="6"/>
        <v>-1.92</v>
      </c>
      <c r="C126">
        <f t="shared" si="7"/>
        <v>6.3156561435198655E-2</v>
      </c>
      <c r="D126">
        <f t="shared" si="0"/>
        <v>7.3746920654789036E-2</v>
      </c>
      <c r="E126">
        <f t="shared" si="1"/>
        <v>7.3990727497995762E-2</v>
      </c>
      <c r="F126">
        <f t="shared" si="2"/>
        <v>7.3261160283543431E-2</v>
      </c>
      <c r="G126">
        <f t="shared" si="3"/>
        <v>6.9725452682831507E-2</v>
      </c>
      <c r="H126">
        <f t="shared" si="4"/>
        <v>6.6846465992177626E-2</v>
      </c>
    </row>
    <row r="127" spans="1:8" x14ac:dyDescent="0.2">
      <c r="A127">
        <f t="shared" si="5"/>
        <v>27</v>
      </c>
      <c r="B127">
        <f t="shared" si="6"/>
        <v>-1.8399999999999999</v>
      </c>
      <c r="C127">
        <f t="shared" si="7"/>
        <v>7.3406812581656919E-2</v>
      </c>
      <c r="D127">
        <f t="shared" si="0"/>
        <v>8.00108452779974E-2</v>
      </c>
      <c r="E127">
        <f t="shared" si="1"/>
        <v>8.1125723723079066E-2</v>
      </c>
      <c r="F127">
        <f t="shared" si="2"/>
        <v>8.094998806130535E-2</v>
      </c>
      <c r="G127">
        <f t="shared" si="3"/>
        <v>7.8613674193742697E-2</v>
      </c>
      <c r="H127">
        <f t="shared" si="4"/>
        <v>7.6391829554824153E-2</v>
      </c>
    </row>
    <row r="128" spans="1:8" x14ac:dyDescent="0.2">
      <c r="A128">
        <f t="shared" si="5"/>
        <v>28</v>
      </c>
      <c r="B128">
        <f t="shared" si="6"/>
        <v>-1.7599999999999998</v>
      </c>
      <c r="C128">
        <f t="shared" si="7"/>
        <v>8.4776361308022255E-2</v>
      </c>
      <c r="D128">
        <f t="shared" si="0"/>
        <v>8.6886313077515889E-2</v>
      </c>
      <c r="E128">
        <f t="shared" si="1"/>
        <v>8.8970113006496418E-2</v>
      </c>
      <c r="F128">
        <f t="shared" si="2"/>
        <v>8.941336627729167E-2</v>
      </c>
      <c r="G128">
        <f t="shared" si="3"/>
        <v>8.8427478532223755E-2</v>
      </c>
      <c r="H128">
        <f t="shared" si="4"/>
        <v>8.69527305517451E-2</v>
      </c>
    </row>
    <row r="129" spans="1:8" x14ac:dyDescent="0.2">
      <c r="A129">
        <f t="shared" si="5"/>
        <v>29</v>
      </c>
      <c r="B129">
        <f t="shared" si="6"/>
        <v>-1.6800000000000002</v>
      </c>
      <c r="C129">
        <f t="shared" si="7"/>
        <v>9.7282269331467469E-2</v>
      </c>
      <c r="D129">
        <f t="shared" si="0"/>
        <v>9.4428948578049787E-2</v>
      </c>
      <c r="E129">
        <f t="shared" si="1"/>
        <v>9.7579351734852576E-2</v>
      </c>
      <c r="F129">
        <f t="shared" si="2"/>
        <v>9.8704806023082292E-2</v>
      </c>
      <c r="G129">
        <f t="shared" si="3"/>
        <v>9.920991990312511E-2</v>
      </c>
      <c r="H129">
        <f t="shared" si="4"/>
        <v>9.8561926446259357E-2</v>
      </c>
    </row>
    <row r="130" spans="1:8" x14ac:dyDescent="0.2">
      <c r="A130">
        <f t="shared" si="5"/>
        <v>30</v>
      </c>
      <c r="B130">
        <f t="shared" si="6"/>
        <v>-1.6</v>
      </c>
      <c r="C130">
        <f t="shared" si="7"/>
        <v>0.11092083467945554</v>
      </c>
      <c r="D130">
        <f t="shared" si="0"/>
        <v>0.10269581267343135</v>
      </c>
      <c r="E130">
        <f t="shared" si="1"/>
        <v>0.10700705749348997</v>
      </c>
      <c r="F130">
        <f t="shared" si="2"/>
        <v>0.1088733653856099</v>
      </c>
      <c r="G130">
        <f t="shared" si="3"/>
        <v>0.11099263828484215</v>
      </c>
      <c r="H130">
        <f t="shared" si="4"/>
        <v>0.11123635223869495</v>
      </c>
    </row>
    <row r="131" spans="1:8" x14ac:dyDescent="0.2">
      <c r="A131">
        <f t="shared" si="5"/>
        <v>31</v>
      </c>
      <c r="B131">
        <f t="shared" si="6"/>
        <v>-1.52</v>
      </c>
      <c r="C131">
        <f t="shared" si="7"/>
        <v>0.12566463678908815</v>
      </c>
      <c r="D131">
        <f t="shared" si="0"/>
        <v>0.11174385220236473</v>
      </c>
      <c r="E131">
        <f t="shared" si="1"/>
        <v>0.11730257207330706</v>
      </c>
      <c r="F131">
        <f t="shared" si="2"/>
        <v>0.11996070895658013</v>
      </c>
      <c r="G131">
        <f t="shared" si="3"/>
        <v>0.12379226907409666</v>
      </c>
      <c r="H131">
        <f t="shared" si="4"/>
        <v>0.1249736022220423</v>
      </c>
    </row>
    <row r="132" spans="1:8" x14ac:dyDescent="0.2">
      <c r="A132">
        <f t="shared" si="5"/>
        <v>32</v>
      </c>
      <c r="B132">
        <f t="shared" si="6"/>
        <v>-1.44</v>
      </c>
      <c r="C132">
        <f t="shared" si="7"/>
        <v>0.14145996522483878</v>
      </c>
      <c r="D132">
        <f t="shared" ref="D132:D163" si="8">tpdf(B132,$C$21)</f>
        <v>0.12162768118025491</v>
      </c>
      <c r="E132">
        <f t="shared" ref="E132:E163" si="9">tpdf(B132,$C$22)</f>
        <v>0.12850781981703127</v>
      </c>
      <c r="F132">
        <f t="shared" ref="F132:F163" si="10">tpdf(B132,$C$23)</f>
        <v>0.13199752254167912</v>
      </c>
      <c r="G132">
        <f t="shared" ref="G132:G163" si="11">tpdf(B132,$C$24)</f>
        <v>0.13760657503587878</v>
      </c>
      <c r="H132">
        <f t="shared" ref="H132:H163" si="12">tpdf(B132,$C$25)</f>
        <v>0.13974844357953992</v>
      </c>
    </row>
    <row r="133" spans="1:8" x14ac:dyDescent="0.2">
      <c r="A133">
        <f t="shared" si="5"/>
        <v>33</v>
      </c>
      <c r="B133">
        <f t="shared" si="6"/>
        <v>-1.3599999999999999</v>
      </c>
      <c r="C133">
        <f t="shared" si="7"/>
        <v>0.15822479037038306</v>
      </c>
      <c r="D133">
        <f t="shared" si="8"/>
        <v>0.13239652656888543</v>
      </c>
      <c r="E133">
        <f t="shared" si="9"/>
        <v>0.14065337804795569</v>
      </c>
      <c r="F133">
        <f t="shared" si="10"/>
        <v>0.14499927199387005</v>
      </c>
      <c r="G133">
        <f t="shared" si="11"/>
        <v>0.15241043756074088</v>
      </c>
      <c r="H133">
        <f t="shared" si="12"/>
        <v>0.15550953737469403</v>
      </c>
    </row>
    <row r="134" spans="1:8" x14ac:dyDescent="0.2">
      <c r="A134">
        <f t="shared" si="5"/>
        <v>34</v>
      </c>
      <c r="B134">
        <f t="shared" si="6"/>
        <v>-1.2799999999999998</v>
      </c>
      <c r="C134">
        <f t="shared" si="7"/>
        <v>0.17584743029766242</v>
      </c>
      <c r="D134">
        <f t="shared" si="8"/>
        <v>0.14409016394226232</v>
      </c>
      <c r="E134">
        <f t="shared" si="9"/>
        <v>0.15375371182160272</v>
      </c>
      <c r="F134">
        <f t="shared" si="10"/>
        <v>0.1589613491353935</v>
      </c>
      <c r="G134">
        <f t="shared" si="11"/>
        <v>0.16815189540746758</v>
      </c>
      <c r="H134">
        <f t="shared" si="12"/>
        <v>0.17217656915925986</v>
      </c>
    </row>
    <row r="135" spans="1:8" x14ac:dyDescent="0.2">
      <c r="A135">
        <f t="shared" si="5"/>
        <v>35</v>
      </c>
      <c r="B135">
        <f t="shared" si="6"/>
        <v>-1.2000000000000002</v>
      </c>
      <c r="C135">
        <f t="shared" si="7"/>
        <v>0.19418605498321292</v>
      </c>
      <c r="D135">
        <f t="shared" si="8"/>
        <v>0.1567336819817419</v>
      </c>
      <c r="E135">
        <f t="shared" si="9"/>
        <v>0.16780158735749692</v>
      </c>
      <c r="F135">
        <f t="shared" si="10"/>
        <v>0.17385372358466916</v>
      </c>
      <c r="G135">
        <f t="shared" si="11"/>
        <v>0.18474847054886523</v>
      </c>
      <c r="H135">
        <f t="shared" si="12"/>
        <v>0.18963800993470467</v>
      </c>
    </row>
    <row r="136" spans="1:8" x14ac:dyDescent="0.2">
      <c r="A136">
        <f t="shared" si="5"/>
        <v>36</v>
      </c>
      <c r="B136">
        <f t="shared" si="6"/>
        <v>-1.1200000000000001</v>
      </c>
      <c r="C136">
        <f t="shared" si="7"/>
        <v>0.21306914677571784</v>
      </c>
      <c r="D136">
        <f t="shared" si="8"/>
        <v>0.17033096352572397</v>
      </c>
      <c r="E136">
        <f t="shared" si="9"/>
        <v>0.18276177405747027</v>
      </c>
      <c r="F136">
        <f t="shared" si="10"/>
        <v>0.18961531780727697</v>
      </c>
      <c r="G136">
        <f t="shared" si="11"/>
        <v>0.20208406713021163</v>
      </c>
      <c r="H136">
        <f t="shared" si="12"/>
        <v>0.20774973505306185</v>
      </c>
    </row>
    <row r="137" spans="1:8" x14ac:dyDescent="0.2">
      <c r="A137">
        <f t="shared" si="5"/>
        <v>37</v>
      </c>
      <c r="B137">
        <f t="shared" si="6"/>
        <v>-1.04</v>
      </c>
      <c r="C137">
        <f t="shared" si="7"/>
        <v>0.2322970047433662</v>
      </c>
      <c r="D137">
        <f t="shared" si="8"/>
        <v>0.18485687278920676</v>
      </c>
      <c r="E137">
        <f t="shared" si="9"/>
        <v>0.19856427870190951</v>
      </c>
      <c r="F137">
        <f t="shared" si="10"/>
        <v>0.20614844110797756</v>
      </c>
      <c r="G137">
        <f t="shared" si="11"/>
        <v>0.22000676426695243</v>
      </c>
      <c r="H137">
        <f t="shared" si="12"/>
        <v>0.22633472060062665</v>
      </c>
    </row>
    <row r="138" spans="1:8" x14ac:dyDescent="0.2">
      <c r="A138">
        <f t="shared" si="5"/>
        <v>38</v>
      </c>
      <c r="B138">
        <f t="shared" si="6"/>
        <v>-0.96</v>
      </c>
      <c r="C138">
        <f t="shared" si="7"/>
        <v>0.25164434109811712</v>
      </c>
      <c r="D138">
        <f t="shared" si="8"/>
        <v>0.20024831308226196</v>
      </c>
      <c r="E138">
        <f t="shared" si="9"/>
        <v>0.21509752697461434</v>
      </c>
      <c r="F138">
        <f t="shared" si="10"/>
        <v>0.22331374849090349</v>
      </c>
      <c r="G138">
        <f t="shared" si="11"/>
        <v>0.23832783897502996</v>
      </c>
      <c r="H138">
        <f t="shared" si="12"/>
        <v>0.24518401132370779</v>
      </c>
    </row>
    <row r="139" spans="1:8" x14ac:dyDescent="0.2">
      <c r="A139">
        <f t="shared" si="5"/>
        <v>39</v>
      </c>
      <c r="B139">
        <f t="shared" si="6"/>
        <v>-0.87999999999999989</v>
      </c>
      <c r="C139">
        <f t="shared" si="7"/>
        <v>0.27086397179833804</v>
      </c>
      <c r="D139">
        <f t="shared" si="8"/>
        <v>0.21639458370642042</v>
      </c>
      <c r="E139">
        <f t="shared" si="9"/>
        <v>0.23220210794171969</v>
      </c>
      <c r="F139">
        <f t="shared" si="10"/>
        <v>0.24092631739708037</v>
      </c>
      <c r="G139">
        <f t="shared" si="11"/>
        <v>0.25682234441928659</v>
      </c>
      <c r="H139">
        <f t="shared" si="12"/>
        <v>0.26405910981257613</v>
      </c>
    </row>
    <row r="140" spans="1:8" x14ac:dyDescent="0.2">
      <c r="A140">
        <f t="shared" si="5"/>
        <v>40</v>
      </c>
      <c r="B140">
        <f t="shared" si="6"/>
        <v>-0.79999999999999982</v>
      </c>
      <c r="C140">
        <f t="shared" si="7"/>
        <v>0.28969155276148278</v>
      </c>
      <c r="D140">
        <f t="shared" si="8"/>
        <v>0.2331278238244939</v>
      </c>
      <c r="E140">
        <f t="shared" si="9"/>
        <v>0.24966590482208922</v>
      </c>
      <c r="F140">
        <f t="shared" si="10"/>
        <v>0.25875353677316615</v>
      </c>
      <c r="G140">
        <f t="shared" si="11"/>
        <v>0.27523152442554832</v>
      </c>
      <c r="H140">
        <f t="shared" si="12"/>
        <v>0.28269587358828069</v>
      </c>
    </row>
    <row r="141" spans="1:8" x14ac:dyDescent="0.2">
      <c r="A141">
        <f t="shared" si="5"/>
        <v>41</v>
      </c>
      <c r="B141">
        <f t="shared" si="6"/>
        <v>-0.7200000000000002</v>
      </c>
      <c r="C141">
        <f t="shared" si="7"/>
        <v>0.30785126046985289</v>
      </c>
      <c r="D141">
        <f t="shared" si="8"/>
        <v>0.25021476526005415</v>
      </c>
      <c r="E141">
        <f t="shared" si="9"/>
        <v>0.26722161291736535</v>
      </c>
      <c r="F141">
        <f t="shared" si="10"/>
        <v>0.27651554958501795</v>
      </c>
      <c r="G141">
        <f t="shared" si="11"/>
        <v>0.29326726377929274</v>
      </c>
      <c r="H141">
        <f t="shared" si="12"/>
        <v>0.300809926931912</v>
      </c>
    </row>
    <row r="142" spans="1:8" x14ac:dyDescent="0.2">
      <c r="A142">
        <f t="shared" si="5"/>
        <v>42</v>
      </c>
      <c r="B142">
        <f t="shared" si="6"/>
        <v>-0.64000000000000012</v>
      </c>
      <c r="C142">
        <f t="shared" si="7"/>
        <v>0.32506226408408212</v>
      </c>
      <c r="D142">
        <f t="shared" si="8"/>
        <v>0.26735146498904028</v>
      </c>
      <c r="E142">
        <f t="shared" si="9"/>
        <v>0.2845477398059274</v>
      </c>
      <c r="F142">
        <f t="shared" si="10"/>
        <v>0.29388894937742593</v>
      </c>
      <c r="G142">
        <f t="shared" si="11"/>
        <v>0.3106186549612483</v>
      </c>
      <c r="H142">
        <f t="shared" si="12"/>
        <v>0.31810350176667596</v>
      </c>
    </row>
    <row r="143" spans="1:8" x14ac:dyDescent="0.2">
      <c r="A143">
        <f t="shared" si="5"/>
        <v>43</v>
      </c>
      <c r="B143">
        <f t="shared" si="6"/>
        <v>-0.56000000000000005</v>
      </c>
      <c r="C143">
        <f t="shared" si="7"/>
        <v>0.34104578863035256</v>
      </c>
      <c r="D143">
        <f t="shared" si="8"/>
        <v>0.28416303760277117</v>
      </c>
      <c r="E143">
        <f t="shared" si="9"/>
        <v>0.30127413066110231</v>
      </c>
      <c r="F143">
        <f t="shared" si="10"/>
        <v>0.31051427452764313</v>
      </c>
      <c r="G143">
        <f t="shared" si="11"/>
        <v>0.32696061031824192</v>
      </c>
      <c r="H143">
        <f t="shared" si="12"/>
        <v>0.33427352259963639</v>
      </c>
    </row>
    <row r="144" spans="1:8" x14ac:dyDescent="0.2">
      <c r="A144">
        <f t="shared" si="5"/>
        <v>44</v>
      </c>
      <c r="B144">
        <f t="shared" si="6"/>
        <v>-0.48</v>
      </c>
      <c r="C144">
        <f t="shared" si="7"/>
        <v>0.35553252850599709</v>
      </c>
      <c r="D144">
        <f t="shared" si="8"/>
        <v>0.30021049139480604</v>
      </c>
      <c r="E144">
        <f t="shared" si="9"/>
        <v>0.3169928028074121</v>
      </c>
      <c r="F144">
        <f t="shared" si="10"/>
        <v>0.32600755328435199</v>
      </c>
      <c r="G144">
        <f t="shared" si="11"/>
        <v>0.34196427446360783</v>
      </c>
      <c r="H144">
        <f t="shared" si="12"/>
        <v>0.34902065200774157</v>
      </c>
    </row>
    <row r="145" spans="1:8" x14ac:dyDescent="0.2">
      <c r="A145">
        <f t="shared" si="5"/>
        <v>45</v>
      </c>
      <c r="B145">
        <f t="shared" si="6"/>
        <v>-0.39999999999999991</v>
      </c>
      <c r="C145">
        <f t="shared" si="7"/>
        <v>0.36827014030332339</v>
      </c>
      <c r="D145">
        <f t="shared" si="8"/>
        <v>0.31500639696285732</v>
      </c>
      <c r="E145">
        <f t="shared" si="9"/>
        <v>0.33127437234925822</v>
      </c>
      <c r="F145">
        <f t="shared" si="10"/>
        <v>0.33997573352819443</v>
      </c>
      <c r="G145">
        <f t="shared" si="11"/>
        <v>0.35530881052553004</v>
      </c>
      <c r="H145">
        <f t="shared" si="12"/>
        <v>0.36205892397661504</v>
      </c>
    </row>
    <row r="146" spans="1:8" x14ac:dyDescent="0.2">
      <c r="A146">
        <f t="shared" si="5"/>
        <v>46</v>
      </c>
      <c r="B146">
        <f t="shared" si="6"/>
        <v>-0.31999999999999984</v>
      </c>
      <c r="C146">
        <f t="shared" si="7"/>
        <v>0.37903052615270172</v>
      </c>
      <c r="D146">
        <f t="shared" si="8"/>
        <v>0.3280401321514968</v>
      </c>
      <c r="E146">
        <f t="shared" si="9"/>
        <v>0.34368962448139767</v>
      </c>
      <c r="F146">
        <f t="shared" si="10"/>
        <v>0.35203531878067773</v>
      </c>
      <c r="G146">
        <f t="shared" si="11"/>
        <v>0.36669396542448862</v>
      </c>
      <c r="H146">
        <f t="shared" si="12"/>
        <v>0.37312552132542348</v>
      </c>
    </row>
    <row r="147" spans="1:8" x14ac:dyDescent="0.2">
      <c r="A147">
        <f t="shared" si="5"/>
        <v>47</v>
      </c>
      <c r="B147">
        <f t="shared" si="6"/>
        <v>-0.24000000000000021</v>
      </c>
      <c r="C147">
        <f t="shared" si="7"/>
        <v>0.38761661512501411</v>
      </c>
      <c r="D147">
        <f t="shared" si="8"/>
        <v>0.33881183571464352</v>
      </c>
      <c r="E147">
        <f t="shared" si="9"/>
        <v>0.3538348991242759</v>
      </c>
      <c r="F147">
        <f t="shared" si="10"/>
        <v>0.36183299450122092</v>
      </c>
      <c r="G147">
        <f t="shared" si="11"/>
        <v>0.37585268525155996</v>
      </c>
      <c r="H147">
        <f t="shared" si="12"/>
        <v>0.38199020846131088</v>
      </c>
    </row>
    <row r="148" spans="1:8" x14ac:dyDescent="0.2">
      <c r="A148">
        <f t="shared" si="5"/>
        <v>48</v>
      </c>
      <c r="B148">
        <f t="shared" si="6"/>
        <v>-0.16000000000000014</v>
      </c>
      <c r="C148">
        <f t="shared" si="7"/>
        <v>0.39386836156854083</v>
      </c>
      <c r="D148">
        <f t="shared" si="8"/>
        <v>0.3468721781937098</v>
      </c>
      <c r="E148">
        <f t="shared" si="9"/>
        <v>0.3613590884721346</v>
      </c>
      <c r="F148">
        <f t="shared" si="10"/>
        <v>0.36906656051019793</v>
      </c>
      <c r="G148">
        <f t="shared" si="11"/>
        <v>0.3825629724446139</v>
      </c>
      <c r="H148">
        <f t="shared" si="12"/>
        <v>0.38846391803006297</v>
      </c>
    </row>
    <row r="149" spans="1:8" x14ac:dyDescent="0.2">
      <c r="A149">
        <f t="shared" si="5"/>
        <v>49</v>
      </c>
      <c r="B149">
        <f t="shared" si="6"/>
        <v>-8.0000000000000071E-2</v>
      </c>
      <c r="C149">
        <f t="shared" si="7"/>
        <v>0.39766770551160885</v>
      </c>
      <c r="D149">
        <f t="shared" si="8"/>
        <v>0.35186309729173215</v>
      </c>
      <c r="E149">
        <f t="shared" si="9"/>
        <v>0.36598937661598135</v>
      </c>
      <c r="F149">
        <f t="shared" si="10"/>
        <v>0.37350418994212997</v>
      </c>
      <c r="G149">
        <f t="shared" si="11"/>
        <v>0.38665816763553407</v>
      </c>
      <c r="H149">
        <f t="shared" si="12"/>
        <v>0.392406013262246</v>
      </c>
    </row>
    <row r="150" spans="1:8" x14ac:dyDescent="0.2">
      <c r="A150">
        <f t="shared" si="5"/>
        <v>50</v>
      </c>
      <c r="B150">
        <f t="shared" si="6"/>
        <v>0</v>
      </c>
      <c r="C150">
        <f t="shared" si="7"/>
        <v>0.3989422804014327</v>
      </c>
      <c r="D150">
        <f t="shared" si="8"/>
        <v>0.35355339059327384</v>
      </c>
      <c r="E150">
        <f t="shared" si="9"/>
        <v>0.36755259694786135</v>
      </c>
      <c r="F150">
        <f t="shared" si="10"/>
        <v>0.37500000000000006</v>
      </c>
      <c r="G150">
        <f t="shared" si="11"/>
        <v>0.38803490887166864</v>
      </c>
      <c r="H150">
        <f t="shared" si="12"/>
        <v>0.39372980729260415</v>
      </c>
    </row>
    <row r="151" spans="1:8" x14ac:dyDescent="0.2">
      <c r="A151">
        <f t="shared" si="5"/>
        <v>51</v>
      </c>
      <c r="B151">
        <f t="shared" si="6"/>
        <v>8.0000000000000071E-2</v>
      </c>
      <c r="C151">
        <f t="shared" si="7"/>
        <v>0.39766770551160885</v>
      </c>
      <c r="D151">
        <f t="shared" si="8"/>
        <v>0.35186309729173215</v>
      </c>
      <c r="E151">
        <f t="shared" si="9"/>
        <v>0.36598937661598135</v>
      </c>
      <c r="F151">
        <f t="shared" si="10"/>
        <v>0.37350418994212997</v>
      </c>
      <c r="G151">
        <f t="shared" si="11"/>
        <v>0.38665816763553407</v>
      </c>
      <c r="H151">
        <f t="shared" si="12"/>
        <v>0.392406013262246</v>
      </c>
    </row>
    <row r="152" spans="1:8" x14ac:dyDescent="0.2">
      <c r="A152">
        <f t="shared" si="5"/>
        <v>52</v>
      </c>
      <c r="B152">
        <f t="shared" si="6"/>
        <v>0.16000000000000014</v>
      </c>
      <c r="C152">
        <f t="shared" si="7"/>
        <v>0.39386836156854083</v>
      </c>
      <c r="D152">
        <f t="shared" si="8"/>
        <v>0.3468721781937098</v>
      </c>
      <c r="E152">
        <f t="shared" si="9"/>
        <v>0.3613590884721346</v>
      </c>
      <c r="F152">
        <f t="shared" si="10"/>
        <v>0.36906656051019793</v>
      </c>
      <c r="G152">
        <f t="shared" si="11"/>
        <v>0.3825629724446139</v>
      </c>
      <c r="H152">
        <f t="shared" si="12"/>
        <v>0.38846391803006297</v>
      </c>
    </row>
    <row r="153" spans="1:8" x14ac:dyDescent="0.2">
      <c r="A153">
        <f t="shared" si="5"/>
        <v>53</v>
      </c>
      <c r="B153">
        <f t="shared" si="6"/>
        <v>0.24000000000000021</v>
      </c>
      <c r="C153">
        <f t="shared" si="7"/>
        <v>0.38761661512501411</v>
      </c>
      <c r="D153">
        <f t="shared" si="8"/>
        <v>0.33881183571464352</v>
      </c>
      <c r="E153">
        <f t="shared" si="9"/>
        <v>0.3538348991242759</v>
      </c>
      <c r="F153">
        <f t="shared" si="10"/>
        <v>0.36183299450122092</v>
      </c>
      <c r="G153">
        <f t="shared" si="11"/>
        <v>0.37585268525155996</v>
      </c>
      <c r="H153">
        <f t="shared" si="12"/>
        <v>0.38199020846131088</v>
      </c>
    </row>
    <row r="154" spans="1:8" x14ac:dyDescent="0.2">
      <c r="A154">
        <f t="shared" si="5"/>
        <v>54</v>
      </c>
      <c r="B154">
        <f t="shared" si="6"/>
        <v>0.32000000000000028</v>
      </c>
      <c r="C154">
        <f t="shared" si="7"/>
        <v>0.37903052615270166</v>
      </c>
      <c r="D154">
        <f t="shared" si="8"/>
        <v>0.32804013215149669</v>
      </c>
      <c r="E154">
        <f t="shared" si="9"/>
        <v>0.34368962448139767</v>
      </c>
      <c r="F154">
        <f t="shared" si="10"/>
        <v>0.35203531878067773</v>
      </c>
      <c r="G154">
        <f t="shared" si="11"/>
        <v>0.36669396542448862</v>
      </c>
      <c r="H154">
        <f t="shared" si="12"/>
        <v>0.37312552132542348</v>
      </c>
    </row>
    <row r="155" spans="1:8" x14ac:dyDescent="0.2">
      <c r="A155">
        <f t="shared" si="5"/>
        <v>55</v>
      </c>
      <c r="B155">
        <f t="shared" si="6"/>
        <v>0.40000000000000036</v>
      </c>
      <c r="C155">
        <f t="shared" si="7"/>
        <v>0.36827014030332328</v>
      </c>
      <c r="D155">
        <f t="shared" si="8"/>
        <v>0.31500639696285732</v>
      </c>
      <c r="E155">
        <f t="shared" si="9"/>
        <v>0.33127437234925811</v>
      </c>
      <c r="F155">
        <f t="shared" si="10"/>
        <v>0.33997573352819443</v>
      </c>
      <c r="G155">
        <f t="shared" si="11"/>
        <v>0.35530881052552965</v>
      </c>
      <c r="H155">
        <f t="shared" si="12"/>
        <v>0.36205892397661504</v>
      </c>
    </row>
    <row r="156" spans="1:8" x14ac:dyDescent="0.2">
      <c r="A156">
        <f t="shared" si="5"/>
        <v>56</v>
      </c>
      <c r="B156">
        <f t="shared" si="6"/>
        <v>0.48000000000000043</v>
      </c>
      <c r="C156">
        <f t="shared" si="7"/>
        <v>0.35553252850599704</v>
      </c>
      <c r="D156">
        <f t="shared" si="8"/>
        <v>0.30021049139480593</v>
      </c>
      <c r="E156">
        <f t="shared" si="9"/>
        <v>0.31699280280741193</v>
      </c>
      <c r="F156">
        <f t="shared" si="10"/>
        <v>0.32600755328435199</v>
      </c>
      <c r="G156">
        <f t="shared" si="11"/>
        <v>0.34196427446360783</v>
      </c>
      <c r="H156">
        <f t="shared" si="12"/>
        <v>0.34902065200774157</v>
      </c>
    </row>
    <row r="157" spans="1:8" x14ac:dyDescent="0.2">
      <c r="A157">
        <f t="shared" si="5"/>
        <v>57</v>
      </c>
      <c r="B157">
        <f t="shared" si="6"/>
        <v>0.55999999999999961</v>
      </c>
      <c r="C157">
        <f t="shared" si="7"/>
        <v>0.34104578863035268</v>
      </c>
      <c r="D157">
        <f t="shared" si="8"/>
        <v>0.28416303760277123</v>
      </c>
      <c r="E157">
        <f t="shared" si="9"/>
        <v>0.30127413066110248</v>
      </c>
      <c r="F157">
        <f t="shared" si="10"/>
        <v>0.3105142745276433</v>
      </c>
      <c r="G157">
        <f t="shared" si="11"/>
        <v>0.32696061031824192</v>
      </c>
      <c r="H157">
        <f t="shared" si="12"/>
        <v>0.33427352259963639</v>
      </c>
    </row>
    <row r="158" spans="1:8" x14ac:dyDescent="0.2">
      <c r="A158">
        <f t="shared" si="5"/>
        <v>58</v>
      </c>
      <c r="B158">
        <f t="shared" si="6"/>
        <v>0.63999999999999968</v>
      </c>
      <c r="C158">
        <f t="shared" si="7"/>
        <v>0.32506226408408218</v>
      </c>
      <c r="D158">
        <f t="shared" si="8"/>
        <v>0.26735146498904039</v>
      </c>
      <c r="E158">
        <f t="shared" si="9"/>
        <v>0.28454773980592746</v>
      </c>
      <c r="F158">
        <f t="shared" si="10"/>
        <v>0.29388894937742605</v>
      </c>
      <c r="G158">
        <f t="shared" si="11"/>
        <v>0.3106186549612483</v>
      </c>
      <c r="H158">
        <f t="shared" si="12"/>
        <v>0.31810350176667668</v>
      </c>
    </row>
    <row r="159" spans="1:8" x14ac:dyDescent="0.2">
      <c r="A159">
        <f t="shared" si="5"/>
        <v>59</v>
      </c>
      <c r="B159">
        <f t="shared" si="6"/>
        <v>0.71999999999999975</v>
      </c>
      <c r="C159">
        <f t="shared" si="7"/>
        <v>0.30785126046985301</v>
      </c>
      <c r="D159">
        <f t="shared" si="8"/>
        <v>0.25021476526005426</v>
      </c>
      <c r="E159">
        <f t="shared" si="9"/>
        <v>0.26722161291736551</v>
      </c>
      <c r="F159">
        <f t="shared" si="10"/>
        <v>0.27651554958501806</v>
      </c>
      <c r="G159">
        <f t="shared" si="11"/>
        <v>0.29326726377929307</v>
      </c>
      <c r="H159">
        <f t="shared" si="12"/>
        <v>0.300809926931912</v>
      </c>
    </row>
    <row r="160" spans="1:8" x14ac:dyDescent="0.2">
      <c r="A160">
        <f t="shared" si="5"/>
        <v>60</v>
      </c>
      <c r="B160">
        <f t="shared" si="6"/>
        <v>0.79999999999999982</v>
      </c>
      <c r="C160">
        <f t="shared" si="7"/>
        <v>0.28969155276148278</v>
      </c>
      <c r="D160">
        <f t="shared" si="8"/>
        <v>0.2331278238244939</v>
      </c>
      <c r="E160">
        <f t="shared" si="9"/>
        <v>0.24966590482208922</v>
      </c>
      <c r="F160">
        <f t="shared" si="10"/>
        <v>0.25875353677316615</v>
      </c>
      <c r="G160">
        <f t="shared" si="11"/>
        <v>0.27523152442554832</v>
      </c>
      <c r="H160">
        <f t="shared" si="12"/>
        <v>0.28269587358828069</v>
      </c>
    </row>
    <row r="161" spans="1:8" x14ac:dyDescent="0.2">
      <c r="A161">
        <f t="shared" si="5"/>
        <v>61</v>
      </c>
      <c r="B161">
        <f t="shared" si="6"/>
        <v>0.87999999999999989</v>
      </c>
      <c r="C161">
        <f t="shared" si="7"/>
        <v>0.27086397179833804</v>
      </c>
      <c r="D161">
        <f t="shared" si="8"/>
        <v>0.21639458370642042</v>
      </c>
      <c r="E161">
        <f t="shared" si="9"/>
        <v>0.23220210794171969</v>
      </c>
      <c r="F161">
        <f t="shared" si="10"/>
        <v>0.24092631739708037</v>
      </c>
      <c r="G161">
        <f t="shared" si="11"/>
        <v>0.25682234441928659</v>
      </c>
      <c r="H161">
        <f t="shared" si="12"/>
        <v>0.26405910981257613</v>
      </c>
    </row>
    <row r="162" spans="1:8" x14ac:dyDescent="0.2">
      <c r="A162">
        <f t="shared" si="5"/>
        <v>62</v>
      </c>
      <c r="B162">
        <f t="shared" si="6"/>
        <v>0.96</v>
      </c>
      <c r="C162">
        <f t="shared" si="7"/>
        <v>0.25164434109811712</v>
      </c>
      <c r="D162">
        <f t="shared" si="8"/>
        <v>0.20024831308226196</v>
      </c>
      <c r="E162">
        <f t="shared" si="9"/>
        <v>0.21509752697461434</v>
      </c>
      <c r="F162">
        <f t="shared" si="10"/>
        <v>0.22331374849090349</v>
      </c>
      <c r="G162">
        <f t="shared" si="11"/>
        <v>0.23832783897502996</v>
      </c>
      <c r="H162">
        <f t="shared" si="12"/>
        <v>0.24518401132370779</v>
      </c>
    </row>
    <row r="163" spans="1:8" x14ac:dyDescent="0.2">
      <c r="A163">
        <f t="shared" si="5"/>
        <v>63</v>
      </c>
      <c r="B163">
        <f t="shared" si="6"/>
        <v>1.04</v>
      </c>
      <c r="C163">
        <f t="shared" si="7"/>
        <v>0.2322970047433662</v>
      </c>
      <c r="D163">
        <f t="shared" si="8"/>
        <v>0.18485687278920676</v>
      </c>
      <c r="E163">
        <f t="shared" si="9"/>
        <v>0.19856427870190951</v>
      </c>
      <c r="F163">
        <f t="shared" si="10"/>
        <v>0.20614844110797756</v>
      </c>
      <c r="G163">
        <f t="shared" si="11"/>
        <v>0.22000676426695243</v>
      </c>
      <c r="H163">
        <f t="shared" si="12"/>
        <v>0.22633472060062665</v>
      </c>
    </row>
    <row r="164" spans="1:8" x14ac:dyDescent="0.2">
      <c r="A164">
        <f t="shared" si="5"/>
        <v>64</v>
      </c>
      <c r="B164">
        <f t="shared" si="6"/>
        <v>1.1200000000000001</v>
      </c>
      <c r="C164">
        <f t="shared" si="7"/>
        <v>0.21306914677571784</v>
      </c>
      <c r="D164">
        <f t="shared" ref="D164:D200" si="13">tpdf(B164,$C$21)</f>
        <v>0.17033096352572397</v>
      </c>
      <c r="E164">
        <f t="shared" ref="E164:E200" si="14">tpdf(B164,$C$22)</f>
        <v>0.18276177405747027</v>
      </c>
      <c r="F164">
        <f t="shared" ref="F164:F200" si="15">tpdf(B164,$C$23)</f>
        <v>0.18961531780727697</v>
      </c>
      <c r="G164">
        <f t="shared" ref="G164:G200" si="16">tpdf(B164,$C$24)</f>
        <v>0.20208406713021163</v>
      </c>
      <c r="H164">
        <f t="shared" ref="H164:H200" si="17">tpdf(B164,$C$25)</f>
        <v>0.20774973505306185</v>
      </c>
    </row>
    <row r="165" spans="1:8" x14ac:dyDescent="0.2">
      <c r="A165">
        <f t="shared" ref="A165:A200" si="18">ROW(A165)-100</f>
        <v>65</v>
      </c>
      <c r="B165">
        <f t="shared" ref="B165:B200" si="19">axisrange(A165,$C$96,$C$97,$C$98)</f>
        <v>1.2000000000000002</v>
      </c>
      <c r="C165">
        <f t="shared" ref="C165:C200" si="20">NORMDIST(B165,0,1,0)</f>
        <v>0.19418605498321292</v>
      </c>
      <c r="D165">
        <f t="shared" si="13"/>
        <v>0.1567336819817419</v>
      </c>
      <c r="E165">
        <f t="shared" si="14"/>
        <v>0.16780158735749692</v>
      </c>
      <c r="F165">
        <f t="shared" si="15"/>
        <v>0.17385372358466916</v>
      </c>
      <c r="G165">
        <f t="shared" si="16"/>
        <v>0.18474847054886523</v>
      </c>
      <c r="H165">
        <f t="shared" si="17"/>
        <v>0.18963800993470467</v>
      </c>
    </row>
    <row r="166" spans="1:8" x14ac:dyDescent="0.2">
      <c r="A166">
        <f t="shared" si="18"/>
        <v>66</v>
      </c>
      <c r="B166">
        <f t="shared" si="19"/>
        <v>1.2800000000000002</v>
      </c>
      <c r="C166">
        <f t="shared" si="20"/>
        <v>0.17584743029766231</v>
      </c>
      <c r="D166">
        <f t="shared" si="13"/>
        <v>0.14409016394226223</v>
      </c>
      <c r="E166">
        <f t="shared" si="14"/>
        <v>0.15375371182160263</v>
      </c>
      <c r="F166">
        <f t="shared" si="15"/>
        <v>0.15896134913539336</v>
      </c>
      <c r="G166">
        <f t="shared" si="16"/>
        <v>0.16815189540746758</v>
      </c>
      <c r="H166">
        <f t="shared" si="17"/>
        <v>0.17217656915925986</v>
      </c>
    </row>
    <row r="167" spans="1:8" x14ac:dyDescent="0.2">
      <c r="A167">
        <f t="shared" si="18"/>
        <v>67</v>
      </c>
      <c r="B167">
        <f t="shared" si="19"/>
        <v>1.3600000000000003</v>
      </c>
      <c r="C167">
        <f t="shared" si="20"/>
        <v>0.15822479037038298</v>
      </c>
      <c r="D167">
        <f t="shared" si="13"/>
        <v>0.13239652656888537</v>
      </c>
      <c r="E167">
        <f t="shared" si="14"/>
        <v>0.14065337804795564</v>
      </c>
      <c r="F167">
        <f t="shared" si="15"/>
        <v>0.14499927199387</v>
      </c>
      <c r="G167">
        <f t="shared" si="16"/>
        <v>0.15241043756074071</v>
      </c>
      <c r="H167">
        <f t="shared" si="17"/>
        <v>0.15550953737469403</v>
      </c>
    </row>
    <row r="168" spans="1:8" x14ac:dyDescent="0.2">
      <c r="A168">
        <f t="shared" si="18"/>
        <v>68</v>
      </c>
      <c r="B168">
        <f t="shared" si="19"/>
        <v>1.4400000000000004</v>
      </c>
      <c r="C168">
        <f t="shared" si="20"/>
        <v>0.1414599652248387</v>
      </c>
      <c r="D168">
        <f t="shared" si="13"/>
        <v>0.12162768118025487</v>
      </c>
      <c r="E168">
        <f t="shared" si="14"/>
        <v>0.12850781981703122</v>
      </c>
      <c r="F168">
        <f t="shared" si="15"/>
        <v>0.13199752254167907</v>
      </c>
      <c r="G168">
        <f t="shared" si="16"/>
        <v>0.13760657503587864</v>
      </c>
      <c r="H168">
        <f t="shared" si="17"/>
        <v>0.13974844357953992</v>
      </c>
    </row>
    <row r="169" spans="1:8" x14ac:dyDescent="0.2">
      <c r="A169">
        <f t="shared" si="18"/>
        <v>69</v>
      </c>
      <c r="B169">
        <f t="shared" si="19"/>
        <v>1.5199999999999996</v>
      </c>
      <c r="C169">
        <f t="shared" si="20"/>
        <v>0.12566463678908824</v>
      </c>
      <c r="D169">
        <f t="shared" si="13"/>
        <v>0.11174385220236477</v>
      </c>
      <c r="E169">
        <f t="shared" si="14"/>
        <v>0.11730257207330713</v>
      </c>
      <c r="F169">
        <f t="shared" si="15"/>
        <v>0.11996070895658018</v>
      </c>
      <c r="G169">
        <f t="shared" si="16"/>
        <v>0.12379226907409677</v>
      </c>
      <c r="H169">
        <f t="shared" si="17"/>
        <v>0.1249736022220423</v>
      </c>
    </row>
    <row r="170" spans="1:8" x14ac:dyDescent="0.2">
      <c r="A170">
        <f t="shared" si="18"/>
        <v>70</v>
      </c>
      <c r="B170">
        <f t="shared" si="19"/>
        <v>1.5999999999999996</v>
      </c>
      <c r="C170">
        <f t="shared" si="20"/>
        <v>0.11092083467945563</v>
      </c>
      <c r="D170">
        <f t="shared" si="13"/>
        <v>0.10269581267343142</v>
      </c>
      <c r="E170">
        <f t="shared" si="14"/>
        <v>0.10700705749349002</v>
      </c>
      <c r="F170">
        <f t="shared" si="15"/>
        <v>0.10887336538560996</v>
      </c>
      <c r="G170">
        <f t="shared" si="16"/>
        <v>0.11099263828484225</v>
      </c>
      <c r="H170">
        <f t="shared" si="17"/>
        <v>0.11123635223869517</v>
      </c>
    </row>
    <row r="171" spans="1:8" x14ac:dyDescent="0.2">
      <c r="A171">
        <f t="shared" si="18"/>
        <v>71</v>
      </c>
      <c r="B171">
        <f t="shared" si="19"/>
        <v>1.6799999999999997</v>
      </c>
      <c r="C171">
        <f t="shared" si="20"/>
        <v>9.7282269331467539E-2</v>
      </c>
      <c r="D171">
        <f t="shared" si="13"/>
        <v>9.4428948578049801E-2</v>
      </c>
      <c r="E171">
        <f t="shared" si="14"/>
        <v>9.7579351734852618E-2</v>
      </c>
      <c r="F171">
        <f t="shared" si="15"/>
        <v>9.8704806023082334E-2</v>
      </c>
      <c r="G171">
        <f t="shared" si="16"/>
        <v>9.9209919903125193E-2</v>
      </c>
      <c r="H171">
        <f t="shared" si="17"/>
        <v>9.8561926446259357E-2</v>
      </c>
    </row>
    <row r="172" spans="1:8" x14ac:dyDescent="0.2">
      <c r="A172">
        <f t="shared" si="18"/>
        <v>72</v>
      </c>
      <c r="B172">
        <f t="shared" si="19"/>
        <v>1.7599999999999998</v>
      </c>
      <c r="C172">
        <f t="shared" si="20"/>
        <v>8.4776361308022255E-2</v>
      </c>
      <c r="D172">
        <f t="shared" si="13"/>
        <v>8.6886313077515889E-2</v>
      </c>
      <c r="E172">
        <f t="shared" si="14"/>
        <v>8.8970113006496418E-2</v>
      </c>
      <c r="F172">
        <f t="shared" si="15"/>
        <v>8.941336627729167E-2</v>
      </c>
      <c r="G172">
        <f t="shared" si="16"/>
        <v>8.8427478532223755E-2</v>
      </c>
      <c r="H172">
        <f t="shared" si="17"/>
        <v>8.69527305517451E-2</v>
      </c>
    </row>
    <row r="173" spans="1:8" x14ac:dyDescent="0.2">
      <c r="A173">
        <f t="shared" si="18"/>
        <v>73</v>
      </c>
      <c r="B173">
        <f t="shared" si="19"/>
        <v>1.8399999999999999</v>
      </c>
      <c r="C173">
        <f t="shared" si="20"/>
        <v>7.3406812581656919E-2</v>
      </c>
      <c r="D173">
        <f t="shared" si="13"/>
        <v>8.00108452779974E-2</v>
      </c>
      <c r="E173">
        <f t="shared" si="14"/>
        <v>8.1125723723079066E-2</v>
      </c>
      <c r="F173">
        <f t="shared" si="15"/>
        <v>8.094998806130535E-2</v>
      </c>
      <c r="G173">
        <f t="shared" si="16"/>
        <v>7.8613674193742697E-2</v>
      </c>
      <c r="H173">
        <f t="shared" si="17"/>
        <v>7.6391829554824153E-2</v>
      </c>
    </row>
    <row r="174" spans="1:8" x14ac:dyDescent="0.2">
      <c r="A174">
        <f t="shared" si="18"/>
        <v>74</v>
      </c>
      <c r="B174">
        <f t="shared" si="19"/>
        <v>1.92</v>
      </c>
      <c r="C174">
        <f t="shared" si="20"/>
        <v>6.3156561435198655E-2</v>
      </c>
      <c r="D174">
        <f t="shared" si="13"/>
        <v>7.3746920654789036E-2</v>
      </c>
      <c r="E174">
        <f t="shared" si="14"/>
        <v>7.3990727497995762E-2</v>
      </c>
      <c r="F174">
        <f t="shared" si="15"/>
        <v>7.3261160283543431E-2</v>
      </c>
      <c r="G174">
        <f t="shared" si="16"/>
        <v>6.9725452682831507E-2</v>
      </c>
      <c r="H174">
        <f t="shared" si="17"/>
        <v>6.6846465992177626E-2</v>
      </c>
    </row>
    <row r="175" spans="1:8" x14ac:dyDescent="0.2">
      <c r="A175">
        <f t="shared" si="18"/>
        <v>75</v>
      </c>
      <c r="B175">
        <f t="shared" si="19"/>
        <v>2</v>
      </c>
      <c r="C175">
        <f t="shared" si="20"/>
        <v>5.3990966513188063E-2</v>
      </c>
      <c r="D175">
        <f t="shared" si="13"/>
        <v>6.8041381743977183E-2</v>
      </c>
      <c r="E175">
        <f t="shared" si="14"/>
        <v>6.7509660663892912E-2</v>
      </c>
      <c r="F175">
        <f t="shared" si="15"/>
        <v>6.6291260736238838E-2</v>
      </c>
      <c r="G175">
        <f t="shared" si="16"/>
        <v>6.1711568313873852E-2</v>
      </c>
      <c r="H175">
        <f t="shared" si="17"/>
        <v>5.8271465915450509E-2</v>
      </c>
    </row>
    <row r="176" spans="1:8" x14ac:dyDescent="0.2">
      <c r="A176">
        <f t="shared" si="18"/>
        <v>76</v>
      </c>
      <c r="B176">
        <f t="shared" si="19"/>
        <v>2.08</v>
      </c>
      <c r="C176">
        <f t="shared" si="20"/>
        <v>4.5861076271054887E-2</v>
      </c>
      <c r="D176">
        <f t="shared" si="13"/>
        <v>6.2844174889159429E-2</v>
      </c>
      <c r="E176">
        <f t="shared" si="14"/>
        <v>6.1628380130930194E-2</v>
      </c>
      <c r="F176">
        <f t="shared" si="15"/>
        <v>5.9984365545804962E-2</v>
      </c>
      <c r="G176">
        <f t="shared" si="16"/>
        <v>5.4515389752181967E-2</v>
      </c>
      <c r="H176">
        <f t="shared" si="17"/>
        <v>5.0612421671160535E-2</v>
      </c>
    </row>
    <row r="177" spans="1:8" x14ac:dyDescent="0.2">
      <c r="A177">
        <f t="shared" si="18"/>
        <v>77</v>
      </c>
      <c r="B177">
        <f t="shared" si="19"/>
        <v>2.16</v>
      </c>
      <c r="C177">
        <f t="shared" si="20"/>
        <v>3.8706856147455608E-2</v>
      </c>
      <c r="D177">
        <f t="shared" si="13"/>
        <v>5.8108695722226232E-2</v>
      </c>
      <c r="E177">
        <f t="shared" si="14"/>
        <v>5.629498373898395E-2</v>
      </c>
      <c r="F177">
        <f t="shared" si="15"/>
        <v>5.4285600989687266E-2</v>
      </c>
      <c r="G177">
        <f t="shared" si="16"/>
        <v>4.8077272609555861E-2</v>
      </c>
      <c r="H177">
        <f t="shared" si="17"/>
        <v>4.3808572967137603E-2</v>
      </c>
    </row>
    <row r="178" spans="1:8" x14ac:dyDescent="0.2">
      <c r="A178">
        <f t="shared" si="18"/>
        <v>78</v>
      </c>
      <c r="B178">
        <f t="shared" si="19"/>
        <v>2.2400000000000002</v>
      </c>
      <c r="C178">
        <f t="shared" si="20"/>
        <v>3.2460265643697445E-2</v>
      </c>
      <c r="D178">
        <f t="shared" si="13"/>
        <v>5.3791924846914932E-2</v>
      </c>
      <c r="E178">
        <f t="shared" si="14"/>
        <v>5.1460409077472173E-2</v>
      </c>
      <c r="F178">
        <f t="shared" si="15"/>
        <v>4.914211323603631E-2</v>
      </c>
      <c r="G178">
        <f t="shared" si="16"/>
        <v>4.233650765374742E-2</v>
      </c>
      <c r="H178">
        <f t="shared" si="17"/>
        <v>3.7795337489727E-2</v>
      </c>
    </row>
    <row r="179" spans="1:8" x14ac:dyDescent="0.2">
      <c r="A179">
        <f t="shared" si="18"/>
        <v>79</v>
      </c>
      <c r="B179">
        <f t="shared" si="19"/>
        <v>2.3200000000000003</v>
      </c>
      <c r="C179">
        <f t="shared" si="20"/>
        <v>2.7048099546881761E-2</v>
      </c>
      <c r="D179">
        <f t="shared" si="13"/>
        <v>4.9854416859717386E-2</v>
      </c>
      <c r="E179">
        <f t="shared" si="14"/>
        <v>4.7078784643563333E-2</v>
      </c>
      <c r="F179">
        <f t="shared" si="15"/>
        <v>4.4503727254597364E-2</v>
      </c>
      <c r="G179">
        <f t="shared" si="16"/>
        <v>3.7232871344399801E-2</v>
      </c>
      <c r="H179">
        <f t="shared" si="17"/>
        <v>3.2506468226532984E-2</v>
      </c>
    </row>
    <row r="180" spans="1:8" x14ac:dyDescent="0.2">
      <c r="A180">
        <f t="shared" si="18"/>
        <v>80</v>
      </c>
      <c r="B180">
        <f t="shared" si="19"/>
        <v>2.4000000000000004</v>
      </c>
      <c r="C180">
        <f t="shared" si="20"/>
        <v>2.2394530294842882E-2</v>
      </c>
      <c r="D180">
        <f t="shared" si="13"/>
        <v>4.6260190632586219E-2</v>
      </c>
      <c r="E180">
        <f t="shared" si="14"/>
        <v>4.3107594875663957E-2</v>
      </c>
      <c r="F180">
        <f t="shared" si="15"/>
        <v>4.0323358954948249E-2</v>
      </c>
      <c r="G180">
        <f t="shared" si="16"/>
        <v>3.270781688198017E-2</v>
      </c>
      <c r="H180">
        <f t="shared" si="17"/>
        <v>2.7875835969250713E-2</v>
      </c>
    </row>
    <row r="181" spans="1:8" x14ac:dyDescent="0.2">
      <c r="A181">
        <f t="shared" si="18"/>
        <v>81</v>
      </c>
      <c r="B181">
        <f t="shared" si="19"/>
        <v>2.4800000000000004</v>
      </c>
      <c r="C181">
        <f t="shared" si="20"/>
        <v>1.8423310646862031E-2</v>
      </c>
      <c r="D181">
        <f t="shared" si="13"/>
        <v>4.2976556540087862E-2</v>
      </c>
      <c r="E181">
        <f t="shared" si="14"/>
        <v>3.9507709036153631E-2</v>
      </c>
      <c r="F181">
        <f t="shared" si="15"/>
        <v>3.655723610407792E-2</v>
      </c>
      <c r="G181">
        <f t="shared" si="16"/>
        <v>2.8705350166417336E-2</v>
      </c>
      <c r="H181">
        <f t="shared" si="17"/>
        <v>2.3838852019766783E-2</v>
      </c>
    </row>
    <row r="182" spans="1:8" x14ac:dyDescent="0.2">
      <c r="A182">
        <f t="shared" si="18"/>
        <v>82</v>
      </c>
      <c r="B182">
        <f t="shared" si="19"/>
        <v>2.5599999999999996</v>
      </c>
      <c r="C182">
        <f t="shared" si="20"/>
        <v>1.5059616327377472E-2</v>
      </c>
      <c r="D182">
        <f t="shared" si="13"/>
        <v>3.9973906691442719E-2</v>
      </c>
      <c r="E182">
        <f t="shared" si="14"/>
        <v>3.6243313643499704E-2</v>
      </c>
      <c r="F182">
        <f t="shared" si="15"/>
        <v>3.3164974825615472E-2</v>
      </c>
      <c r="G182">
        <f t="shared" si="16"/>
        <v>2.5172637174009718E-2</v>
      </c>
      <c r="H182">
        <f t="shared" si="17"/>
        <v>2.0333558073185726E-2</v>
      </c>
    </row>
    <row r="183" spans="1:8" x14ac:dyDescent="0.2">
      <c r="A183">
        <f t="shared" si="18"/>
        <v>83</v>
      </c>
      <c r="B183">
        <f t="shared" si="19"/>
        <v>2.6399999999999997</v>
      </c>
      <c r="C183">
        <f t="shared" si="20"/>
        <v>1.2231526351277987E-2</v>
      </c>
      <c r="D183">
        <f t="shared" si="13"/>
        <v>3.7225486810498733E-2</v>
      </c>
      <c r="E183">
        <f t="shared" si="14"/>
        <v>3.3281779366966489E-2</v>
      </c>
      <c r="F183">
        <f t="shared" si="15"/>
        <v>3.0109550157655728E-2</v>
      </c>
      <c r="G183">
        <f t="shared" si="16"/>
        <v>2.2060388369710832E-2</v>
      </c>
      <c r="H183">
        <f t="shared" si="17"/>
        <v>1.7301418039333983E-2</v>
      </c>
    </row>
    <row r="184" spans="1:8" x14ac:dyDescent="0.2">
      <c r="A184">
        <f t="shared" si="18"/>
        <v>84</v>
      </c>
      <c r="B184">
        <f t="shared" si="19"/>
        <v>2.7199999999999998</v>
      </c>
      <c r="C184">
        <f t="shared" si="20"/>
        <v>9.8711537947511439E-3</v>
      </c>
      <c r="D184">
        <f t="shared" si="13"/>
        <v>3.4707162784334229E-2</v>
      </c>
      <c r="E184">
        <f t="shared" si="14"/>
        <v>3.0593485996906485E-2</v>
      </c>
      <c r="F184">
        <f t="shared" si="15"/>
        <v>2.735719162189186E-2</v>
      </c>
      <c r="G184">
        <f t="shared" si="16"/>
        <v>1.9323062835933179E-2</v>
      </c>
      <c r="H184">
        <f t="shared" si="17"/>
        <v>1.468785078528163E-2</v>
      </c>
    </row>
    <row r="185" spans="1:8" x14ac:dyDescent="0.2">
      <c r="A185">
        <f t="shared" si="18"/>
        <v>85</v>
      </c>
      <c r="B185">
        <f t="shared" si="19"/>
        <v>2.8</v>
      </c>
      <c r="C185">
        <f t="shared" si="20"/>
        <v>7.9154515829799686E-3</v>
      </c>
      <c r="D185">
        <f t="shared" si="13"/>
        <v>3.2397190704437931E-2</v>
      </c>
      <c r="E185">
        <f t="shared" si="14"/>
        <v>2.8151623178220894E-2</v>
      </c>
      <c r="F185">
        <f t="shared" si="15"/>
        <v>2.4877228205426087E-2</v>
      </c>
      <c r="G185">
        <f t="shared" si="16"/>
        <v>1.6918930610727505E-2</v>
      </c>
      <c r="H185">
        <f t="shared" si="17"/>
        <v>1.2442544104229526E-2</v>
      </c>
    </row>
    <row r="186" spans="1:8" x14ac:dyDescent="0.2">
      <c r="A186">
        <f t="shared" si="18"/>
        <v>86</v>
      </c>
      <c r="B186">
        <f t="shared" si="19"/>
        <v>2.88</v>
      </c>
      <c r="C186">
        <f t="shared" si="20"/>
        <v>6.3067263962659275E-3</v>
      </c>
      <c r="D186">
        <f t="shared" si="13"/>
        <v>3.0275996138034895E-2</v>
      </c>
      <c r="E186">
        <f t="shared" si="14"/>
        <v>2.5931979878434319E-2</v>
      </c>
      <c r="F186">
        <f t="shared" si="15"/>
        <v>2.2641901614703371E-2</v>
      </c>
      <c r="G186">
        <f t="shared" si="16"/>
        <v>1.4810026908272171E-2</v>
      </c>
      <c r="H186">
        <f t="shared" si="17"/>
        <v>1.0519589314286782E-2</v>
      </c>
    </row>
    <row r="187" spans="1:8" x14ac:dyDescent="0.2">
      <c r="A187">
        <f t="shared" si="18"/>
        <v>87</v>
      </c>
      <c r="B187">
        <f t="shared" si="19"/>
        <v>2.96</v>
      </c>
      <c r="C187">
        <f t="shared" si="20"/>
        <v>4.9928992136123763E-3</v>
      </c>
      <c r="D187">
        <f t="shared" si="13"/>
        <v>2.8325966131874412E-2</v>
      </c>
      <c r="E187">
        <f t="shared" si="14"/>
        <v>2.3912731872341522E-2</v>
      </c>
      <c r="F187">
        <f t="shared" si="15"/>
        <v>2.0626162082077185E-2</v>
      </c>
      <c r="G187">
        <f t="shared" si="16"/>
        <v>1.2962026903814806E-2</v>
      </c>
      <c r="H187">
        <f t="shared" si="17"/>
        <v>8.877473393595476E-3</v>
      </c>
    </row>
    <row r="188" spans="1:8" x14ac:dyDescent="0.2">
      <c r="A188">
        <f t="shared" si="18"/>
        <v>88</v>
      </c>
      <c r="B188">
        <f t="shared" si="19"/>
        <v>3.04</v>
      </c>
      <c r="C188">
        <f t="shared" si="20"/>
        <v>3.9275536289247789E-3</v>
      </c>
      <c r="D188">
        <f t="shared" si="13"/>
        <v>2.653125585906798E-2</v>
      </c>
      <c r="E188">
        <f t="shared" si="14"/>
        <v>2.2074233684398651E-2</v>
      </c>
      <c r="F188">
        <f t="shared" si="15"/>
        <v>1.8807457297531662E-2</v>
      </c>
      <c r="G188">
        <f t="shared" si="16"/>
        <v>1.1344064925296054E-2</v>
      </c>
      <c r="H188">
        <f t="shared" si="17"/>
        <v>7.4789620200480618E-3</v>
      </c>
    </row>
    <row r="189" spans="1:8" x14ac:dyDescent="0.2">
      <c r="A189">
        <f t="shared" si="18"/>
        <v>89</v>
      </c>
      <c r="B189">
        <f t="shared" si="19"/>
        <v>3.12</v>
      </c>
      <c r="C189">
        <f t="shared" si="20"/>
        <v>3.0698133011047403E-3</v>
      </c>
      <c r="D189">
        <f t="shared" si="13"/>
        <v>2.4877610708421389E-2</v>
      </c>
      <c r="E189">
        <f t="shared" si="14"/>
        <v>2.0398819276168573E-2</v>
      </c>
      <c r="F189">
        <f t="shared" si="15"/>
        <v>1.7165522088712429E-2</v>
      </c>
      <c r="G189">
        <f t="shared" si="16"/>
        <v>9.9285174123143784E-3</v>
      </c>
      <c r="H189">
        <f t="shared" si="17"/>
        <v>6.2909027671282786E-3</v>
      </c>
    </row>
    <row r="190" spans="1:8" x14ac:dyDescent="0.2">
      <c r="A190">
        <f t="shared" si="18"/>
        <v>90</v>
      </c>
      <c r="B190">
        <f t="shared" si="19"/>
        <v>3.2</v>
      </c>
      <c r="C190">
        <f t="shared" si="20"/>
        <v>2.3840882014648404E-3</v>
      </c>
      <c r="D190">
        <f t="shared" si="13"/>
        <v>2.3352203859274081E-2</v>
      </c>
      <c r="E190">
        <f t="shared" si="14"/>
        <v>1.8870614158612277E-2</v>
      </c>
      <c r="F190">
        <f t="shared" si="15"/>
        <v>1.5682174165287877E-2</v>
      </c>
      <c r="G190">
        <f t="shared" si="16"/>
        <v>8.6907649979532306E-3</v>
      </c>
      <c r="H190">
        <f t="shared" si="17"/>
        <v>5.2839733789948355E-3</v>
      </c>
    </row>
    <row r="191" spans="1:8" x14ac:dyDescent="0.2">
      <c r="A191">
        <f t="shared" si="18"/>
        <v>91</v>
      </c>
      <c r="B191">
        <f t="shared" si="19"/>
        <v>3.2800000000000002</v>
      </c>
      <c r="C191">
        <f t="shared" si="20"/>
        <v>1.8397261808242775E-3</v>
      </c>
      <c r="D191">
        <f t="shared" si="13"/>
        <v>2.1943488887170931E-2</v>
      </c>
      <c r="E191">
        <f t="shared" si="14"/>
        <v>1.7475360429540995E-2</v>
      </c>
      <c r="F191">
        <f t="shared" si="15"/>
        <v>1.4341119468080922E-2</v>
      </c>
      <c r="G191">
        <f t="shared" si="16"/>
        <v>7.6089455918455159E-3</v>
      </c>
      <c r="H191">
        <f t="shared" si="17"/>
        <v>4.43239578281957E-3</v>
      </c>
    </row>
    <row r="192" spans="1:8" x14ac:dyDescent="0.2">
      <c r="A192">
        <f t="shared" si="18"/>
        <v>92</v>
      </c>
      <c r="B192">
        <f t="shared" si="19"/>
        <v>3.3600000000000003</v>
      </c>
      <c r="C192">
        <f t="shared" si="20"/>
        <v>1.4106022569413824E-3</v>
      </c>
      <c r="D192">
        <f t="shared" si="13"/>
        <v>2.06410666343863E-2</v>
      </c>
      <c r="E192">
        <f t="shared" si="14"/>
        <v>1.6200255387909958E-2</v>
      </c>
      <c r="F192">
        <f t="shared" si="15"/>
        <v>1.3127769319555815E-2</v>
      </c>
      <c r="G192">
        <f t="shared" si="16"/>
        <v>6.6637073983066529E-3</v>
      </c>
      <c r="H192">
        <f t="shared" si="17"/>
        <v>3.7136324872708393E-3</v>
      </c>
    </row>
    <row r="193" spans="1:8" x14ac:dyDescent="0.2">
      <c r="A193">
        <f t="shared" si="18"/>
        <v>93</v>
      </c>
      <c r="B193">
        <f t="shared" si="19"/>
        <v>3.4400000000000004</v>
      </c>
      <c r="C193">
        <f t="shared" si="20"/>
        <v>1.0746733401537337E-3</v>
      </c>
      <c r="D193">
        <f t="shared" si="13"/>
        <v>1.9435565400383589E-2</v>
      </c>
      <c r="E193">
        <f t="shared" si="14"/>
        <v>1.5033803780495368E-2</v>
      </c>
      <c r="F193">
        <f t="shared" si="15"/>
        <v>1.2029070573368406E-2</v>
      </c>
      <c r="G193">
        <f t="shared" si="16"/>
        <v>5.8379683650283884E-3</v>
      </c>
      <c r="H193">
        <f t="shared" si="17"/>
        <v>3.1080783856877832E-3</v>
      </c>
    </row>
    <row r="194" spans="1:8" x14ac:dyDescent="0.2">
      <c r="A194">
        <f t="shared" si="18"/>
        <v>94</v>
      </c>
      <c r="B194">
        <f t="shared" si="19"/>
        <v>3.5199999999999996</v>
      </c>
      <c r="C194">
        <f t="shared" si="20"/>
        <v>8.1352123108180917E-4</v>
      </c>
      <c r="D194">
        <f t="shared" si="13"/>
        <v>1.8318533420781803E-2</v>
      </c>
      <c r="E194">
        <f t="shared" si="14"/>
        <v>1.3965683330665326E-2</v>
      </c>
      <c r="F194">
        <f t="shared" si="15"/>
        <v>1.1033349233456015E-2</v>
      </c>
      <c r="G194">
        <f t="shared" si="16"/>
        <v>5.1166865806555615E-3</v>
      </c>
      <c r="H194">
        <f t="shared" si="17"/>
        <v>2.5987577972712214E-3</v>
      </c>
    </row>
    <row r="195" spans="1:8" x14ac:dyDescent="0.2">
      <c r="A195">
        <f t="shared" si="18"/>
        <v>95</v>
      </c>
      <c r="B195">
        <f t="shared" si="19"/>
        <v>3.5999999999999996</v>
      </c>
      <c r="C195">
        <f t="shared" si="20"/>
        <v>6.1190193011377298E-4</v>
      </c>
      <c r="D195">
        <f t="shared" si="13"/>
        <v>1.728234258004744E-2</v>
      </c>
      <c r="E195">
        <f t="shared" si="14"/>
        <v>1.2986622934728555E-2</v>
      </c>
      <c r="F195">
        <f t="shared" si="15"/>
        <v>1.0130167496884297E-2</v>
      </c>
      <c r="G195">
        <f t="shared" si="16"/>
        <v>4.486644569083772E-3</v>
      </c>
      <c r="H195">
        <f t="shared" si="17"/>
        <v>2.1710338625363017E-3</v>
      </c>
    </row>
    <row r="196" spans="1:8" x14ac:dyDescent="0.2">
      <c r="A196">
        <f t="shared" si="18"/>
        <v>96</v>
      </c>
      <c r="B196">
        <f t="shared" si="19"/>
        <v>3.6799999999999997</v>
      </c>
      <c r="C196">
        <f t="shared" si="20"/>
        <v>4.5731481405985762E-4</v>
      </c>
      <c r="D196">
        <f t="shared" si="13"/>
        <v>1.6320102321698178E-2</v>
      </c>
      <c r="E196">
        <f t="shared" si="14"/>
        <v>1.2088292751016911E-2</v>
      </c>
      <c r="F196">
        <f t="shared" si="15"/>
        <v>9.3101938200690643E-3</v>
      </c>
      <c r="G196">
        <f t="shared" si="16"/>
        <v>3.9362492070757977E-3</v>
      </c>
      <c r="H196">
        <f t="shared" si="17"/>
        <v>1.8123351518951421E-3</v>
      </c>
    </row>
    <row r="197" spans="1:8" x14ac:dyDescent="0.2">
      <c r="A197">
        <f t="shared" si="18"/>
        <v>97</v>
      </c>
      <c r="B197">
        <f t="shared" si="19"/>
        <v>3.76</v>
      </c>
      <c r="C197">
        <f t="shared" si="20"/>
        <v>3.3960121248365478E-4</v>
      </c>
      <c r="D197">
        <f t="shared" si="13"/>
        <v>1.5425582765044668E-2</v>
      </c>
      <c r="E197">
        <f t="shared" si="14"/>
        <v>1.1263205321550254E-2</v>
      </c>
      <c r="F197">
        <f t="shared" si="15"/>
        <v>8.565085375564099E-3</v>
      </c>
      <c r="G197">
        <f t="shared" si="16"/>
        <v>3.4553480637429489E-3</v>
      </c>
      <c r="H197">
        <f t="shared" si="17"/>
        <v>1.5119025188597181E-3</v>
      </c>
    </row>
    <row r="198" spans="1:8" x14ac:dyDescent="0.2">
      <c r="A198">
        <f t="shared" si="18"/>
        <v>98</v>
      </c>
      <c r="B198">
        <f t="shared" si="19"/>
        <v>3.84</v>
      </c>
      <c r="C198">
        <f t="shared" si="20"/>
        <v>2.5057844489086075E-4</v>
      </c>
      <c r="D198">
        <f t="shared" si="13"/>
        <v>1.4593146098593168E-2</v>
      </c>
      <c r="E198">
        <f t="shared" si="14"/>
        <v>1.0504626833954027E-2</v>
      </c>
      <c r="F198">
        <f t="shared" si="15"/>
        <v>7.8873821251491377E-3</v>
      </c>
      <c r="G198">
        <f t="shared" si="16"/>
        <v>3.0350622735803761E-3</v>
      </c>
      <c r="H198">
        <f t="shared" si="17"/>
        <v>1.2605577893062335E-3</v>
      </c>
    </row>
    <row r="199" spans="1:8" x14ac:dyDescent="0.2">
      <c r="A199">
        <f t="shared" si="18"/>
        <v>99</v>
      </c>
      <c r="B199">
        <f t="shared" si="19"/>
        <v>3.92</v>
      </c>
      <c r="C199">
        <f t="shared" si="20"/>
        <v>1.8371249800245711E-4</v>
      </c>
      <c r="D199">
        <f t="shared" si="13"/>
        <v>1.3817685389624671E-2</v>
      </c>
      <c r="E199">
        <f t="shared" si="14"/>
        <v>9.8064976358220781E-3</v>
      </c>
      <c r="F199">
        <f t="shared" si="15"/>
        <v>7.2704116601029324E-3</v>
      </c>
      <c r="G199">
        <f t="shared" si="16"/>
        <v>2.6676355626087671E-3</v>
      </c>
      <c r="H199">
        <f t="shared" si="17"/>
        <v>1.0504947763400616E-3</v>
      </c>
    </row>
    <row r="200" spans="1:8" x14ac:dyDescent="0.2">
      <c r="A200">
        <f t="shared" si="18"/>
        <v>100</v>
      </c>
      <c r="B200">
        <f t="shared" si="19"/>
        <v>4</v>
      </c>
      <c r="C200">
        <f t="shared" si="20"/>
        <v>1.3383022576488537E-4</v>
      </c>
      <c r="D200">
        <f t="shared" si="13"/>
        <v>1.3094570021973104E-2</v>
      </c>
      <c r="E200">
        <f t="shared" si="14"/>
        <v>9.1633611427444656E-3</v>
      </c>
      <c r="F200">
        <f t="shared" si="15"/>
        <v>6.7082039324993705E-3</v>
      </c>
      <c r="G200">
        <f t="shared" si="16"/>
        <v>2.3462987093978279E-3</v>
      </c>
      <c r="H200">
        <f t="shared" si="17"/>
        <v>8.7509229562642086E-4</v>
      </c>
    </row>
  </sheetData>
  <pageMargins left="0.7" right="0.7" top="0.75" bottom="0.75" header="0.3" footer="0.3"/>
  <pageSetup paperSize="0" orientation="portrait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heet4.s1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752475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T200"/>
  <sheetViews>
    <sheetView showGridLines="0" showRowColHeaders="0" zoomScale="75" zoomScaleNormal="75" workbookViewId="0">
      <selection activeCell="G42" sqref="G42"/>
    </sheetView>
  </sheetViews>
  <sheetFormatPr defaultRowHeight="15" x14ac:dyDescent="0.2"/>
  <cols>
    <col min="5" max="5" width="11.5546875" bestFit="1" customWidth="1"/>
  </cols>
  <sheetData>
    <row r="2" spans="2:3" ht="18.75" x14ac:dyDescent="0.3">
      <c r="B2" s="36" t="s">
        <v>63</v>
      </c>
    </row>
    <row r="11" spans="2:3" x14ac:dyDescent="0.2">
      <c r="B11" s="18" t="s">
        <v>12</v>
      </c>
      <c r="C11" s="18" t="s">
        <v>93</v>
      </c>
    </row>
    <row r="12" spans="2:3" x14ac:dyDescent="0.2">
      <c r="B12" s="25">
        <v>3</v>
      </c>
      <c r="C12" s="19">
        <f>B12-1</f>
        <v>2</v>
      </c>
    </row>
    <row r="13" spans="2:3" x14ac:dyDescent="0.2">
      <c r="B13" s="25">
        <v>4</v>
      </c>
      <c r="C13" s="19">
        <f>B13-1</f>
        <v>3</v>
      </c>
    </row>
    <row r="14" spans="2:3" x14ac:dyDescent="0.2">
      <c r="B14" s="25">
        <v>5</v>
      </c>
      <c r="C14" s="19">
        <f>B14-1</f>
        <v>4</v>
      </c>
    </row>
    <row r="15" spans="2:3" x14ac:dyDescent="0.2">
      <c r="B15" s="25">
        <v>10</v>
      </c>
      <c r="C15" s="19">
        <f>B15-1</f>
        <v>9</v>
      </c>
    </row>
    <row r="16" spans="2:3" x14ac:dyDescent="0.2">
      <c r="B16" s="25">
        <v>20</v>
      </c>
      <c r="C16" s="19">
        <f>B16-1</f>
        <v>19</v>
      </c>
    </row>
    <row r="26" spans="2:2" x14ac:dyDescent="0.2">
      <c r="B26" t="s">
        <v>41</v>
      </c>
    </row>
    <row r="27" spans="2:2" ht="18.75" x14ac:dyDescent="0.3">
      <c r="B27" s="36" t="s">
        <v>114</v>
      </c>
    </row>
    <row r="36" spans="2:4" x14ac:dyDescent="0.2">
      <c r="B36" s="1" t="s">
        <v>91</v>
      </c>
      <c r="C36" s="27">
        <v>1.98</v>
      </c>
    </row>
    <row r="38" spans="2:4" x14ac:dyDescent="0.2">
      <c r="B38" s="31" t="s">
        <v>12</v>
      </c>
      <c r="C38" s="24">
        <v>5</v>
      </c>
      <c r="D38" s="24">
        <v>50</v>
      </c>
    </row>
    <row r="39" spans="2:4" x14ac:dyDescent="0.2">
      <c r="C39" s="57" t="s">
        <v>94</v>
      </c>
      <c r="D39" s="57"/>
    </row>
    <row r="40" spans="2:4" x14ac:dyDescent="0.2">
      <c r="B40" s="31" t="s">
        <v>20</v>
      </c>
      <c r="C40" s="48">
        <f>pt(ABS(C36),C38-1,2)</f>
        <v>0.1188015972417287</v>
      </c>
      <c r="D40" s="48">
        <f>pt(ABS(C36),D38-1,2)</f>
        <v>5.333401650421974E-2</v>
      </c>
    </row>
    <row r="41" spans="2:4" x14ac:dyDescent="0.2">
      <c r="B41" s="39" t="s">
        <v>54</v>
      </c>
      <c r="C41" s="58">
        <f>pz(C36,2)</f>
        <v>4.7703528683016971E-2</v>
      </c>
      <c r="D41" s="58"/>
    </row>
    <row r="42" spans="2:4" x14ac:dyDescent="0.2">
      <c r="B42" s="49"/>
      <c r="C42" s="5"/>
    </row>
    <row r="96" spans="2:3" x14ac:dyDescent="0.2">
      <c r="B96" t="s">
        <v>12</v>
      </c>
      <c r="C96">
        <v>100</v>
      </c>
    </row>
    <row r="97" spans="1:20" x14ac:dyDescent="0.2">
      <c r="B97" t="s">
        <v>17</v>
      </c>
      <c r="C97">
        <v>0</v>
      </c>
    </row>
    <row r="98" spans="1:20" x14ac:dyDescent="0.2">
      <c r="B98" t="s">
        <v>18</v>
      </c>
      <c r="C98">
        <v>6</v>
      </c>
      <c r="J98" t="s">
        <v>48</v>
      </c>
      <c r="P98" t="s">
        <v>90</v>
      </c>
      <c r="S98" t="s">
        <v>113</v>
      </c>
    </row>
    <row r="99" spans="1:20" x14ac:dyDescent="0.2">
      <c r="A99" t="s">
        <v>9</v>
      </c>
      <c r="B99" t="s">
        <v>0</v>
      </c>
      <c r="C99" t="s">
        <v>46</v>
      </c>
      <c r="D99" t="str">
        <f>"df="&amp;C12</f>
        <v>df=2</v>
      </c>
      <c r="E99" t="str">
        <f>"df="&amp;C13</f>
        <v>df=3</v>
      </c>
      <c r="F99" t="str">
        <f>"df="&amp;C14</f>
        <v>df=4</v>
      </c>
      <c r="G99" t="str">
        <f>"df="&amp;C15</f>
        <v>df=9</v>
      </c>
      <c r="H99" t="str">
        <f>"df="&amp;C16</f>
        <v>df=19</v>
      </c>
    </row>
    <row r="100" spans="1:20" x14ac:dyDescent="0.2">
      <c r="A100">
        <f>ROW(A100)-100</f>
        <v>0</v>
      </c>
      <c r="B100">
        <f>axisrange(A100,$C$96,$C$97,$C$98)</f>
        <v>0</v>
      </c>
      <c r="C100">
        <f>2*(1-NORMDIST(B100,0,1,1))</f>
        <v>1</v>
      </c>
      <c r="D100">
        <f t="shared" ref="D100:D131" si="0">TDIST(B100,$C$12,2)</f>
        <v>1</v>
      </c>
      <c r="E100">
        <f t="shared" ref="E100:E131" si="1">TDIST(B100,$C$13,2)</f>
        <v>1</v>
      </c>
      <c r="F100">
        <f t="shared" ref="F100:F131" si="2">TDIST(B100,$C$14,2)</f>
        <v>1</v>
      </c>
      <c r="G100">
        <f t="shared" ref="G100:G131" si="3">TDIST(B100,$C$15,2)</f>
        <v>1</v>
      </c>
      <c r="H100">
        <f t="shared" ref="H100:H131" si="4">TDIST(B100,$C$16,2)</f>
        <v>1</v>
      </c>
      <c r="J100">
        <f>(D100-$C100)/(D100)</f>
        <v>0</v>
      </c>
      <c r="K100">
        <f>(E100-$C100)/(E100)</f>
        <v>0</v>
      </c>
      <c r="L100">
        <f>(F100-$C100)/(F100)</f>
        <v>0</v>
      </c>
      <c r="M100">
        <f>(G100-$C100)/(G100)</f>
        <v>0</v>
      </c>
      <c r="N100">
        <f>(H100-$C100)/(H100)</f>
        <v>0</v>
      </c>
      <c r="P100" s="6">
        <f>C36</f>
        <v>1.98</v>
      </c>
      <c r="Q100">
        <v>0</v>
      </c>
      <c r="S100" s="6">
        <f>C36</f>
        <v>1.98</v>
      </c>
      <c r="T100" s="52">
        <f>C40</f>
        <v>0.1188015972417287</v>
      </c>
    </row>
    <row r="101" spans="1:20" x14ac:dyDescent="0.2">
      <c r="A101">
        <f t="shared" ref="A101:A164" si="5">ROW(A101)-100</f>
        <v>1</v>
      </c>
      <c r="B101">
        <f t="shared" ref="B101:B164" si="6">axisrange(A101,$C$96,$C$97,$C$98)</f>
        <v>0.06</v>
      </c>
      <c r="C101">
        <f t="shared" ref="C101:C164" si="7">2*(1-NORMDIST(B101,0,1,1))</f>
        <v>0.95215563469178632</v>
      </c>
      <c r="D101">
        <f t="shared" si="0"/>
        <v>0.95761172542410655</v>
      </c>
      <c r="E101">
        <f t="shared" si="1"/>
        <v>0.95592893535121148</v>
      </c>
      <c r="F101">
        <f t="shared" si="2"/>
        <v>0.95503371813697513</v>
      </c>
      <c r="G101">
        <f t="shared" si="3"/>
        <v>0.95346683139219002</v>
      </c>
      <c r="H101">
        <f t="shared" si="4"/>
        <v>0.95278224505163989</v>
      </c>
      <c r="J101">
        <f t="shared" ref="J101:J164" si="8">(D101-$C101)/(D101)</f>
        <v>5.697602261400714E-3</v>
      </c>
      <c r="K101">
        <f t="shared" ref="K101:K164" si="9">(E101-$C101)/(E101)</f>
        <v>3.9472606381967474E-3</v>
      </c>
      <c r="L101">
        <f t="shared" ref="L101:L164" si="10">(F101-$C101)/(F101)</f>
        <v>3.0135935418104461E-3</v>
      </c>
      <c r="M101">
        <f t="shared" ref="M101:M164" si="11">(G101-$C101)/(G101)</f>
        <v>1.3751885825846403E-3</v>
      </c>
      <c r="N101">
        <f t="shared" ref="N101:N164" si="12">(H101-$C101)/(H101)</f>
        <v>6.5766376641454062E-4</v>
      </c>
      <c r="P101" s="6">
        <f>C36</f>
        <v>1.98</v>
      </c>
      <c r="Q101">
        <v>0.12</v>
      </c>
      <c r="S101" s="6">
        <f>C36</f>
        <v>1.98</v>
      </c>
      <c r="T101" s="52">
        <f>D40</f>
        <v>5.333401650421974E-2</v>
      </c>
    </row>
    <row r="102" spans="1:20" x14ac:dyDescent="0.2">
      <c r="A102">
        <f t="shared" si="5"/>
        <v>2</v>
      </c>
      <c r="B102">
        <f t="shared" si="6"/>
        <v>0.12</v>
      </c>
      <c r="C102">
        <f t="shared" si="7"/>
        <v>0.90448314795883222</v>
      </c>
      <c r="D102">
        <f t="shared" si="0"/>
        <v>0.91545101668366824</v>
      </c>
      <c r="E102">
        <f t="shared" si="1"/>
        <v>0.91206844322440683</v>
      </c>
      <c r="F102">
        <f t="shared" si="2"/>
        <v>0.91026898332150186</v>
      </c>
      <c r="G102">
        <f t="shared" si="3"/>
        <v>0.90711925088906675</v>
      </c>
      <c r="H102">
        <f t="shared" si="4"/>
        <v>0.90574297507635193</v>
      </c>
      <c r="J102">
        <f t="shared" si="8"/>
        <v>1.1980836248965503E-2</v>
      </c>
      <c r="K102">
        <f t="shared" si="9"/>
        <v>8.3165855829399754E-3</v>
      </c>
      <c r="L102">
        <f t="shared" si="10"/>
        <v>6.3561820392446667E-3</v>
      </c>
      <c r="M102">
        <f t="shared" si="11"/>
        <v>2.9060158602641135E-3</v>
      </c>
      <c r="N102">
        <f t="shared" si="12"/>
        <v>1.3909322536158858E-3</v>
      </c>
      <c r="S102" s="6">
        <f>C36</f>
        <v>1.98</v>
      </c>
      <c r="T102" s="52">
        <f>C41</f>
        <v>4.7703528683016971E-2</v>
      </c>
    </row>
    <row r="103" spans="1:20" x14ac:dyDescent="0.2">
      <c r="A103">
        <f t="shared" si="5"/>
        <v>3</v>
      </c>
      <c r="B103">
        <f t="shared" si="6"/>
        <v>0.18</v>
      </c>
      <c r="C103">
        <f t="shared" si="7"/>
        <v>0.85715256819819841</v>
      </c>
      <c r="D103">
        <f t="shared" si="0"/>
        <v>0.87373938162978126</v>
      </c>
      <c r="E103">
        <f t="shared" si="1"/>
        <v>0.86862459547996618</v>
      </c>
      <c r="F103">
        <f t="shared" si="2"/>
        <v>0.86590356650158462</v>
      </c>
      <c r="G103">
        <f t="shared" si="3"/>
        <v>0.86114018936830439</v>
      </c>
      <c r="H103">
        <f t="shared" si="4"/>
        <v>0.85905845294592864</v>
      </c>
      <c r="J103">
        <f t="shared" si="8"/>
        <v>1.8983708163232343E-2</v>
      </c>
      <c r="K103">
        <f t="shared" si="9"/>
        <v>1.3207117713986445E-2</v>
      </c>
      <c r="L103">
        <f t="shared" si="10"/>
        <v>1.0106204249443059E-2</v>
      </c>
      <c r="M103">
        <f t="shared" si="11"/>
        <v>4.6306295064815518E-3</v>
      </c>
      <c r="N103">
        <f t="shared" si="12"/>
        <v>2.2185739994693898E-3</v>
      </c>
    </row>
    <row r="104" spans="1:20" x14ac:dyDescent="0.2">
      <c r="A104">
        <f t="shared" si="5"/>
        <v>4</v>
      </c>
      <c r="B104">
        <f t="shared" si="6"/>
        <v>0.24</v>
      </c>
      <c r="C104">
        <f t="shared" si="7"/>
        <v>0.81033025660440838</v>
      </c>
      <c r="D104">
        <f t="shared" si="0"/>
        <v>0.83268658404005214</v>
      </c>
      <c r="E104">
        <f t="shared" si="1"/>
        <v>0.8257946746589222</v>
      </c>
      <c r="F104">
        <f t="shared" si="2"/>
        <v>0.82212783704204329</v>
      </c>
      <c r="G104">
        <f t="shared" si="3"/>
        <v>0.8157073369675174</v>
      </c>
      <c r="H104">
        <f t="shared" si="4"/>
        <v>0.81290054751218976</v>
      </c>
      <c r="J104">
        <f t="shared" si="8"/>
        <v>2.6848429966500355E-2</v>
      </c>
      <c r="K104">
        <f t="shared" si="9"/>
        <v>1.8726710802417178E-2</v>
      </c>
      <c r="L104">
        <f t="shared" si="10"/>
        <v>1.4350055923275566E-2</v>
      </c>
      <c r="M104">
        <f t="shared" si="11"/>
        <v>6.591923499301741E-3</v>
      </c>
      <c r="N104">
        <f t="shared" si="12"/>
        <v>3.1618762167740307E-3</v>
      </c>
    </row>
    <row r="105" spans="1:20" x14ac:dyDescent="0.2">
      <c r="A105">
        <f t="shared" si="5"/>
        <v>5</v>
      </c>
      <c r="B105">
        <f t="shared" si="6"/>
        <v>0.3</v>
      </c>
      <c r="C105">
        <f t="shared" si="7"/>
        <v>0.76417715562209465</v>
      </c>
      <c r="D105">
        <f t="shared" si="0"/>
        <v>0.7924856608401778</v>
      </c>
      <c r="E105">
        <f t="shared" si="1"/>
        <v>0.78376329203991912</v>
      </c>
      <c r="F105">
        <f t="shared" si="2"/>
        <v>0.77912142827745967</v>
      </c>
      <c r="G105">
        <f t="shared" si="3"/>
        <v>0.7709907037415249</v>
      </c>
      <c r="H105">
        <f t="shared" si="4"/>
        <v>0.76743466033926355</v>
      </c>
      <c r="J105">
        <f t="shared" si="8"/>
        <v>3.5721157639711766E-2</v>
      </c>
      <c r="K105">
        <f t="shared" si="9"/>
        <v>2.4989861883997114E-2</v>
      </c>
      <c r="L105">
        <f t="shared" si="10"/>
        <v>1.9180928816712108E-2</v>
      </c>
      <c r="M105">
        <f t="shared" si="11"/>
        <v>8.8373933516512175E-3</v>
      </c>
      <c r="N105">
        <f t="shared" si="12"/>
        <v>4.244667182127064E-3</v>
      </c>
    </row>
    <row r="106" spans="1:20" x14ac:dyDescent="0.2">
      <c r="A106">
        <f t="shared" si="5"/>
        <v>6</v>
      </c>
      <c r="B106">
        <f t="shared" si="6"/>
        <v>0.36</v>
      </c>
      <c r="C106">
        <f t="shared" si="7"/>
        <v>0.71884713356401742</v>
      </c>
      <c r="D106">
        <f t="shared" si="0"/>
        <v>0.75330889989092065</v>
      </c>
      <c r="E106">
        <f t="shared" si="1"/>
        <v>0.74269907468447505</v>
      </c>
      <c r="F106">
        <f t="shared" si="2"/>
        <v>0.73705031517017405</v>
      </c>
      <c r="G106">
        <f t="shared" si="3"/>
        <v>0.72715038863821091</v>
      </c>
      <c r="H106">
        <f t="shared" si="4"/>
        <v>0.72281779620766706</v>
      </c>
      <c r="J106">
        <f t="shared" si="8"/>
        <v>4.5747191267610544E-2</v>
      </c>
      <c r="K106">
        <f t="shared" si="9"/>
        <v>3.211521588415979E-2</v>
      </c>
      <c r="L106">
        <f t="shared" si="10"/>
        <v>2.4697339152421081E-2</v>
      </c>
      <c r="M106">
        <f t="shared" si="11"/>
        <v>1.1418896563809343E-2</v>
      </c>
      <c r="N106">
        <f t="shared" si="12"/>
        <v>5.4933105749223523E-3</v>
      </c>
    </row>
    <row r="107" spans="1:20" x14ac:dyDescent="0.2">
      <c r="A107">
        <f t="shared" si="5"/>
        <v>7</v>
      </c>
      <c r="B107">
        <f t="shared" si="6"/>
        <v>0.42</v>
      </c>
      <c r="C107">
        <f t="shared" si="7"/>
        <v>0.67448545369649904</v>
      </c>
      <c r="D107">
        <f t="shared" si="0"/>
        <v>0.71530493973599663</v>
      </c>
      <c r="E107">
        <f t="shared" si="1"/>
        <v>0.70275204008510883</v>
      </c>
      <c r="F107">
        <f t="shared" si="2"/>
        <v>0.69606439856177427</v>
      </c>
      <c r="G107">
        <f t="shared" si="3"/>
        <v>0.68433461197929457</v>
      </c>
      <c r="H107">
        <f t="shared" si="4"/>
        <v>0.67919681768675311</v>
      </c>
      <c r="J107">
        <f t="shared" si="8"/>
        <v>5.7065852298689795E-2</v>
      </c>
      <c r="K107">
        <f t="shared" si="9"/>
        <v>4.0222702712021281E-2</v>
      </c>
      <c r="L107">
        <f t="shared" si="10"/>
        <v>3.1001362675439494E-2</v>
      </c>
      <c r="M107">
        <f t="shared" si="11"/>
        <v>1.4392313512112015E-2</v>
      </c>
      <c r="N107">
        <f t="shared" si="12"/>
        <v>6.9366697068756877E-3</v>
      </c>
    </row>
    <row r="108" spans="1:20" x14ac:dyDescent="0.2">
      <c r="A108">
        <f t="shared" si="5"/>
        <v>8</v>
      </c>
      <c r="B108">
        <f t="shared" si="6"/>
        <v>0.48</v>
      </c>
      <c r="C108">
        <f t="shared" si="7"/>
        <v>0.63122739303244524</v>
      </c>
      <c r="D108">
        <f t="shared" si="0"/>
        <v>0.6785970495966519</v>
      </c>
      <c r="E108">
        <f t="shared" si="1"/>
        <v>0.66405172718293248</v>
      </c>
      <c r="F108">
        <f t="shared" si="2"/>
        <v>0.65629565925154609</v>
      </c>
      <c r="G108">
        <f t="shared" si="3"/>
        <v>0.64267805556879387</v>
      </c>
      <c r="H108">
        <f t="shared" si="4"/>
        <v>0.63670691799413737</v>
      </c>
      <c r="J108">
        <f t="shared" si="8"/>
        <v>6.9805279277831353E-2</v>
      </c>
      <c r="K108">
        <f t="shared" si="9"/>
        <v>4.9430387433424774E-2</v>
      </c>
      <c r="L108">
        <f t="shared" si="10"/>
        <v>3.8196605242962069E-2</v>
      </c>
      <c r="M108">
        <f t="shared" si="11"/>
        <v>1.7817105216412551E-2</v>
      </c>
      <c r="N108">
        <f t="shared" si="12"/>
        <v>8.6060396185966715E-3</v>
      </c>
    </row>
    <row r="109" spans="1:20" x14ac:dyDescent="0.2">
      <c r="A109">
        <f t="shared" si="5"/>
        <v>9</v>
      </c>
      <c r="B109">
        <f t="shared" si="6"/>
        <v>0.54</v>
      </c>
      <c r="C109">
        <f t="shared" si="7"/>
        <v>0.58919703243139598</v>
      </c>
      <c r="D109">
        <f t="shared" si="0"/>
        <v>0.64328255144388979</v>
      </c>
      <c r="E109">
        <f t="shared" si="1"/>
        <v>0.62670610182451325</v>
      </c>
      <c r="F109">
        <f t="shared" si="2"/>
        <v>0.61785691204385917</v>
      </c>
      <c r="G109">
        <f t="shared" si="3"/>
        <v>0.60230054204921468</v>
      </c>
      <c r="H109">
        <f t="shared" si="4"/>
        <v>0.59547033930488946</v>
      </c>
      <c r="J109">
        <f t="shared" si="8"/>
        <v>8.4077391639327578E-2</v>
      </c>
      <c r="K109">
        <f t="shared" si="9"/>
        <v>5.9851131629192832E-2</v>
      </c>
      <c r="L109">
        <f t="shared" si="10"/>
        <v>4.6385949649178228E-2</v>
      </c>
      <c r="M109">
        <f t="shared" si="11"/>
        <v>2.175576593910486E-2</v>
      </c>
      <c r="N109">
        <f t="shared" si="12"/>
        <v>1.053504508858745E-2</v>
      </c>
    </row>
    <row r="110" spans="1:20" x14ac:dyDescent="0.2">
      <c r="A110">
        <f t="shared" si="5"/>
        <v>10</v>
      </c>
      <c r="B110">
        <f t="shared" si="6"/>
        <v>0.6</v>
      </c>
      <c r="C110">
        <f t="shared" si="7"/>
        <v>0.5485062355001471</v>
      </c>
      <c r="D110">
        <f t="shared" si="0"/>
        <v>0.60943326705752843</v>
      </c>
      <c r="E110">
        <f t="shared" si="1"/>
        <v>0.59080120805398928</v>
      </c>
      <c r="F110">
        <f t="shared" si="2"/>
        <v>0.58084115775184475</v>
      </c>
      <c r="G110">
        <f t="shared" si="3"/>
        <v>0.56330607190293291</v>
      </c>
      <c r="H110">
        <f t="shared" si="4"/>
        <v>0.55559535595204179</v>
      </c>
      <c r="J110">
        <f t="shared" si="8"/>
        <v>9.9973261800344132E-2</v>
      </c>
      <c r="K110">
        <f t="shared" si="9"/>
        <v>7.1589177505502213E-2</v>
      </c>
      <c r="L110">
        <f t="shared" si="10"/>
        <v>5.5669130570654632E-2</v>
      </c>
      <c r="M110">
        <f t="shared" si="11"/>
        <v>2.6273170379274867E-2</v>
      </c>
      <c r="N110">
        <f t="shared" si="12"/>
        <v>1.2759502713529908E-2</v>
      </c>
    </row>
    <row r="111" spans="1:20" x14ac:dyDescent="0.2">
      <c r="A111">
        <f t="shared" si="5"/>
        <v>11</v>
      </c>
      <c r="B111">
        <f t="shared" si="6"/>
        <v>0.66</v>
      </c>
      <c r="C111">
        <f t="shared" si="7"/>
        <v>0.50925382934267205</v>
      </c>
      <c r="D111">
        <f t="shared" si="0"/>
        <v>0.57709681801827539</v>
      </c>
      <c r="E111">
        <f t="shared" si="1"/>
        <v>0.55640149778422032</v>
      </c>
      <c r="F111">
        <f t="shared" si="2"/>
        <v>0.54532150232784038</v>
      </c>
      <c r="G111">
        <f t="shared" si="3"/>
        <v>0.52578222327534796</v>
      </c>
      <c r="H111">
        <f t="shared" si="4"/>
        <v>0.51717553390447113</v>
      </c>
      <c r="J111">
        <f t="shared" si="8"/>
        <v>0.11755911063341698</v>
      </c>
      <c r="K111">
        <f t="shared" si="9"/>
        <v>8.4736774845693794E-2</v>
      </c>
      <c r="L111">
        <f t="shared" si="10"/>
        <v>6.6140199554216184E-2</v>
      </c>
      <c r="M111">
        <f t="shared" si="11"/>
        <v>3.1435817342230915E-2</v>
      </c>
      <c r="N111">
        <f t="shared" si="12"/>
        <v>1.5317245388607884E-2</v>
      </c>
    </row>
    <row r="112" spans="1:20" x14ac:dyDescent="0.2">
      <c r="A112">
        <f t="shared" si="5"/>
        <v>12</v>
      </c>
      <c r="B112">
        <f t="shared" si="6"/>
        <v>0.72</v>
      </c>
      <c r="C112">
        <f t="shared" si="7"/>
        <v>0.47152499555850236</v>
      </c>
      <c r="D112">
        <f t="shared" si="0"/>
        <v>0.54629857732173748</v>
      </c>
      <c r="E112">
        <f t="shared" si="1"/>
        <v>0.52355074273845581</v>
      </c>
      <c r="F112">
        <f t="shared" si="2"/>
        <v>0.51135158861786523</v>
      </c>
      <c r="G112">
        <f t="shared" si="3"/>
        <v>0.48979990724945166</v>
      </c>
      <c r="H112">
        <f t="shared" si="4"/>
        <v>0.4802892698500103</v>
      </c>
      <c r="J112">
        <f t="shared" si="8"/>
        <v>0.1368731035870846</v>
      </c>
      <c r="K112">
        <f t="shared" si="9"/>
        <v>9.9370973877012242E-2</v>
      </c>
      <c r="L112">
        <f t="shared" si="10"/>
        <v>7.7884950288333643E-2</v>
      </c>
      <c r="M112">
        <f t="shared" si="11"/>
        <v>3.7310974176322204E-2</v>
      </c>
      <c r="N112">
        <f t="shared" si="12"/>
        <v>1.8247907754101903E-2</v>
      </c>
    </row>
    <row r="113" spans="1:14" x14ac:dyDescent="0.2">
      <c r="A113">
        <f t="shared" si="5"/>
        <v>13</v>
      </c>
      <c r="B113">
        <f t="shared" si="6"/>
        <v>0.78</v>
      </c>
      <c r="C113">
        <f t="shared" si="7"/>
        <v>0.43539087517146613</v>
      </c>
      <c r="D113">
        <f t="shared" si="0"/>
        <v>0.51704406557541827</v>
      </c>
      <c r="E113">
        <f t="shared" si="1"/>
        <v>0.49227341498907257</v>
      </c>
      <c r="F113">
        <f t="shared" si="2"/>
        <v>0.47896646880319083</v>
      </c>
      <c r="G113">
        <f t="shared" si="3"/>
        <v>0.45541345990796034</v>
      </c>
      <c r="H113">
        <f t="shared" si="4"/>
        <v>0.44499960546532924</v>
      </c>
      <c r="J113">
        <f t="shared" si="8"/>
        <v>0.15792307820626528</v>
      </c>
      <c r="K113">
        <f t="shared" si="9"/>
        <v>0.11555070431513981</v>
      </c>
      <c r="L113">
        <f t="shared" si="10"/>
        <v>9.0978380471201784E-2</v>
      </c>
      <c r="M113">
        <f t="shared" si="11"/>
        <v>4.3965728945606485E-2</v>
      </c>
      <c r="N113">
        <f t="shared" si="12"/>
        <v>2.1592671489709319E-2</v>
      </c>
    </row>
    <row r="114" spans="1:14" x14ac:dyDescent="0.2">
      <c r="A114">
        <f t="shared" si="5"/>
        <v>14</v>
      </c>
      <c r="B114">
        <f t="shared" si="6"/>
        <v>0.84</v>
      </c>
      <c r="C114">
        <f t="shared" si="7"/>
        <v>0.40090838652089933</v>
      </c>
      <c r="D114">
        <f t="shared" si="0"/>
        <v>0.48932159775991269</v>
      </c>
      <c r="E114">
        <f t="shared" si="1"/>
        <v>0.46257641550514306</v>
      </c>
      <c r="F114">
        <f t="shared" si="2"/>
        <v>0.44818383477314228</v>
      </c>
      <c r="G114">
        <f t="shared" si="3"/>
        <v>0.42266104293375439</v>
      </c>
      <c r="H114">
        <f t="shared" si="4"/>
        <v>0.41135430530186901</v>
      </c>
      <c r="J114">
        <f t="shared" si="8"/>
        <v>0.18068528273381793</v>
      </c>
      <c r="K114">
        <f t="shared" si="9"/>
        <v>0.13331425234228805</v>
      </c>
      <c r="L114">
        <f t="shared" si="10"/>
        <v>0.10548226996221854</v>
      </c>
      <c r="M114">
        <f t="shared" si="11"/>
        <v>5.146596019795574E-2</v>
      </c>
      <c r="N114">
        <f t="shared" si="12"/>
        <v>2.5393969739307878E-2</v>
      </c>
    </row>
    <row r="115" spans="1:14" x14ac:dyDescent="0.2">
      <c r="A115">
        <f t="shared" si="5"/>
        <v>15</v>
      </c>
      <c r="B115">
        <f t="shared" si="6"/>
        <v>0.9</v>
      </c>
      <c r="C115">
        <f t="shared" si="7"/>
        <v>0.36812025069351906</v>
      </c>
      <c r="D115">
        <f t="shared" si="0"/>
        <v>0.46310501235529578</v>
      </c>
      <c r="E115">
        <f t="shared" si="1"/>
        <v>0.43445103241803684</v>
      </c>
      <c r="F115">
        <f t="shared" si="2"/>
        <v>0.41900551920808421</v>
      </c>
      <c r="G115">
        <f t="shared" si="3"/>
        <v>0.39156531693276653</v>
      </c>
      <c r="H115">
        <f t="shared" si="4"/>
        <v>0.37938618039620409</v>
      </c>
      <c r="J115">
        <f t="shared" si="8"/>
        <v>0.20510415376135915</v>
      </c>
      <c r="K115">
        <f t="shared" si="9"/>
        <v>0.15267723350854664</v>
      </c>
      <c r="L115">
        <f t="shared" si="10"/>
        <v>0.12144295524015471</v>
      </c>
      <c r="M115">
        <f t="shared" si="11"/>
        <v>5.9875237221975637E-2</v>
      </c>
      <c r="N115">
        <f t="shared" si="12"/>
        <v>2.9695150442537704E-2</v>
      </c>
    </row>
    <row r="116" spans="1:14" x14ac:dyDescent="0.2">
      <c r="A116">
        <f t="shared" si="5"/>
        <v>16</v>
      </c>
      <c r="B116">
        <f t="shared" si="6"/>
        <v>0.96</v>
      </c>
      <c r="C116">
        <f t="shared" si="7"/>
        <v>0.33705521493367563</v>
      </c>
      <c r="D116">
        <f t="shared" si="0"/>
        <v>0.43835634735890916</v>
      </c>
      <c r="E116">
        <f t="shared" si="1"/>
        <v>0.40787502017751592</v>
      </c>
      <c r="F116">
        <f t="shared" si="2"/>
        <v>0.39141918128357622</v>
      </c>
      <c r="G116">
        <f t="shared" si="3"/>
        <v>0.3621343462768073</v>
      </c>
      <c r="H116">
        <f t="shared" si="4"/>
        <v>0.34911363440703236</v>
      </c>
      <c r="J116">
        <f t="shared" si="8"/>
        <v>0.23109311188390777</v>
      </c>
      <c r="K116">
        <f t="shared" si="9"/>
        <v>0.17363114125748128</v>
      </c>
      <c r="L116">
        <f t="shared" si="10"/>
        <v>0.13888937729527073</v>
      </c>
      <c r="M116">
        <f t="shared" si="11"/>
        <v>6.9253666770292335E-2</v>
      </c>
      <c r="N116">
        <f t="shared" si="12"/>
        <v>3.4540098938954045E-2</v>
      </c>
    </row>
    <row r="117" spans="1:14" x14ac:dyDescent="0.2">
      <c r="A117">
        <f t="shared" si="5"/>
        <v>17</v>
      </c>
      <c r="B117">
        <f t="shared" si="6"/>
        <v>1.02</v>
      </c>
      <c r="C117">
        <f t="shared" si="7"/>
        <v>0.30772846074546978</v>
      </c>
      <c r="D117">
        <f t="shared" si="0"/>
        <v>0.41502836234035945</v>
      </c>
      <c r="E117">
        <f t="shared" si="1"/>
        <v>0.38281470512522286</v>
      </c>
      <c r="F117">
        <f t="shared" si="2"/>
        <v>0.36540009655641492</v>
      </c>
      <c r="G117">
        <f t="shared" si="3"/>
        <v>0.33436269107532401</v>
      </c>
      <c r="H117">
        <f t="shared" si="4"/>
        <v>0.32054140491381045</v>
      </c>
      <c r="J117">
        <f t="shared" si="8"/>
        <v>0.25853631060253757</v>
      </c>
      <c r="K117">
        <f t="shared" si="9"/>
        <v>0.19614252894279899</v>
      </c>
      <c r="L117">
        <f t="shared" si="10"/>
        <v>0.15783147392256119</v>
      </c>
      <c r="M117">
        <f t="shared" si="11"/>
        <v>7.9656705250808535E-2</v>
      </c>
      <c r="N117">
        <f t="shared" si="12"/>
        <v>3.9972820895902379E-2</v>
      </c>
    </row>
    <row r="118" spans="1:14" x14ac:dyDescent="0.2">
      <c r="A118">
        <f t="shared" si="5"/>
        <v>18</v>
      </c>
      <c r="B118">
        <f t="shared" si="6"/>
        <v>1.08</v>
      </c>
      <c r="C118">
        <f t="shared" si="7"/>
        <v>0.28014218017753811</v>
      </c>
      <c r="D118">
        <f t="shared" si="0"/>
        <v>0.39306683847655277</v>
      </c>
      <c r="E118">
        <f t="shared" si="1"/>
        <v>0.35922704006743583</v>
      </c>
      <c r="F118">
        <f t="shared" si="2"/>
        <v>0.34091297953002625</v>
      </c>
      <c r="G118">
        <f t="shared" si="3"/>
        <v>0.30823264078681106</v>
      </c>
      <c r="H118">
        <f t="shared" si="4"/>
        <v>0.29366146954778505</v>
      </c>
      <c r="J118">
        <f t="shared" si="8"/>
        <v>0.28729123712569521</v>
      </c>
      <c r="K118">
        <f t="shared" si="9"/>
        <v>0.22015285896922326</v>
      </c>
      <c r="L118">
        <f t="shared" si="10"/>
        <v>0.17825897810128902</v>
      </c>
      <c r="M118">
        <f t="shared" si="11"/>
        <v>9.1133958225734113E-2</v>
      </c>
      <c r="N118">
        <f t="shared" si="12"/>
        <v>4.603698738913739E-2</v>
      </c>
    </row>
    <row r="119" spans="1:14" x14ac:dyDescent="0.2">
      <c r="A119">
        <f t="shared" si="5"/>
        <v>19</v>
      </c>
      <c r="B119">
        <f t="shared" si="6"/>
        <v>1.1399999999999999</v>
      </c>
      <c r="C119">
        <f t="shared" si="7"/>
        <v>0.25428630112559647</v>
      </c>
      <c r="D119">
        <f t="shared" si="0"/>
        <v>0.37241261712634866</v>
      </c>
      <c r="E119">
        <f t="shared" si="1"/>
        <v>0.33706154829447343</v>
      </c>
      <c r="F119">
        <f t="shared" si="2"/>
        <v>0.31791377838816942</v>
      </c>
      <c r="G119">
        <f t="shared" si="3"/>
        <v>0.28371554476227023</v>
      </c>
      <c r="H119">
        <f t="shared" si="4"/>
        <v>0.26845408487052241</v>
      </c>
      <c r="J119">
        <f t="shared" si="8"/>
        <v>0.31719203530817913</v>
      </c>
      <c r="K119">
        <f t="shared" si="9"/>
        <v>0.24557902729551478</v>
      </c>
      <c r="L119">
        <f t="shared" si="10"/>
        <v>0.20014067205632233</v>
      </c>
      <c r="M119">
        <f t="shared" si="11"/>
        <v>0.10372799157456457</v>
      </c>
      <c r="N119">
        <f t="shared" si="12"/>
        <v>5.2775444827964459E-2</v>
      </c>
    </row>
    <row r="120" spans="1:14" x14ac:dyDescent="0.2">
      <c r="A120">
        <f t="shared" si="5"/>
        <v>20</v>
      </c>
      <c r="B120">
        <f t="shared" si="6"/>
        <v>1.2</v>
      </c>
      <c r="C120">
        <f t="shared" si="7"/>
        <v>0.23013934044341644</v>
      </c>
      <c r="D120">
        <f t="shared" si="0"/>
        <v>0.35300336077936956</v>
      </c>
      <c r="E120">
        <f t="shared" si="1"/>
        <v>0.31626211469810528</v>
      </c>
      <c r="F120">
        <f t="shared" si="2"/>
        <v>0.29635139331235355</v>
      </c>
      <c r="G120">
        <f t="shared" si="3"/>
        <v>0.26077319739046173</v>
      </c>
      <c r="H120">
        <f t="shared" si="4"/>
        <v>0.24488892532079803</v>
      </c>
      <c r="J120">
        <f t="shared" si="8"/>
        <v>0.34805340114805394</v>
      </c>
      <c r="K120">
        <f t="shared" si="9"/>
        <v>0.27231454623295354</v>
      </c>
      <c r="L120">
        <f t="shared" si="10"/>
        <v>0.22342413217254486</v>
      </c>
      <c r="M120">
        <f t="shared" si="11"/>
        <v>0.11747318073174717</v>
      </c>
      <c r="N120">
        <f t="shared" si="12"/>
        <v>6.0229693352037164E-2</v>
      </c>
    </row>
    <row r="121" spans="1:14" x14ac:dyDescent="0.2">
      <c r="A121">
        <f t="shared" si="5"/>
        <v>21</v>
      </c>
      <c r="B121">
        <f t="shared" si="6"/>
        <v>1.26</v>
      </c>
      <c r="C121">
        <f t="shared" si="7"/>
        <v>0.20766936224260069</v>
      </c>
      <c r="D121">
        <f t="shared" si="0"/>
        <v>0.3347750379043819</v>
      </c>
      <c r="E121">
        <f t="shared" si="1"/>
        <v>0.29676859715870091</v>
      </c>
      <c r="F121">
        <f t="shared" si="2"/>
        <v>0.27616928172534516</v>
      </c>
      <c r="G121">
        <f t="shared" si="3"/>
        <v>0.239359239158285</v>
      </c>
      <c r="H121">
        <f t="shared" si="4"/>
        <v>0.2229262900258116</v>
      </c>
      <c r="J121">
        <f t="shared" si="8"/>
        <v>0.37967488991244625</v>
      </c>
      <c r="K121">
        <f t="shared" si="9"/>
        <v>0.30023134445203187</v>
      </c>
      <c r="L121">
        <f t="shared" si="10"/>
        <v>0.24803598378066088</v>
      </c>
      <c r="M121">
        <f t="shared" si="11"/>
        <v>0.13239462586496706</v>
      </c>
      <c r="N121">
        <f t="shared" si="12"/>
        <v>6.8439338318707896E-2</v>
      </c>
    </row>
    <row r="122" spans="1:14" x14ac:dyDescent="0.2">
      <c r="A122">
        <f t="shared" si="5"/>
        <v>22</v>
      </c>
      <c r="B122">
        <f t="shared" si="6"/>
        <v>1.32</v>
      </c>
      <c r="C122">
        <f t="shared" si="7"/>
        <v>0.18683501798694357</v>
      </c>
      <c r="D122">
        <f t="shared" si="0"/>
        <v>0.31766314570612453</v>
      </c>
      <c r="E122">
        <f t="shared" si="1"/>
        <v>0.27851824460829272</v>
      </c>
      <c r="F122">
        <f t="shared" si="2"/>
        <v>0.25730692501742986</v>
      </c>
      <c r="G122">
        <f t="shared" si="3"/>
        <v>0.21942053950285356</v>
      </c>
      <c r="H122">
        <f t="shared" si="4"/>
        <v>0.2025183466889362</v>
      </c>
      <c r="J122">
        <f t="shared" si="8"/>
        <v>0.41184547054826509</v>
      </c>
      <c r="K122">
        <f t="shared" si="9"/>
        <v>0.3291821214451936</v>
      </c>
      <c r="L122">
        <f t="shared" si="10"/>
        <v>0.27388266765736113</v>
      </c>
      <c r="M122">
        <f t="shared" si="11"/>
        <v>0.14850716158906452</v>
      </c>
      <c r="N122">
        <f t="shared" si="12"/>
        <v>7.7441520525949589E-2</v>
      </c>
    </row>
    <row r="123" spans="1:14" x14ac:dyDescent="0.2">
      <c r="A123">
        <f t="shared" si="5"/>
        <v>23</v>
      </c>
      <c r="B123">
        <f t="shared" si="6"/>
        <v>1.38</v>
      </c>
      <c r="C123">
        <f t="shared" si="7"/>
        <v>0.1675866448300285</v>
      </c>
      <c r="D123">
        <f t="shared" si="0"/>
        <v>0.30160369280361854</v>
      </c>
      <c r="E123">
        <f t="shared" si="1"/>
        <v>0.26144691887341298</v>
      </c>
      <c r="F123">
        <f t="shared" si="2"/>
        <v>0.23970114132477097</v>
      </c>
      <c r="G123">
        <f t="shared" si="3"/>
        <v>0.20089853247473485</v>
      </c>
      <c r="H123">
        <f t="shared" si="4"/>
        <v>0.18361038397049859</v>
      </c>
      <c r="J123">
        <f t="shared" si="8"/>
        <v>0.44434816672106131</v>
      </c>
      <c r="K123">
        <f t="shared" si="9"/>
        <v>0.35900317528251163</v>
      </c>
      <c r="L123">
        <f t="shared" si="10"/>
        <v>0.30085170265015371</v>
      </c>
      <c r="M123">
        <f t="shared" si="11"/>
        <v>0.16581448970462581</v>
      </c>
      <c r="N123">
        <f t="shared" si="12"/>
        <v>8.7270331851409269E-2</v>
      </c>
    </row>
    <row r="124" spans="1:14" x14ac:dyDescent="0.2">
      <c r="A124">
        <f t="shared" si="5"/>
        <v>24</v>
      </c>
      <c r="B124">
        <f t="shared" si="6"/>
        <v>1.44</v>
      </c>
      <c r="C124">
        <f t="shared" si="7"/>
        <v>0.14986739906865409</v>
      </c>
      <c r="D124">
        <f t="shared" si="0"/>
        <v>0.28653396823952382</v>
      </c>
      <c r="E124">
        <f t="shared" si="1"/>
        <v>0.24549012557849706</v>
      </c>
      <c r="F124">
        <f t="shared" si="2"/>
        <v>0.22328723745672993</v>
      </c>
      <c r="G124">
        <f t="shared" si="3"/>
        <v>0.18373048164085137</v>
      </c>
      <c r="H124">
        <f t="shared" si="4"/>
        <v>0.16614204660178578</v>
      </c>
      <c r="J124">
        <f t="shared" si="8"/>
        <v>0.47696463358447377</v>
      </c>
      <c r="K124">
        <f t="shared" si="9"/>
        <v>0.3895176080280548</v>
      </c>
      <c r="L124">
        <f t="shared" si="10"/>
        <v>0.3288134119277803</v>
      </c>
      <c r="M124">
        <f t="shared" si="11"/>
        <v>0.18430846242699897</v>
      </c>
      <c r="N124">
        <f t="shared" si="12"/>
        <v>9.7956224002339651E-2</v>
      </c>
    </row>
    <row r="125" spans="1:14" x14ac:dyDescent="0.2">
      <c r="A125">
        <f t="shared" si="5"/>
        <v>25</v>
      </c>
      <c r="B125">
        <f t="shared" si="6"/>
        <v>1.5</v>
      </c>
      <c r="C125">
        <f t="shared" si="7"/>
        <v>0.13361440253771617</v>
      </c>
      <c r="D125">
        <f t="shared" si="0"/>
        <v>0.27239312489100109</v>
      </c>
      <c r="E125">
        <f t="shared" si="1"/>
        <v>0.23058386524482297</v>
      </c>
      <c r="F125">
        <f t="shared" si="2"/>
        <v>0.20799999999999985</v>
      </c>
      <c r="G125">
        <f t="shared" si="3"/>
        <v>0.16785065605707494</v>
      </c>
      <c r="H125">
        <f t="shared" si="4"/>
        <v>0.1500485307422717</v>
      </c>
      <c r="J125">
        <f t="shared" si="8"/>
        <v>0.50947953406980306</v>
      </c>
      <c r="K125">
        <f t="shared" si="9"/>
        <v>0.42053880311247815</v>
      </c>
      <c r="L125">
        <f t="shared" si="10"/>
        <v>0.35762306472251798</v>
      </c>
      <c r="M125">
        <f t="shared" si="11"/>
        <v>0.20396854158089964</v>
      </c>
      <c r="N125">
        <f t="shared" si="12"/>
        <v>0.10952541903114887</v>
      </c>
    </row>
    <row r="126" spans="1:14" x14ac:dyDescent="0.2">
      <c r="A126">
        <f t="shared" si="5"/>
        <v>26</v>
      </c>
      <c r="B126">
        <f t="shared" si="6"/>
        <v>1.56</v>
      </c>
      <c r="C126">
        <f t="shared" si="7"/>
        <v>0.11875988118958603</v>
      </c>
      <c r="D126">
        <f t="shared" si="0"/>
        <v>0.25912260506413221</v>
      </c>
      <c r="E126">
        <f t="shared" si="1"/>
        <v>0.21666531955647406</v>
      </c>
      <c r="F126">
        <f t="shared" si="2"/>
        <v>0.19377453098348024</v>
      </c>
      <c r="G126">
        <f t="shared" si="3"/>
        <v>0.15319140430989545</v>
      </c>
      <c r="H126">
        <f t="shared" si="4"/>
        <v>0.13526172063609779</v>
      </c>
      <c r="J126">
        <f t="shared" si="8"/>
        <v>0.54168459691043458</v>
      </c>
      <c r="K126">
        <f t="shared" si="9"/>
        <v>0.45187406349712961</v>
      </c>
      <c r="L126">
        <f t="shared" si="10"/>
        <v>0.38712337175151984</v>
      </c>
      <c r="M126">
        <f t="shared" si="11"/>
        <v>0.22476145626719937</v>
      </c>
      <c r="N126">
        <f t="shared" si="12"/>
        <v>0.12199933114046056</v>
      </c>
    </row>
    <row r="127" spans="1:14" x14ac:dyDescent="0.2">
      <c r="A127">
        <f t="shared" si="5"/>
        <v>27</v>
      </c>
      <c r="B127">
        <f t="shared" si="6"/>
        <v>1.62</v>
      </c>
      <c r="C127">
        <f t="shared" si="7"/>
        <v>0.10523227690850412</v>
      </c>
      <c r="D127">
        <f t="shared" si="0"/>
        <v>0.2466664344752153</v>
      </c>
      <c r="E127">
        <f t="shared" si="1"/>
        <v>0.20367338993581005</v>
      </c>
      <c r="F127">
        <f t="shared" si="2"/>
        <v>0.18054693738425984</v>
      </c>
      <c r="G127">
        <f t="shared" si="3"/>
        <v>0.13968411839127756</v>
      </c>
      <c r="H127">
        <f t="shared" si="4"/>
        <v>0.12171125128757654</v>
      </c>
      <c r="J127">
        <f t="shared" si="8"/>
        <v>0.57338225959933875</v>
      </c>
      <c r="K127">
        <f t="shared" si="9"/>
        <v>0.4833282985977243</v>
      </c>
      <c r="L127">
        <f t="shared" si="10"/>
        <v>0.41714726135433017</v>
      </c>
      <c r="M127">
        <f t="shared" si="11"/>
        <v>0.24664107759386306</v>
      </c>
      <c r="N127">
        <f t="shared" si="12"/>
        <v>0.13539401004214704</v>
      </c>
    </row>
    <row r="128" spans="1:14" x14ac:dyDescent="0.2">
      <c r="A128">
        <f t="shared" si="5"/>
        <v>28</v>
      </c>
      <c r="B128">
        <f t="shared" si="6"/>
        <v>1.68</v>
      </c>
      <c r="C128">
        <f t="shared" si="7"/>
        <v>9.2957315727440148E-2</v>
      </c>
      <c r="D128">
        <f t="shared" si="0"/>
        <v>0.23497140847371756</v>
      </c>
      <c r="E128">
        <f t="shared" si="1"/>
        <v>0.19154910643205059</v>
      </c>
      <c r="F128">
        <f t="shared" si="2"/>
        <v>0.16825488636540126</v>
      </c>
      <c r="G128">
        <f t="shared" si="3"/>
        <v>0.12726008341030168</v>
      </c>
      <c r="H128">
        <f t="shared" si="4"/>
        <v>0.10932548551522771</v>
      </c>
      <c r="J128">
        <f t="shared" si="8"/>
        <v>0.60438882189431242</v>
      </c>
      <c r="K128">
        <f t="shared" si="9"/>
        <v>0.51470765142715258</v>
      </c>
      <c r="L128">
        <f t="shared" si="10"/>
        <v>0.44752085520081969</v>
      </c>
      <c r="M128">
        <f t="shared" si="11"/>
        <v>0.26954852427893922</v>
      </c>
      <c r="N128">
        <f t="shared" si="12"/>
        <v>0.14971961670828959</v>
      </c>
    </row>
    <row r="129" spans="1:14" x14ac:dyDescent="0.2">
      <c r="A129">
        <f t="shared" si="5"/>
        <v>29</v>
      </c>
      <c r="B129">
        <f t="shared" si="6"/>
        <v>1.74</v>
      </c>
      <c r="C129">
        <f t="shared" si="7"/>
        <v>8.1859017957614633E-2</v>
      </c>
      <c r="D129">
        <f t="shared" si="0"/>
        <v>0.22398719163321557</v>
      </c>
      <c r="E129">
        <f t="shared" si="1"/>
        <v>0.18023592480809589</v>
      </c>
      <c r="F129">
        <f t="shared" si="2"/>
        <v>0.15683803966271351</v>
      </c>
      <c r="G129">
        <f t="shared" si="3"/>
        <v>0.11585121278689876</v>
      </c>
      <c r="H129">
        <f t="shared" si="4"/>
        <v>9.8032397238874316E-2</v>
      </c>
      <c r="J129">
        <f t="shared" si="8"/>
        <v>0.63453705829902651</v>
      </c>
      <c r="K129">
        <f t="shared" si="9"/>
        <v>0.54582296484580928</v>
      </c>
      <c r="L129">
        <f t="shared" si="10"/>
        <v>0.47806655749041665</v>
      </c>
      <c r="M129">
        <f t="shared" si="11"/>
        <v>0.29341250740128805</v>
      </c>
      <c r="N129">
        <f t="shared" si="12"/>
        <v>0.16497994272087638</v>
      </c>
    </row>
    <row r="130" spans="1:14" x14ac:dyDescent="0.2">
      <c r="A130">
        <f t="shared" si="5"/>
        <v>30</v>
      </c>
      <c r="B130">
        <f t="shared" si="6"/>
        <v>1.8</v>
      </c>
      <c r="C130">
        <f t="shared" si="7"/>
        <v>7.1860638225851536E-2</v>
      </c>
      <c r="D130">
        <f t="shared" si="0"/>
        <v>0.21366634900506587</v>
      </c>
      <c r="E130">
        <f t="shared" si="1"/>
        <v>0.16967992890125819</v>
      </c>
      <c r="F130">
        <f t="shared" si="2"/>
        <v>0.14623838118902838</v>
      </c>
      <c r="G130">
        <f t="shared" si="3"/>
        <v>0.10539067158640882</v>
      </c>
      <c r="H130">
        <f t="shared" si="4"/>
        <v>8.7760356107203757E-2</v>
      </c>
      <c r="J130">
        <f t="shared" si="8"/>
        <v>0.66367826023859389</v>
      </c>
      <c r="K130">
        <f t="shared" si="9"/>
        <v>0.57649299660144604</v>
      </c>
      <c r="L130">
        <f t="shared" si="10"/>
        <v>0.50860616999743613</v>
      </c>
      <c r="M130">
        <f t="shared" si="11"/>
        <v>0.3181499164569449</v>
      </c>
      <c r="N130">
        <f t="shared" si="12"/>
        <v>0.18117198455678443</v>
      </c>
    </row>
    <row r="131" spans="1:14" x14ac:dyDescent="0.2">
      <c r="A131">
        <f t="shared" si="5"/>
        <v>31</v>
      </c>
      <c r="B131">
        <f t="shared" si="6"/>
        <v>1.86</v>
      </c>
      <c r="C131">
        <f t="shared" si="7"/>
        <v>6.2885525961505317E-2</v>
      </c>
      <c r="D131">
        <f t="shared" si="0"/>
        <v>0.20396432457968872</v>
      </c>
      <c r="E131">
        <f t="shared" si="1"/>
        <v>0.15982995407310954</v>
      </c>
      <c r="F131">
        <f t="shared" si="2"/>
        <v>0.13640045189966293</v>
      </c>
      <c r="G131">
        <f t="shared" si="3"/>
        <v>9.581339304315234E-2</v>
      </c>
      <c r="H131">
        <f t="shared" si="4"/>
        <v>7.8438811510437356E-2</v>
      </c>
      <c r="J131">
        <f t="shared" si="8"/>
        <v>0.69168369963181486</v>
      </c>
      <c r="K131">
        <f t="shared" si="9"/>
        <v>0.60654730631568488</v>
      </c>
      <c r="L131">
        <f t="shared" si="10"/>
        <v>0.53896394707134609</v>
      </c>
      <c r="M131">
        <f t="shared" si="11"/>
        <v>0.34366664237448519</v>
      </c>
      <c r="N131">
        <f t="shared" si="12"/>
        <v>0.19828558400406746</v>
      </c>
    </row>
    <row r="132" spans="1:14" x14ac:dyDescent="0.2">
      <c r="A132">
        <f t="shared" si="5"/>
        <v>32</v>
      </c>
      <c r="B132">
        <f t="shared" si="6"/>
        <v>1.92</v>
      </c>
      <c r="C132">
        <f t="shared" si="7"/>
        <v>5.4857899407673605E-2</v>
      </c>
      <c r="D132">
        <f t="shared" ref="D132:D163" si="13">TDIST(B132,$C$12,2)</f>
        <v>0.19483937994612688</v>
      </c>
      <c r="E132">
        <f t="shared" ref="E132:E163" si="14">TDIST(B132,$C$13,2)</f>
        <v>0.15063764604304317</v>
      </c>
      <c r="F132">
        <f t="shared" ref="F132:F163" si="15">TDIST(B132,$C$14,2)</f>
        <v>0.12727150544118951</v>
      </c>
      <c r="G132">
        <f t="shared" ref="G132:G163" si="16">TDIST(B132,$C$15,2)</f>
        <v>8.7056495118052871E-2</v>
      </c>
      <c r="H132">
        <f t="shared" ref="H132:H163" si="17">TDIST(B132,$C$16,2)</f>
        <v>6.9998876594464507E-2</v>
      </c>
      <c r="J132">
        <f t="shared" si="8"/>
        <v>0.71844552460163946</v>
      </c>
      <c r="K132">
        <f t="shared" si="9"/>
        <v>0.63582875297985919</v>
      </c>
      <c r="L132">
        <f t="shared" si="10"/>
        <v>0.5689695095731957</v>
      </c>
      <c r="M132">
        <f t="shared" si="11"/>
        <v>0.36985862647831608</v>
      </c>
      <c r="N132">
        <f t="shared" si="12"/>
        <v>0.21630314547059812</v>
      </c>
    </row>
    <row r="133" spans="1:14" x14ac:dyDescent="0.2">
      <c r="A133">
        <f t="shared" si="5"/>
        <v>33</v>
      </c>
      <c r="B133">
        <f t="shared" si="6"/>
        <v>1.98</v>
      </c>
      <c r="C133">
        <f t="shared" si="7"/>
        <v>4.7703528683016971E-2</v>
      </c>
      <c r="D133">
        <f t="shared" si="13"/>
        <v>0.18625250384357894</v>
      </c>
      <c r="E133">
        <f t="shared" si="14"/>
        <v>0.14205746776479677</v>
      </c>
      <c r="F133">
        <f t="shared" si="15"/>
        <v>0.1188015972417287</v>
      </c>
      <c r="G133">
        <f t="shared" si="16"/>
        <v>7.9059605190476862E-2</v>
      </c>
      <c r="H133">
        <f t="shared" si="17"/>
        <v>6.2373815070765823E-2</v>
      </c>
      <c r="J133">
        <f t="shared" si="8"/>
        <v>0.74387711467718043</v>
      </c>
      <c r="K133">
        <f t="shared" si="9"/>
        <v>0.66419555808217512</v>
      </c>
      <c r="L133">
        <f t="shared" si="10"/>
        <v>0.59846054438179519</v>
      </c>
      <c r="M133">
        <f t="shared" si="11"/>
        <v>0.39661311781047059</v>
      </c>
      <c r="N133">
        <f t="shared" si="12"/>
        <v>0.23519944019946143</v>
      </c>
    </row>
    <row r="134" spans="1:14" x14ac:dyDescent="0.2">
      <c r="A134">
        <f t="shared" si="5"/>
        <v>34</v>
      </c>
      <c r="B134">
        <f t="shared" si="6"/>
        <v>2.04</v>
      </c>
      <c r="C134">
        <f t="shared" si="7"/>
        <v>4.1350325732140147E-2</v>
      </c>
      <c r="D134">
        <f t="shared" si="13"/>
        <v>0.17816730128370772</v>
      </c>
      <c r="E134">
        <f t="shared" si="14"/>
        <v>0.13404666536089871</v>
      </c>
      <c r="F134">
        <f t="shared" si="15"/>
        <v>0.11094361862238412</v>
      </c>
      <c r="G134">
        <f t="shared" si="16"/>
        <v>7.1765101761239583E-2</v>
      </c>
      <c r="H134">
        <f t="shared" si="17"/>
        <v>5.5499435391939057E-2</v>
      </c>
      <c r="J134">
        <f t="shared" si="8"/>
        <v>0.7679129366937244</v>
      </c>
      <c r="K134">
        <f t="shared" si="9"/>
        <v>0.69152290643850656</v>
      </c>
      <c r="L134">
        <f t="shared" si="10"/>
        <v>0.62728522608512383</v>
      </c>
      <c r="M134">
        <f t="shared" si="11"/>
        <v>0.42381011498163151</v>
      </c>
      <c r="N134">
        <f t="shared" si="12"/>
        <v>0.2549415063392515</v>
      </c>
    </row>
    <row r="135" spans="1:14" x14ac:dyDescent="0.2">
      <c r="A135">
        <f t="shared" si="5"/>
        <v>35</v>
      </c>
      <c r="B135">
        <f t="shared" si="6"/>
        <v>2.1</v>
      </c>
      <c r="C135">
        <f t="shared" si="7"/>
        <v>3.5728841125633126E-2</v>
      </c>
      <c r="D135">
        <f t="shared" si="13"/>
        <v>0.17054986918996751</v>
      </c>
      <c r="E135">
        <f t="shared" si="14"/>
        <v>0.12656520254968459</v>
      </c>
      <c r="F135">
        <f t="shared" si="15"/>
        <v>0.10365328631760212</v>
      </c>
      <c r="G135">
        <f t="shared" si="16"/>
        <v>6.5118282412152034E-2</v>
      </c>
      <c r="H135">
        <f t="shared" si="17"/>
        <v>4.9314398243273425E-2</v>
      </c>
      <c r="J135">
        <f t="shared" si="8"/>
        <v>0.79050795350750791</v>
      </c>
      <c r="K135">
        <f t="shared" si="9"/>
        <v>0.71770407342723319</v>
      </c>
      <c r="L135">
        <f t="shared" si="10"/>
        <v>0.65530430925116023</v>
      </c>
      <c r="M135">
        <f t="shared" si="11"/>
        <v>0.45132396306930855</v>
      </c>
      <c r="N135">
        <f t="shared" si="12"/>
        <v>0.27548865243414772</v>
      </c>
    </row>
    <row r="136" spans="1:14" x14ac:dyDescent="0.2">
      <c r="A136">
        <f t="shared" si="5"/>
        <v>36</v>
      </c>
      <c r="B136">
        <f t="shared" si="6"/>
        <v>2.16</v>
      </c>
      <c r="C136">
        <f t="shared" si="7"/>
        <v>3.0772669567850963E-2</v>
      </c>
      <c r="D136">
        <f t="shared" si="13"/>
        <v>0.16336866403488626</v>
      </c>
      <c r="E136">
        <f t="shared" si="14"/>
        <v>0.11957567152987773</v>
      </c>
      <c r="F136">
        <f t="shared" si="15"/>
        <v>9.6889096564786337E-2</v>
      </c>
      <c r="G136">
        <f t="shared" si="16"/>
        <v>5.906746729912609E-2</v>
      </c>
      <c r="H136">
        <f t="shared" si="17"/>
        <v>4.3760444307504823E-2</v>
      </c>
      <c r="J136">
        <f t="shared" si="8"/>
        <v>0.81163664556086679</v>
      </c>
      <c r="K136">
        <f t="shared" si="9"/>
        <v>0.74265108299925409</v>
      </c>
      <c r="L136">
        <f t="shared" si="10"/>
        <v>0.68239285266454763</v>
      </c>
      <c r="M136">
        <f t="shared" si="11"/>
        <v>0.47902507124583876</v>
      </c>
      <c r="N136">
        <f t="shared" si="12"/>
        <v>0.29679257021223809</v>
      </c>
    </row>
    <row r="137" spans="1:14" x14ac:dyDescent="0.2">
      <c r="A137">
        <f t="shared" si="5"/>
        <v>37</v>
      </c>
      <c r="B137">
        <f t="shared" si="6"/>
        <v>2.2200000000000002</v>
      </c>
      <c r="C137">
        <f t="shared" si="7"/>
        <v>2.6418767614512451E-2</v>
      </c>
      <c r="D137">
        <f t="shared" si="13"/>
        <v>0.15659436573445884</v>
      </c>
      <c r="E137">
        <f t="shared" si="14"/>
        <v>0.1130431869553007</v>
      </c>
      <c r="F137">
        <f t="shared" si="15"/>
        <v>9.0612251717146874E-2</v>
      </c>
      <c r="G137">
        <f t="shared" si="16"/>
        <v>5.3564047220122139E-2</v>
      </c>
      <c r="H137">
        <f t="shared" si="17"/>
        <v>3.8782549923436126E-2</v>
      </c>
      <c r="J137">
        <f t="shared" si="8"/>
        <v>0.83129171033323479</v>
      </c>
      <c r="K137">
        <f t="shared" si="9"/>
        <v>0.76629491501368496</v>
      </c>
      <c r="L137">
        <f t="shared" si="10"/>
        <v>0.70844155052033508</v>
      </c>
      <c r="M137">
        <f t="shared" si="11"/>
        <v>0.50678171300342212</v>
      </c>
      <c r="N137">
        <f t="shared" si="12"/>
        <v>0.31879756058670849</v>
      </c>
    </row>
    <row r="138" spans="1:14" x14ac:dyDescent="0.2">
      <c r="A138">
        <f t="shared" si="5"/>
        <v>38</v>
      </c>
      <c r="B138">
        <f t="shared" si="6"/>
        <v>2.2799999999999998</v>
      </c>
      <c r="C138">
        <f t="shared" si="7"/>
        <v>2.2607688477105592E-2</v>
      </c>
      <c r="D138">
        <f t="shared" si="13"/>
        <v>0.1501997410528223</v>
      </c>
      <c r="E138">
        <f t="shared" si="14"/>
        <v>0.10693526844880408</v>
      </c>
      <c r="F138">
        <f t="shared" si="15"/>
        <v>8.478656618784966E-2</v>
      </c>
      <c r="G138">
        <f t="shared" si="16"/>
        <v>4.8562484860635038E-2</v>
      </c>
      <c r="H138">
        <f t="shared" si="17"/>
        <v>3.4329018617299568E-2</v>
      </c>
      <c r="J138">
        <f t="shared" si="8"/>
        <v>0.84948250696947003</v>
      </c>
      <c r="K138">
        <f t="shared" si="9"/>
        <v>0.78858529271912603</v>
      </c>
      <c r="L138">
        <f t="shared" si="10"/>
        <v>0.73335765919548013</v>
      </c>
      <c r="M138">
        <f t="shared" si="11"/>
        <v>0.53446186820988884</v>
      </c>
      <c r="N138">
        <f t="shared" si="12"/>
        <v>0.34144087458087707</v>
      </c>
    </row>
    <row r="139" spans="1:14" x14ac:dyDescent="0.2">
      <c r="A139">
        <f t="shared" si="5"/>
        <v>39</v>
      </c>
      <c r="B139">
        <f t="shared" si="6"/>
        <v>2.34</v>
      </c>
      <c r="C139">
        <f t="shared" si="7"/>
        <v>1.9283739890716634E-2</v>
      </c>
      <c r="D139">
        <f t="shared" si="13"/>
        <v>0.1441595089515586</v>
      </c>
      <c r="E139">
        <f t="shared" si="14"/>
        <v>0.1012217160711783</v>
      </c>
      <c r="F139">
        <f t="shared" si="15"/>
        <v>7.9378357473241762E-2</v>
      </c>
      <c r="G139">
        <f t="shared" si="16"/>
        <v>4.4020277235765015E-2</v>
      </c>
      <c r="H139">
        <f t="shared" si="17"/>
        <v>3.0351516580351477E-2</v>
      </c>
      <c r="J139">
        <f t="shared" si="8"/>
        <v>0.86623331314761565</v>
      </c>
      <c r="K139">
        <f t="shared" si="9"/>
        <v>0.80949009126503579</v>
      </c>
      <c r="L139">
        <f t="shared" si="10"/>
        <v>0.75706552132655136</v>
      </c>
      <c r="M139">
        <f t="shared" si="11"/>
        <v>0.5619350648921122</v>
      </c>
      <c r="N139">
        <f t="shared" si="12"/>
        <v>0.36465316849437895</v>
      </c>
    </row>
    <row r="140" spans="1:14" x14ac:dyDescent="0.2">
      <c r="A140">
        <f t="shared" si="5"/>
        <v>40</v>
      </c>
      <c r="B140">
        <f t="shared" si="6"/>
        <v>2.4</v>
      </c>
      <c r="C140">
        <f t="shared" si="7"/>
        <v>1.6395071849192311E-2</v>
      </c>
      <c r="D140">
        <f t="shared" si="13"/>
        <v>0.13845020965871424</v>
      </c>
      <c r="E140">
        <f t="shared" si="14"/>
        <v>9.5874482271831055E-2</v>
      </c>
      <c r="F140">
        <f t="shared" si="15"/>
        <v>7.4356327042506123E-2</v>
      </c>
      <c r="G140">
        <f t="shared" si="16"/>
        <v>3.9897886669348397E-2</v>
      </c>
      <c r="H140">
        <f t="shared" si="17"/>
        <v>2.6805060040618976E-2</v>
      </c>
      <c r="J140">
        <f t="shared" si="8"/>
        <v>0.88158145885364225</v>
      </c>
      <c r="K140">
        <f t="shared" si="9"/>
        <v>0.82899441581642463</v>
      </c>
      <c r="L140">
        <f t="shared" si="10"/>
        <v>0.7795067010259934</v>
      </c>
      <c r="M140">
        <f t="shared" si="11"/>
        <v>0.58907417866350686</v>
      </c>
      <c r="N140">
        <f t="shared" si="12"/>
        <v>0.38835907010288045</v>
      </c>
    </row>
    <row r="141" spans="1:14" x14ac:dyDescent="0.2">
      <c r="A141">
        <f t="shared" si="5"/>
        <v>41</v>
      </c>
      <c r="B141">
        <f t="shared" si="6"/>
        <v>2.46</v>
      </c>
      <c r="C141">
        <f t="shared" si="7"/>
        <v>1.3893701577248674E-2</v>
      </c>
      <c r="D141">
        <f t="shared" si="13"/>
        <v>0.13305007870747676</v>
      </c>
      <c r="E141">
        <f t="shared" si="14"/>
        <v>9.0867543093138853E-2</v>
      </c>
      <c r="F141">
        <f t="shared" si="15"/>
        <v>6.9691435026461121E-2</v>
      </c>
      <c r="G141">
        <f t="shared" si="16"/>
        <v>3.6158646919234823E-2</v>
      </c>
      <c r="H141">
        <f t="shared" si="17"/>
        <v>2.3647962173950307E-2</v>
      </c>
      <c r="J141">
        <f t="shared" si="8"/>
        <v>0.89557539753286963</v>
      </c>
      <c r="K141">
        <f t="shared" si="9"/>
        <v>0.84709940310581866</v>
      </c>
      <c r="L141">
        <f t="shared" si="10"/>
        <v>0.80063975477082117</v>
      </c>
      <c r="M141">
        <f t="shared" si="11"/>
        <v>0.61575714909127777</v>
      </c>
      <c r="N141">
        <f t="shared" si="12"/>
        <v>0.41247785009765259</v>
      </c>
    </row>
    <row r="142" spans="1:14" x14ac:dyDescent="0.2">
      <c r="A142">
        <f t="shared" si="5"/>
        <v>42</v>
      </c>
      <c r="B142">
        <f t="shared" si="6"/>
        <v>2.52</v>
      </c>
      <c r="C142">
        <f t="shared" si="7"/>
        <v>1.1735483430665106E-2</v>
      </c>
      <c r="D142">
        <f t="shared" si="13"/>
        <v>0.1279389267806923</v>
      </c>
      <c r="E142">
        <f t="shared" si="14"/>
        <v>8.6176770766995578E-2</v>
      </c>
      <c r="F142">
        <f t="shared" si="15"/>
        <v>6.5356771889320736E-2</v>
      </c>
      <c r="G142">
        <f t="shared" si="16"/>
        <v>3.2768650307847036E-2</v>
      </c>
      <c r="H142">
        <f t="shared" si="17"/>
        <v>2.0841746760468505E-2</v>
      </c>
      <c r="J142">
        <f t="shared" si="8"/>
        <v>0.90827276946928281</v>
      </c>
      <c r="K142">
        <f t="shared" si="9"/>
        <v>0.86382080314432463</v>
      </c>
      <c r="L142">
        <f t="shared" si="10"/>
        <v>0.82043967149205732</v>
      </c>
      <c r="M142">
        <f t="shared" si="11"/>
        <v>0.64186857498202066</v>
      </c>
      <c r="N142">
        <f t="shared" si="12"/>
        <v>0.43692419039826669</v>
      </c>
    </row>
    <row r="143" spans="1:14" x14ac:dyDescent="0.2">
      <c r="A143">
        <f t="shared" si="5"/>
        <v>43</v>
      </c>
      <c r="B143">
        <f t="shared" si="6"/>
        <v>2.58</v>
      </c>
      <c r="C143">
        <f t="shared" si="7"/>
        <v>9.8800315155411766E-3</v>
      </c>
      <c r="D143">
        <f t="shared" si="13"/>
        <v>0.12309802587517271</v>
      </c>
      <c r="E143">
        <f t="shared" si="14"/>
        <v>8.1779809316525245E-2</v>
      </c>
      <c r="F143">
        <f t="shared" si="15"/>
        <v>6.132742961987047E-2</v>
      </c>
      <c r="G143">
        <f t="shared" si="16"/>
        <v>2.9696620975518499E-2</v>
      </c>
      <c r="H143">
        <f t="shared" si="17"/>
        <v>1.8351035254903104E-2</v>
      </c>
      <c r="J143">
        <f t="shared" si="8"/>
        <v>0.91973850559098325</v>
      </c>
      <c r="K143">
        <f t="shared" si="9"/>
        <v>0.87918739847752714</v>
      </c>
      <c r="L143">
        <f t="shared" si="10"/>
        <v>0.83889702247785081</v>
      </c>
      <c r="M143">
        <f t="shared" si="11"/>
        <v>0.6673011544415729</v>
      </c>
      <c r="N143">
        <f t="shared" si="12"/>
        <v>0.46160903849272539</v>
      </c>
    </row>
    <row r="144" spans="1:14" x14ac:dyDescent="0.2">
      <c r="A144">
        <f t="shared" si="5"/>
        <v>44</v>
      </c>
      <c r="B144">
        <f t="shared" si="6"/>
        <v>2.64</v>
      </c>
      <c r="C144">
        <f t="shared" si="7"/>
        <v>8.2906027220721601E-3</v>
      </c>
      <c r="D144">
        <f t="shared" si="13"/>
        <v>0.11851000205201401</v>
      </c>
      <c r="E144">
        <f t="shared" si="14"/>
        <v>7.7655954344544323E-2</v>
      </c>
      <c r="F144">
        <f t="shared" si="15"/>
        <v>5.7580374425844842E-2</v>
      </c>
      <c r="G144">
        <f t="shared" si="16"/>
        <v>2.6913778661015277E-2</v>
      </c>
      <c r="H144">
        <f t="shared" si="17"/>
        <v>1.6143413336761576E-2</v>
      </c>
      <c r="J144">
        <f t="shared" si="8"/>
        <v>0.93004301258527178</v>
      </c>
      <c r="K144">
        <f t="shared" si="9"/>
        <v>0.89323931703564707</v>
      </c>
      <c r="L144">
        <f t="shared" si="10"/>
        <v>0.85601686677551481</v>
      </c>
      <c r="M144">
        <f t="shared" si="11"/>
        <v>0.69195694047669587</v>
      </c>
      <c r="N144">
        <f t="shared" si="12"/>
        <v>0.48644053465490444</v>
      </c>
    </row>
    <row r="145" spans="1:14" x14ac:dyDescent="0.2">
      <c r="A145">
        <f t="shared" si="5"/>
        <v>45</v>
      </c>
      <c r="B145">
        <f t="shared" si="6"/>
        <v>2.7</v>
      </c>
      <c r="C145">
        <f t="shared" si="7"/>
        <v>6.9339476060812366E-3</v>
      </c>
      <c r="D145">
        <f t="shared" si="13"/>
        <v>0.11415873485153794</v>
      </c>
      <c r="E145">
        <f t="shared" si="14"/>
        <v>7.3786037840060534E-2</v>
      </c>
      <c r="F145">
        <f t="shared" si="15"/>
        <v>5.4094322448921997E-2</v>
      </c>
      <c r="G145">
        <f t="shared" si="16"/>
        <v>2.4393696743545384E-2</v>
      </c>
      <c r="H145">
        <f t="shared" si="17"/>
        <v>1.4189282368107266E-2</v>
      </c>
      <c r="J145">
        <f t="shared" si="8"/>
        <v>0.93926047257707657</v>
      </c>
      <c r="K145">
        <f t="shared" si="9"/>
        <v>0.90602629157143066</v>
      </c>
      <c r="L145">
        <f t="shared" si="10"/>
        <v>0.87181746083189149</v>
      </c>
      <c r="M145">
        <f t="shared" si="11"/>
        <v>0.71574838865224588</v>
      </c>
      <c r="N145">
        <f t="shared" si="12"/>
        <v>0.51132499683941601</v>
      </c>
    </row>
    <row r="146" spans="1:14" x14ac:dyDescent="0.2">
      <c r="A146">
        <f t="shared" si="5"/>
        <v>46</v>
      </c>
      <c r="B146">
        <f t="shared" si="6"/>
        <v>2.76</v>
      </c>
      <c r="C146">
        <f t="shared" si="7"/>
        <v>5.7801361524523198E-3</v>
      </c>
      <c r="D146">
        <f t="shared" si="13"/>
        <v>0.11002926331196816</v>
      </c>
      <c r="E146">
        <f t="shared" si="14"/>
        <v>7.0152318552798049E-2</v>
      </c>
      <c r="F146">
        <f t="shared" si="15"/>
        <v>5.0849619628596153E-2</v>
      </c>
      <c r="G146">
        <f t="shared" si="16"/>
        <v>2.2112157662962109E-2</v>
      </c>
      <c r="H146">
        <f t="shared" si="17"/>
        <v>1.2461700537394932E-2</v>
      </c>
      <c r="J146">
        <f t="shared" si="8"/>
        <v>0.94746728298940086</v>
      </c>
      <c r="K146">
        <f t="shared" si="9"/>
        <v>0.91760591422075277</v>
      </c>
      <c r="L146">
        <f t="shared" si="10"/>
        <v>0.88632882222777221</v>
      </c>
      <c r="M146">
        <f t="shared" si="11"/>
        <v>0.7385991796660325</v>
      </c>
      <c r="N146">
        <f t="shared" si="12"/>
        <v>0.53616794633225606</v>
      </c>
    </row>
    <row r="147" spans="1:14" x14ac:dyDescent="0.2">
      <c r="A147">
        <f t="shared" si="5"/>
        <v>47</v>
      </c>
      <c r="B147">
        <f t="shared" si="6"/>
        <v>2.82</v>
      </c>
      <c r="C147">
        <f t="shared" si="7"/>
        <v>4.8023649483786013E-3</v>
      </c>
      <c r="D147">
        <f t="shared" si="13"/>
        <v>0.10610769842961487</v>
      </c>
      <c r="E147">
        <f t="shared" si="14"/>
        <v>6.6738378262517231E-2</v>
      </c>
      <c r="F147">
        <f t="shared" si="15"/>
        <v>4.7828126522038661E-2</v>
      </c>
      <c r="G147">
        <f t="shared" si="16"/>
        <v>2.0047008275271734E-2</v>
      </c>
      <c r="H147">
        <f t="shared" si="17"/>
        <v>1.0936217827369782E-2</v>
      </c>
      <c r="J147">
        <f t="shared" si="8"/>
        <v>0.95474065483039205</v>
      </c>
      <c r="K147">
        <f t="shared" si="9"/>
        <v>0.9280419291956965</v>
      </c>
      <c r="L147">
        <f t="shared" si="10"/>
        <v>0.89959119669540633</v>
      </c>
      <c r="M147">
        <f t="shared" si="11"/>
        <v>0.76044480640523371</v>
      </c>
      <c r="N147">
        <f t="shared" si="12"/>
        <v>0.56087515590994808</v>
      </c>
    </row>
    <row r="148" spans="1:14" x14ac:dyDescent="0.2">
      <c r="A148">
        <f t="shared" si="5"/>
        <v>48</v>
      </c>
      <c r="B148">
        <f t="shared" si="6"/>
        <v>2.88</v>
      </c>
      <c r="C148">
        <f t="shared" si="7"/>
        <v>3.9767517097886174E-3</v>
      </c>
      <c r="D148">
        <f t="shared" si="13"/>
        <v>0.10238114182704738</v>
      </c>
      <c r="E148">
        <f t="shared" si="14"/>
        <v>6.352902409510669E-2</v>
      </c>
      <c r="F148">
        <f t="shared" si="15"/>
        <v>4.5013108625035936E-2</v>
      </c>
      <c r="G148">
        <f t="shared" si="16"/>
        <v>1.8178017201219639E-2</v>
      </c>
      <c r="H148">
        <f t="shared" si="17"/>
        <v>9.5907083290977264E-3</v>
      </c>
      <c r="J148">
        <f t="shared" si="8"/>
        <v>0.96115738075566148</v>
      </c>
      <c r="K148">
        <f t="shared" si="9"/>
        <v>0.93740260036365131</v>
      </c>
      <c r="L148">
        <f t="shared" si="10"/>
        <v>0.91165347537057728</v>
      </c>
      <c r="M148">
        <f t="shared" si="11"/>
        <v>0.78123292184354409</v>
      </c>
      <c r="N148">
        <f t="shared" si="12"/>
        <v>0.58535370138164322</v>
      </c>
    </row>
    <row r="149" spans="1:14" x14ac:dyDescent="0.2">
      <c r="A149">
        <f t="shared" si="5"/>
        <v>49</v>
      </c>
      <c r="B149">
        <f t="shared" si="6"/>
        <v>2.94</v>
      </c>
      <c r="C149">
        <f t="shared" si="7"/>
        <v>3.2821224683139416E-3</v>
      </c>
      <c r="D149">
        <f t="shared" si="13"/>
        <v>9.8837610347845106E-2</v>
      </c>
      <c r="E149">
        <f t="shared" si="14"/>
        <v>6.0510196902624637E-2</v>
      </c>
      <c r="F149">
        <f t="shared" si="15"/>
        <v>4.2389132527844438E-2</v>
      </c>
      <c r="G149">
        <f t="shared" si="16"/>
        <v>1.6486735786446095E-2</v>
      </c>
      <c r="H149">
        <f t="shared" si="17"/>
        <v>8.4052028444427142E-3</v>
      </c>
      <c r="J149">
        <f t="shared" si="8"/>
        <v>0.96679277800461816</v>
      </c>
      <c r="K149">
        <f t="shared" si="9"/>
        <v>0.94575918380177049</v>
      </c>
      <c r="L149">
        <f t="shared" si="10"/>
        <v>0.9225716056784603</v>
      </c>
      <c r="M149">
        <f t="shared" si="11"/>
        <v>0.80092345077718741</v>
      </c>
      <c r="N149">
        <f t="shared" si="12"/>
        <v>0.60951299700232819</v>
      </c>
    </row>
    <row r="150" spans="1:14" x14ac:dyDescent="0.2">
      <c r="A150">
        <f t="shared" si="5"/>
        <v>50</v>
      </c>
      <c r="B150">
        <f t="shared" si="6"/>
        <v>3</v>
      </c>
      <c r="C150">
        <f t="shared" si="7"/>
        <v>2.6997960632602069E-3</v>
      </c>
      <c r="D150">
        <f t="shared" si="13"/>
        <v>9.5465966266709223E-2</v>
      </c>
      <c r="E150">
        <f t="shared" si="14"/>
        <v>5.7668885622437334E-2</v>
      </c>
      <c r="F150">
        <f t="shared" si="15"/>
        <v>3.9941968071718827E-2</v>
      </c>
      <c r="G150">
        <f t="shared" si="16"/>
        <v>1.4956363910414211E-2</v>
      </c>
      <c r="H150">
        <f t="shared" si="17"/>
        <v>7.361724183868646E-3</v>
      </c>
      <c r="J150">
        <f t="shared" si="8"/>
        <v>0.97171980582359985</v>
      </c>
      <c r="K150">
        <f t="shared" si="9"/>
        <v>0.95318452863930858</v>
      </c>
      <c r="L150">
        <f t="shared" si="10"/>
        <v>0.93240703466557984</v>
      </c>
      <c r="M150">
        <f t="shared" si="11"/>
        <v>0.81948847464320373</v>
      </c>
      <c r="N150">
        <f t="shared" si="12"/>
        <v>0.63326579537221372</v>
      </c>
    </row>
    <row r="151" spans="1:14" x14ac:dyDescent="0.2">
      <c r="A151">
        <f t="shared" si="5"/>
        <v>51</v>
      </c>
      <c r="B151">
        <f t="shared" si="6"/>
        <v>3.06</v>
      </c>
      <c r="C151">
        <f t="shared" si="7"/>
        <v>2.2133699148185748E-3</v>
      </c>
      <c r="D151">
        <f t="shared" si="13"/>
        <v>9.2255852787693438E-2</v>
      </c>
      <c r="E151">
        <f t="shared" si="14"/>
        <v>5.4993047455162133E-2</v>
      </c>
      <c r="F151">
        <f t="shared" si="15"/>
        <v>3.7658496540106334E-2</v>
      </c>
      <c r="G151">
        <f t="shared" si="16"/>
        <v>1.3571621554686279E-2</v>
      </c>
      <c r="H151">
        <f t="shared" si="17"/>
        <v>6.4441270804180334E-3</v>
      </c>
      <c r="J151">
        <f t="shared" si="8"/>
        <v>0.9760083523382288</v>
      </c>
      <c r="K151">
        <f t="shared" si="9"/>
        <v>0.95975182287136906</v>
      </c>
      <c r="L151">
        <f t="shared" si="10"/>
        <v>0.9412252182595412</v>
      </c>
      <c r="M151">
        <f t="shared" si="11"/>
        <v>0.8369119043070945</v>
      </c>
      <c r="N151">
        <f t="shared" si="12"/>
        <v>0.65652913308547101</v>
      </c>
    </row>
    <row r="152" spans="1:14" x14ac:dyDescent="0.2">
      <c r="A152">
        <f t="shared" si="5"/>
        <v>52</v>
      </c>
      <c r="B152">
        <f t="shared" si="6"/>
        <v>3.12</v>
      </c>
      <c r="C152">
        <f t="shared" si="7"/>
        <v>1.8085103996445806E-3</v>
      </c>
      <c r="D152">
        <f t="shared" si="13"/>
        <v>8.9197634497672151E-2</v>
      </c>
      <c r="E152">
        <f t="shared" si="14"/>
        <v>5.2471533647097106E-2</v>
      </c>
      <c r="F152">
        <f t="shared" si="15"/>
        <v>3.5526624817015927E-2</v>
      </c>
      <c r="G152">
        <f t="shared" si="16"/>
        <v>1.2318626764969478E-2</v>
      </c>
      <c r="H152">
        <f t="shared" si="17"/>
        <v>5.6379442066328504E-3</v>
      </c>
      <c r="J152">
        <f t="shared" si="8"/>
        <v>0.97972468205205843</v>
      </c>
      <c r="K152">
        <f t="shared" si="9"/>
        <v>0.96553349456473081</v>
      </c>
      <c r="L152">
        <f t="shared" si="10"/>
        <v>0.94909422414992906</v>
      </c>
      <c r="M152">
        <f t="shared" si="11"/>
        <v>0.85318896057574789</v>
      </c>
      <c r="N152">
        <f t="shared" si="12"/>
        <v>0.67922520454939417</v>
      </c>
    </row>
    <row r="153" spans="1:14" x14ac:dyDescent="0.2">
      <c r="A153">
        <f t="shared" si="5"/>
        <v>53</v>
      </c>
      <c r="B153">
        <f t="shared" si="6"/>
        <v>3.18</v>
      </c>
      <c r="C153">
        <f t="shared" si="7"/>
        <v>1.472750523107802E-3</v>
      </c>
      <c r="D153">
        <f t="shared" si="13"/>
        <v>8.6282342444193971E-2</v>
      </c>
      <c r="E153">
        <f t="shared" si="14"/>
        <v>5.0094020625854177E-2</v>
      </c>
      <c r="F153">
        <f t="shared" si="15"/>
        <v>3.3535205368602002E-2</v>
      </c>
      <c r="G153">
        <f t="shared" si="16"/>
        <v>1.118478041101848E-2</v>
      </c>
      <c r="H153">
        <f t="shared" si="17"/>
        <v>4.9302393994978431E-3</v>
      </c>
      <c r="J153">
        <f t="shared" si="8"/>
        <v>0.98293103222063827</v>
      </c>
      <c r="K153">
        <f t="shared" si="9"/>
        <v>0.97060027315220743</v>
      </c>
      <c r="L153">
        <f t="shared" si="10"/>
        <v>0.95608345000664008</v>
      </c>
      <c r="M153">
        <f t="shared" si="11"/>
        <v>0.86832548615286631</v>
      </c>
      <c r="N153">
        <f t="shared" si="12"/>
        <v>0.70128214803163413</v>
      </c>
    </row>
    <row r="154" spans="1:14" x14ac:dyDescent="0.2">
      <c r="A154">
        <f t="shared" si="5"/>
        <v>54</v>
      </c>
      <c r="B154">
        <f t="shared" si="6"/>
        <v>3.24</v>
      </c>
      <c r="C154">
        <f t="shared" si="7"/>
        <v>1.1952969958688442E-3</v>
      </c>
      <c r="D154">
        <f t="shared" si="13"/>
        <v>8.3501623514461776E-2</v>
      </c>
      <c r="E154">
        <f t="shared" si="14"/>
        <v>4.785094621443256E-2</v>
      </c>
      <c r="F154">
        <f t="shared" si="15"/>
        <v>3.1673961848008254E-2</v>
      </c>
      <c r="G154">
        <f t="shared" si="16"/>
        <v>1.0158657959108438E-2</v>
      </c>
      <c r="H154">
        <f t="shared" si="17"/>
        <v>4.3094688680296069E-3</v>
      </c>
      <c r="J154">
        <f t="shared" si="8"/>
        <v>0.98568534424169818</v>
      </c>
      <c r="K154">
        <f t="shared" si="9"/>
        <v>0.97502041045306798</v>
      </c>
      <c r="L154">
        <f t="shared" si="10"/>
        <v>0.96226247282848176</v>
      </c>
      <c r="M154">
        <f t="shared" si="11"/>
        <v>0.88233711572136164</v>
      </c>
      <c r="N154">
        <f t="shared" si="12"/>
        <v>0.72263473006237011</v>
      </c>
    </row>
    <row r="155" spans="1:14" x14ac:dyDescent="0.2">
      <c r="A155">
        <f t="shared" si="5"/>
        <v>55</v>
      </c>
      <c r="B155">
        <f t="shared" si="6"/>
        <v>3.3</v>
      </c>
      <c r="C155">
        <f t="shared" si="7"/>
        <v>9.6684828476756302E-4</v>
      </c>
      <c r="D155">
        <f t="shared" si="13"/>
        <v>8.0847693803667964E-2</v>
      </c>
      <c r="E155">
        <f t="shared" si="14"/>
        <v>4.5733450635998707E-2</v>
      </c>
      <c r="F155">
        <f t="shared" si="15"/>
        <v>2.9933420084126076E-2</v>
      </c>
      <c r="G155">
        <f t="shared" si="16"/>
        <v>9.2299083185470223E-3</v>
      </c>
      <c r="H155">
        <f t="shared" si="17"/>
        <v>3.7653508765122597E-3</v>
      </c>
      <c r="J155">
        <f t="shared" si="8"/>
        <v>0.98804111485090129</v>
      </c>
      <c r="K155">
        <f t="shared" si="9"/>
        <v>0.97885905674463769</v>
      </c>
      <c r="L155">
        <f t="shared" si="10"/>
        <v>0.96770003955277095</v>
      </c>
      <c r="M155">
        <f t="shared" si="11"/>
        <v>0.89524833276786386</v>
      </c>
      <c r="N155">
        <f t="shared" si="12"/>
        <v>0.74322491675380653</v>
      </c>
    </row>
    <row r="156" spans="1:14" x14ac:dyDescent="0.2">
      <c r="A156">
        <f t="shared" si="5"/>
        <v>56</v>
      </c>
      <c r="B156">
        <f t="shared" si="6"/>
        <v>3.36</v>
      </c>
      <c r="C156">
        <f t="shared" si="7"/>
        <v>7.7942472516401295E-4</v>
      </c>
      <c r="D156">
        <f t="shared" si="13"/>
        <v>7.8313295675017103E-2</v>
      </c>
      <c r="E156">
        <f t="shared" si="14"/>
        <v>4.3733322016778584E-2</v>
      </c>
      <c r="F156">
        <f t="shared" si="15"/>
        <v>2.830484418885611E-2</v>
      </c>
      <c r="G156">
        <f t="shared" si="16"/>
        <v>8.3891597019052338E-3</v>
      </c>
      <c r="H156">
        <f t="shared" si="17"/>
        <v>3.2887441603257927E-3</v>
      </c>
      <c r="J156">
        <f t="shared" si="8"/>
        <v>0.99004735123907373</v>
      </c>
      <c r="K156">
        <f t="shared" si="9"/>
        <v>0.98217778368483</v>
      </c>
      <c r="L156">
        <f t="shared" si="10"/>
        <v>0.97246320382604756</v>
      </c>
      <c r="M156">
        <f t="shared" si="11"/>
        <v>0.9070914426641562</v>
      </c>
      <c r="N156">
        <f t="shared" si="12"/>
        <v>0.76300232332854956</v>
      </c>
    </row>
    <row r="157" spans="1:14" x14ac:dyDescent="0.2">
      <c r="A157">
        <f t="shared" si="5"/>
        <v>57</v>
      </c>
      <c r="B157">
        <f t="shared" si="6"/>
        <v>3.42</v>
      </c>
      <c r="C157">
        <f t="shared" si="7"/>
        <v>6.2621135716245391E-4</v>
      </c>
      <c r="D157">
        <f t="shared" si="13"/>
        <v>7.5891658229507608E-2</v>
      </c>
      <c r="E157">
        <f t="shared" si="14"/>
        <v>4.1842946095745383E-2</v>
      </c>
      <c r="F157">
        <f t="shared" si="15"/>
        <v>2.6780177501981143E-2</v>
      </c>
      <c r="G157">
        <f t="shared" si="16"/>
        <v>7.6279323439300672E-3</v>
      </c>
      <c r="H157">
        <f t="shared" si="17"/>
        <v>2.8715351369991457E-3</v>
      </c>
      <c r="J157">
        <f t="shared" si="8"/>
        <v>0.9917486141195031</v>
      </c>
      <c r="K157">
        <f t="shared" si="9"/>
        <v>0.98503424314985966</v>
      </c>
      <c r="L157">
        <f t="shared" si="10"/>
        <v>0.97661660916488968</v>
      </c>
      <c r="M157">
        <f t="shared" si="11"/>
        <v>0.91790549143231948</v>
      </c>
      <c r="N157">
        <f t="shared" si="12"/>
        <v>0.78192453608042334</v>
      </c>
    </row>
    <row r="158" spans="1:14" x14ac:dyDescent="0.2">
      <c r="A158">
        <f t="shared" si="5"/>
        <v>58</v>
      </c>
      <c r="B158">
        <f t="shared" si="6"/>
        <v>3.48</v>
      </c>
      <c r="C158">
        <f t="shared" si="7"/>
        <v>5.0141378256096658E-4</v>
      </c>
      <c r="D158">
        <f t="shared" si="13"/>
        <v>7.3576460920169895E-2</v>
      </c>
      <c r="E158">
        <f t="shared" si="14"/>
        <v>4.0055259855630576E-2</v>
      </c>
      <c r="F158">
        <f t="shared" si="15"/>
        <v>2.5351988085568142E-2</v>
      </c>
      <c r="G158">
        <f t="shared" si="16"/>
        <v>6.9385578524055642E-3</v>
      </c>
      <c r="H158">
        <f t="shared" si="17"/>
        <v>2.5065338183968165E-3</v>
      </c>
      <c r="J158">
        <f t="shared" si="8"/>
        <v>0.99318513317588086</v>
      </c>
      <c r="K158">
        <f t="shared" si="9"/>
        <v>0.98748194907814379</v>
      </c>
      <c r="L158">
        <f t="shared" si="10"/>
        <v>0.98022191471262166</v>
      </c>
      <c r="M158">
        <f t="shared" si="11"/>
        <v>0.92773515862707279</v>
      </c>
      <c r="N158">
        <f t="shared" si="12"/>
        <v>0.79995730403443277</v>
      </c>
    </row>
    <row r="159" spans="1:14" x14ac:dyDescent="0.2">
      <c r="A159">
        <f t="shared" si="5"/>
        <v>59</v>
      </c>
      <c r="B159">
        <f t="shared" si="6"/>
        <v>3.54</v>
      </c>
      <c r="C159">
        <f t="shared" si="7"/>
        <v>4.0012703201464106E-4</v>
      </c>
      <c r="D159">
        <f t="shared" si="13"/>
        <v>7.1361800062408443E-2</v>
      </c>
      <c r="E159">
        <f t="shared" si="14"/>
        <v>3.8363708798934755E-2</v>
      </c>
      <c r="F159">
        <f t="shared" si="15"/>
        <v>2.4013418479043234E-2</v>
      </c>
      <c r="G159">
        <f t="shared" si="16"/>
        <v>6.3141049118887573E-3</v>
      </c>
      <c r="H159">
        <f t="shared" si="17"/>
        <v>2.1873782065628547E-3</v>
      </c>
      <c r="J159">
        <f t="shared" si="8"/>
        <v>0.99439298011450505</v>
      </c>
      <c r="K159">
        <f t="shared" si="9"/>
        <v>0.98957016814740939</v>
      </c>
      <c r="L159">
        <f t="shared" si="10"/>
        <v>0.98333735647159792</v>
      </c>
      <c r="M159">
        <f t="shared" si="11"/>
        <v>0.93662965098010231</v>
      </c>
      <c r="N159">
        <f t="shared" si="12"/>
        <v>0.8170746006273043</v>
      </c>
    </row>
    <row r="160" spans="1:14" x14ac:dyDescent="0.2">
      <c r="A160">
        <f t="shared" si="5"/>
        <v>60</v>
      </c>
      <c r="B160">
        <f t="shared" si="6"/>
        <v>3.6</v>
      </c>
      <c r="C160">
        <f t="shared" si="7"/>
        <v>3.1821718031510571E-4</v>
      </c>
      <c r="D160">
        <f t="shared" si="13"/>
        <v>6.9242158008965493E-2</v>
      </c>
      <c r="E160">
        <f t="shared" si="14"/>
        <v>3.6762207604062694E-2</v>
      </c>
      <c r="F160">
        <f t="shared" si="15"/>
        <v>2.2758139430167686E-2</v>
      </c>
      <c r="G160">
        <f t="shared" si="16"/>
        <v>5.7483110249854051E-3</v>
      </c>
      <c r="H160">
        <f t="shared" si="17"/>
        <v>1.9084468614830759E-3</v>
      </c>
      <c r="J160">
        <f t="shared" si="8"/>
        <v>0.99540428563370453</v>
      </c>
      <c r="K160">
        <f t="shared" si="9"/>
        <v>0.9913439044863035</v>
      </c>
      <c r="L160">
        <f t="shared" si="10"/>
        <v>0.98601743427701805</v>
      </c>
      <c r="M160">
        <f t="shared" si="11"/>
        <v>0.94464162100276861</v>
      </c>
      <c r="N160">
        <f t="shared" si="12"/>
        <v>0.83325855870683474</v>
      </c>
    </row>
    <row r="161" spans="1:14" x14ac:dyDescent="0.2">
      <c r="A161">
        <f t="shared" si="5"/>
        <v>61</v>
      </c>
      <c r="B161">
        <f t="shared" si="6"/>
        <v>3.66</v>
      </c>
      <c r="C161">
        <f t="shared" si="7"/>
        <v>2.5221524827689912E-4</v>
      </c>
      <c r="D161">
        <f t="shared" si="13"/>
        <v>6.7212374774512029E-2</v>
      </c>
      <c r="E161">
        <f t="shared" si="14"/>
        <v>3.5245103909671956E-2</v>
      </c>
      <c r="F161">
        <f t="shared" si="15"/>
        <v>2.1580307324838243E-2</v>
      </c>
      <c r="G161">
        <f t="shared" si="16"/>
        <v>5.2355199527622225E-3</v>
      </c>
      <c r="H161">
        <f t="shared" si="17"/>
        <v>1.6647792598404043E-3</v>
      </c>
      <c r="J161">
        <f t="shared" si="8"/>
        <v>0.99624748791985041</v>
      </c>
      <c r="K161">
        <f t="shared" si="9"/>
        <v>0.99284396354956739</v>
      </c>
      <c r="L161">
        <f t="shared" si="10"/>
        <v>0.98831271285990407</v>
      </c>
      <c r="M161">
        <f t="shared" si="11"/>
        <v>0.95182613177821385</v>
      </c>
      <c r="N161">
        <f t="shared" si="12"/>
        <v>0.84849928494359184</v>
      </c>
    </row>
    <row r="162" spans="1:14" x14ac:dyDescent="0.2">
      <c r="A162">
        <f t="shared" si="5"/>
        <v>62</v>
      </c>
      <c r="B162">
        <f t="shared" si="6"/>
        <v>3.72</v>
      </c>
      <c r="C162">
        <f t="shared" si="7"/>
        <v>1.99222777951924E-4</v>
      </c>
      <c r="D162">
        <f t="shared" si="13"/>
        <v>6.5267621910769402E-2</v>
      </c>
      <c r="E162">
        <f t="shared" si="14"/>
        <v>3.3807144989188277E-2</v>
      </c>
      <c r="F162">
        <f t="shared" si="15"/>
        <v>2.0474525048920882E-2</v>
      </c>
      <c r="G162">
        <f t="shared" si="16"/>
        <v>4.7706245035022288E-3</v>
      </c>
      <c r="H162">
        <f t="shared" si="17"/>
        <v>1.4520035159275068E-3</v>
      </c>
      <c r="J162">
        <f t="shared" si="8"/>
        <v>0.9969476017032719</v>
      </c>
      <c r="K162">
        <f t="shared" si="9"/>
        <v>0.99410708067730547</v>
      </c>
      <c r="L162">
        <f t="shared" si="10"/>
        <v>0.9902697240851297</v>
      </c>
      <c r="M162">
        <f t="shared" si="11"/>
        <v>0.95823968585126118</v>
      </c>
      <c r="N162">
        <f t="shared" si="12"/>
        <v>0.86279456229507467</v>
      </c>
    </row>
    <row r="163" spans="1:14" x14ac:dyDescent="0.2">
      <c r="A163">
        <f t="shared" si="5"/>
        <v>63</v>
      </c>
      <c r="B163">
        <f t="shared" si="6"/>
        <v>3.78</v>
      </c>
      <c r="C163">
        <f t="shared" si="7"/>
        <v>1.5682835876718038E-4</v>
      </c>
      <c r="D163">
        <f t="shared" si="13"/>
        <v>6.3403378448238623E-2</v>
      </c>
      <c r="E163">
        <f t="shared" si="14"/>
        <v>3.2443447091737757E-2</v>
      </c>
      <c r="F163">
        <f t="shared" si="15"/>
        <v>1.9435806027395305E-2</v>
      </c>
      <c r="G163">
        <f t="shared" si="16"/>
        <v>4.3490143151317297E-3</v>
      </c>
      <c r="H163">
        <f t="shared" si="17"/>
        <v>1.2662710057475821E-3</v>
      </c>
      <c r="J163">
        <f t="shared" si="8"/>
        <v>0.99752649838848551</v>
      </c>
      <c r="K163">
        <f t="shared" si="9"/>
        <v>0.99516610062045108</v>
      </c>
      <c r="L163">
        <f t="shared" si="10"/>
        <v>0.99193095678429155</v>
      </c>
      <c r="M163">
        <f t="shared" si="11"/>
        <v>0.96393933259278541</v>
      </c>
      <c r="N163">
        <f t="shared" si="12"/>
        <v>0.87614945137704392</v>
      </c>
    </row>
    <row r="164" spans="1:14" x14ac:dyDescent="0.2">
      <c r="A164">
        <f t="shared" si="5"/>
        <v>64</v>
      </c>
      <c r="B164">
        <f t="shared" si="6"/>
        <v>3.84</v>
      </c>
      <c r="C164">
        <f t="shared" si="7"/>
        <v>1.230343103664211E-4</v>
      </c>
      <c r="D164">
        <f t="shared" ref="D164:D200" si="18">TDIST(B164,$C$12,2)</f>
        <v>6.1615408734969401E-2</v>
      </c>
      <c r="E164">
        <f t="shared" ref="E164:E200" si="19">TDIST(B164,$C$13,2)</f>
        <v>3.11494672401103E-2</v>
      </c>
      <c r="F164">
        <f t="shared" ref="F164:F200" si="20">TDIST(B164,$C$14,2)</f>
        <v>1.8459541199295215E-2</v>
      </c>
      <c r="G164">
        <f t="shared" ref="G164:G200" si="21">TDIST(B164,$C$15,2)</f>
        <v>3.9665282794355836E-3</v>
      </c>
      <c r="H164">
        <f t="shared" ref="H164:H200" si="22">TDIST(B164,$C$16,2)</f>
        <v>1.1041974198154412E-3</v>
      </c>
      <c r="J164">
        <f t="shared" si="8"/>
        <v>0.99800318925261644</v>
      </c>
      <c r="K164">
        <f t="shared" si="9"/>
        <v>0.99605019535589379</v>
      </c>
      <c r="L164">
        <f t="shared" si="10"/>
        <v>0.99333492045993432</v>
      </c>
      <c r="M164">
        <f t="shared" si="11"/>
        <v>0.96898186482010207</v>
      </c>
      <c r="N164">
        <f t="shared" si="12"/>
        <v>0.88857580342201359</v>
      </c>
    </row>
    <row r="165" spans="1:14" x14ac:dyDescent="0.2">
      <c r="A165">
        <f t="shared" ref="A165:A200" si="23">ROW(A165)-100</f>
        <v>65</v>
      </c>
      <c r="B165">
        <f t="shared" ref="B165:B200" si="24">axisrange(A165,$C$96,$C$97,$C$98)</f>
        <v>3.9</v>
      </c>
      <c r="C165">
        <f t="shared" ref="C165:C200" si="25">2*(1-NORMDIST(B165,0,1,1))</f>
        <v>9.619268803517933E-5</v>
      </c>
      <c r="D165">
        <f t="shared" si="18"/>
        <v>5.9899742016304325E-2</v>
      </c>
      <c r="E165">
        <f t="shared" si="19"/>
        <v>2.9920977290540961E-2</v>
      </c>
      <c r="F165">
        <f t="shared" si="20"/>
        <v>1.7541468700772923E-2</v>
      </c>
      <c r="G165">
        <f t="shared" si="21"/>
        <v>3.6194112640736383E-3</v>
      </c>
      <c r="H165">
        <f t="shared" si="22"/>
        <v>9.6280976644904813E-4</v>
      </c>
      <c r="J165">
        <f t="shared" ref="J165:J200" si="26">(D165-$C165)/(D165)</f>
        <v>0.99839410513639615</v>
      </c>
      <c r="K165">
        <f t="shared" ref="K165:K200" si="27">(E165-$C165)/(E165)</f>
        <v>0.99678510875159188</v>
      </c>
      <c r="L165">
        <f t="shared" ref="L165:L200" si="28">(F165-$C165)/(F165)</f>
        <v>0.99451626943695193</v>
      </c>
      <c r="M165">
        <f t="shared" ref="M165:M200" si="29">(G165-$C165)/(G165)</f>
        <v>0.9734231119325979</v>
      </c>
      <c r="N165">
        <f t="shared" ref="N165:N200" si="30">(H165-$C165)/(H165)</f>
        <v>0.90009169891374396</v>
      </c>
    </row>
    <row r="166" spans="1:14" x14ac:dyDescent="0.2">
      <c r="A166">
        <f t="shared" si="23"/>
        <v>66</v>
      </c>
      <c r="B166">
        <f t="shared" si="24"/>
        <v>3.96</v>
      </c>
      <c r="C166">
        <f t="shared" si="25"/>
        <v>7.49497633820706E-5</v>
      </c>
      <c r="D166">
        <f t="shared" si="18"/>
        <v>5.8252653612149263E-2</v>
      </c>
      <c r="E166">
        <f t="shared" si="19"/>
        <v>2.8754040072877456E-2</v>
      </c>
      <c r="F166">
        <f t="shared" si="20"/>
        <v>1.6677646042705569E-2</v>
      </c>
      <c r="G166">
        <f t="shared" si="21"/>
        <v>3.3042748001146085E-3</v>
      </c>
      <c r="H166">
        <f t="shared" si="22"/>
        <v>8.3949885294578534E-4</v>
      </c>
      <c r="J166">
        <f t="shared" si="26"/>
        <v>0.99871336739642635</v>
      </c>
      <c r="K166">
        <f t="shared" si="27"/>
        <v>0.99739341799649339</v>
      </c>
      <c r="L166">
        <f t="shared" si="28"/>
        <v>0.99550597469270241</v>
      </c>
      <c r="M166">
        <f t="shared" si="29"/>
        <v>0.97731733347980898</v>
      </c>
      <c r="N166">
        <f t="shared" si="30"/>
        <v>0.9107208269325523</v>
      </c>
    </row>
    <row r="167" spans="1:14" x14ac:dyDescent="0.2">
      <c r="A167">
        <f t="shared" si="23"/>
        <v>67</v>
      </c>
      <c r="B167">
        <f t="shared" si="24"/>
        <v>4.0199999999999996</v>
      </c>
      <c r="C167">
        <f t="shared" si="25"/>
        <v>5.8198141423826399E-5</v>
      </c>
      <c r="D167">
        <f t="shared" si="18"/>
        <v>5.6670647560073117E-2</v>
      </c>
      <c r="E167">
        <f t="shared" si="19"/>
        <v>2.7644987442955401E-2</v>
      </c>
      <c r="F167">
        <f t="shared" si="20"/>
        <v>1.5864424583299421E-2</v>
      </c>
      <c r="G167">
        <f t="shared" si="21"/>
        <v>3.0180614172397244E-3</v>
      </c>
      <c r="H167">
        <f t="shared" si="22"/>
        <v>7.3197678482886711E-4</v>
      </c>
      <c r="J167">
        <f t="shared" si="26"/>
        <v>0.99897304611947246</v>
      </c>
      <c r="K167">
        <f t="shared" si="27"/>
        <v>0.99789480311597478</v>
      </c>
      <c r="L167">
        <f t="shared" si="28"/>
        <v>0.9963315315271446</v>
      </c>
      <c r="M167">
        <f t="shared" si="29"/>
        <v>0.98071671401669036</v>
      </c>
      <c r="N167">
        <f t="shared" si="30"/>
        <v>0.92049182073795843</v>
      </c>
    </row>
    <row r="168" spans="1:14" x14ac:dyDescent="0.2">
      <c r="A168">
        <f t="shared" si="23"/>
        <v>68</v>
      </c>
      <c r="B168">
        <f t="shared" si="24"/>
        <v>4.08</v>
      </c>
      <c r="C168">
        <f t="shared" si="25"/>
        <v>4.5035700777074084E-5</v>
      </c>
      <c r="D168">
        <f t="shared" si="18"/>
        <v>5.5150440603435213E-2</v>
      </c>
      <c r="E168">
        <f t="shared" si="19"/>
        <v>2.6590400091639741E-2</v>
      </c>
      <c r="F168">
        <f t="shared" si="20"/>
        <v>1.5098426109913757E-2</v>
      </c>
      <c r="G168">
        <f t="shared" si="21"/>
        <v>2.7580123250580194E-3</v>
      </c>
      <c r="H168">
        <f t="shared" si="22"/>
        <v>6.3823904150228682E-4</v>
      </c>
      <c r="J168">
        <f t="shared" si="26"/>
        <v>0.99918340270205808</v>
      </c>
      <c r="K168">
        <f t="shared" si="27"/>
        <v>0.99830631729414132</v>
      </c>
      <c r="L168">
        <f t="shared" si="28"/>
        <v>0.99701719235838082</v>
      </c>
      <c r="M168">
        <f t="shared" si="29"/>
        <v>0.98367095738916732</v>
      </c>
      <c r="N168">
        <f t="shared" si="30"/>
        <v>0.92943756516199783</v>
      </c>
    </row>
    <row r="169" spans="1:14" x14ac:dyDescent="0.2">
      <c r="A169">
        <f t="shared" si="23"/>
        <v>69</v>
      </c>
      <c r="B169">
        <f t="shared" si="24"/>
        <v>4.1399999999999997</v>
      </c>
      <c r="C169">
        <f t="shared" si="25"/>
        <v>3.4730582147313172E-5</v>
      </c>
      <c r="D169">
        <f t="shared" si="18"/>
        <v>5.368894741381347E-2</v>
      </c>
      <c r="E169">
        <f t="shared" si="19"/>
        <v>2.5587088966950014E-2</v>
      </c>
      <c r="F169">
        <f t="shared" si="20"/>
        <v>1.4376521357657823E-2</v>
      </c>
      <c r="G169">
        <f t="shared" si="21"/>
        <v>2.5216381564089553E-3</v>
      </c>
      <c r="H169">
        <f t="shared" si="22"/>
        <v>5.5653070863055881E-4</v>
      </c>
      <c r="J169">
        <f t="shared" si="26"/>
        <v>0.99935311486217782</v>
      </c>
      <c r="K169">
        <f t="shared" si="27"/>
        <v>0.99864265207377934</v>
      </c>
      <c r="L169">
        <f t="shared" si="28"/>
        <v>0.99758421517394302</v>
      </c>
      <c r="M169">
        <f t="shared" si="29"/>
        <v>0.98622697627768585</v>
      </c>
      <c r="N169">
        <f t="shared" si="30"/>
        <v>0.93759449099803704</v>
      </c>
    </row>
    <row r="170" spans="1:14" x14ac:dyDescent="0.2">
      <c r="A170">
        <f t="shared" si="23"/>
        <v>70</v>
      </c>
      <c r="B170">
        <f t="shared" si="24"/>
        <v>4.2</v>
      </c>
      <c r="C170">
        <f t="shared" si="25"/>
        <v>2.6691498031805594E-5</v>
      </c>
      <c r="D170">
        <f t="shared" si="18"/>
        <v>5.2283266946299145E-2</v>
      </c>
      <c r="E170">
        <f t="shared" si="19"/>
        <v>2.463207817693925E-2</v>
      </c>
      <c r="F170">
        <f t="shared" si="20"/>
        <v>1.3695810305096454E-2</v>
      </c>
      <c r="G170">
        <f t="shared" si="21"/>
        <v>2.3066925065402385E-3</v>
      </c>
      <c r="H170">
        <f t="shared" si="22"/>
        <v>4.8531647208679469E-4</v>
      </c>
      <c r="J170">
        <f t="shared" si="26"/>
        <v>0.99948948297245421</v>
      </c>
      <c r="K170">
        <f t="shared" si="27"/>
        <v>0.9989163927688085</v>
      </c>
      <c r="L170">
        <f t="shared" si="28"/>
        <v>0.9980511194710493</v>
      </c>
      <c r="M170">
        <f t="shared" si="29"/>
        <v>0.98842867094069697</v>
      </c>
      <c r="N170">
        <f t="shared" si="30"/>
        <v>0.94500187080600051</v>
      </c>
    </row>
    <row r="171" spans="1:14" x14ac:dyDescent="0.2">
      <c r="A171">
        <f t="shared" si="23"/>
        <v>71</v>
      </c>
      <c r="B171">
        <f t="shared" si="24"/>
        <v>4.26</v>
      </c>
      <c r="C171">
        <f t="shared" si="25"/>
        <v>2.0442690368049909E-5</v>
      </c>
      <c r="D171">
        <f t="shared" si="18"/>
        <v>5.0930669834777953E-2</v>
      </c>
      <c r="E171">
        <f t="shared" si="19"/>
        <v>2.3722589251535645E-2</v>
      </c>
      <c r="F171">
        <f t="shared" si="20"/>
        <v>1.3053604099560773E-2</v>
      </c>
      <c r="G171">
        <f t="shared" si="21"/>
        <v>2.1111480201959501E-3</v>
      </c>
      <c r="H171">
        <f t="shared" si="22"/>
        <v>4.2325400434665354E-4</v>
      </c>
      <c r="J171">
        <f t="shared" si="26"/>
        <v>0.99959861728827903</v>
      </c>
      <c r="K171">
        <f t="shared" si="27"/>
        <v>0.99913826057723754</v>
      </c>
      <c r="L171">
        <f t="shared" si="28"/>
        <v>0.99843394282436237</v>
      </c>
      <c r="M171">
        <f t="shared" si="29"/>
        <v>0.9903167896459707</v>
      </c>
      <c r="N171">
        <f t="shared" si="30"/>
        <v>0.95170112944446728</v>
      </c>
    </row>
    <row r="172" spans="1:14" x14ac:dyDescent="0.2">
      <c r="A172">
        <f t="shared" si="23"/>
        <v>72</v>
      </c>
      <c r="B172">
        <f t="shared" si="24"/>
        <v>4.32</v>
      </c>
      <c r="C172">
        <f t="shared" si="25"/>
        <v>1.5602920076185356E-5</v>
      </c>
      <c r="D172">
        <f t="shared" si="18"/>
        <v>4.9628586742172659E-2</v>
      </c>
      <c r="E172">
        <f t="shared" si="19"/>
        <v>2.2856026651379636E-2</v>
      </c>
      <c r="F172">
        <f t="shared" si="20"/>
        <v>1.2447408476049757E-2</v>
      </c>
      <c r="G172">
        <f t="shared" si="21"/>
        <v>1.933174796589777E-3</v>
      </c>
      <c r="H172">
        <f t="shared" si="22"/>
        <v>3.6917040090766741E-4</v>
      </c>
      <c r="J172">
        <f t="shared" si="26"/>
        <v>0.9996856061979511</v>
      </c>
      <c r="K172">
        <f t="shared" si="27"/>
        <v>0.99931733890959373</v>
      </c>
      <c r="L172">
        <f t="shared" si="28"/>
        <v>0.99874649248426228</v>
      </c>
      <c r="M172">
        <f t="shared" si="29"/>
        <v>0.99192886225099264</v>
      </c>
      <c r="N172">
        <f t="shared" si="30"/>
        <v>0.95773518126636659</v>
      </c>
    </row>
    <row r="173" spans="1:14" x14ac:dyDescent="0.2">
      <c r="A173">
        <f t="shared" si="23"/>
        <v>73</v>
      </c>
      <c r="B173">
        <f t="shared" si="24"/>
        <v>4.38</v>
      </c>
      <c r="C173">
        <f t="shared" si="25"/>
        <v>1.1867930891140688E-5</v>
      </c>
      <c r="D173">
        <f t="shared" si="18"/>
        <v>4.8374597587834654E-2</v>
      </c>
      <c r="E173">
        <f t="shared" si="19"/>
        <v>2.2029964420823393E-2</v>
      </c>
      <c r="F173">
        <f t="shared" si="20"/>
        <v>1.1874908544507144E-2</v>
      </c>
      <c r="G173">
        <f t="shared" si="21"/>
        <v>1.7711208997131954E-3</v>
      </c>
      <c r="H173">
        <f t="shared" si="22"/>
        <v>3.2204135102263247E-4</v>
      </c>
      <c r="J173">
        <f t="shared" si="26"/>
        <v>0.99975466605443919</v>
      </c>
      <c r="K173">
        <f t="shared" si="27"/>
        <v>0.99946128233961551</v>
      </c>
      <c r="L173">
        <f t="shared" si="28"/>
        <v>0.99900058759638777</v>
      </c>
      <c r="M173">
        <f t="shared" si="29"/>
        <v>0.99329919776054676</v>
      </c>
      <c r="N173">
        <f t="shared" si="30"/>
        <v>0.96314780430073832</v>
      </c>
    </row>
    <row r="174" spans="1:14" x14ac:dyDescent="0.2">
      <c r="A174">
        <f t="shared" si="23"/>
        <v>74</v>
      </c>
      <c r="B174">
        <f t="shared" si="24"/>
        <v>4.4400000000000004</v>
      </c>
      <c r="C174">
        <f t="shared" si="25"/>
        <v>8.9958877771412205E-6</v>
      </c>
      <c r="D174">
        <f t="shared" si="18"/>
        <v>4.7166421580875098E-2</v>
      </c>
      <c r="E174">
        <f t="shared" si="19"/>
        <v>2.1242133890719973E-2</v>
      </c>
      <c r="F174">
        <f t="shared" si="20"/>
        <v>1.1333954830358848E-2</v>
      </c>
      <c r="G174">
        <f t="shared" si="21"/>
        <v>1.6234947782506591E-3</v>
      </c>
      <c r="H174">
        <f t="shared" si="22"/>
        <v>2.8097275324220141E-4</v>
      </c>
      <c r="J174">
        <f t="shared" si="26"/>
        <v>0.99980927347304238</v>
      </c>
      <c r="K174">
        <f t="shared" si="27"/>
        <v>0.9995765073403915</v>
      </c>
      <c r="L174">
        <f t="shared" si="28"/>
        <v>0.99920628872165207</v>
      </c>
      <c r="M174">
        <f t="shared" si="29"/>
        <v>0.99445893642674077</v>
      </c>
      <c r="N174">
        <f t="shared" si="30"/>
        <v>0.96798306001797019</v>
      </c>
    </row>
    <row r="175" spans="1:14" x14ac:dyDescent="0.2">
      <c r="A175">
        <f t="shared" si="23"/>
        <v>75</v>
      </c>
      <c r="B175">
        <f t="shared" si="24"/>
        <v>4.5</v>
      </c>
      <c r="C175">
        <f t="shared" si="25"/>
        <v>6.7953462494774186E-6</v>
      </c>
      <c r="D175">
        <f t="shared" si="18"/>
        <v>4.6001907994276017E-2</v>
      </c>
      <c r="E175">
        <f t="shared" si="19"/>
        <v>2.049041234445341E-2</v>
      </c>
      <c r="F175">
        <f t="shared" si="20"/>
        <v>1.0822550462608249E-2</v>
      </c>
      <c r="G175">
        <f t="shared" si="21"/>
        <v>1.4889494154117315E-3</v>
      </c>
      <c r="H175">
        <f t="shared" si="22"/>
        <v>2.451845115841995E-4</v>
      </c>
      <c r="J175">
        <f t="shared" si="26"/>
        <v>0.99985228120863323</v>
      </c>
      <c r="K175">
        <f t="shared" si="27"/>
        <v>0.99966836459241304</v>
      </c>
      <c r="L175">
        <f t="shared" si="28"/>
        <v>0.99937211230634082</v>
      </c>
      <c r="M175">
        <f t="shared" si="29"/>
        <v>0.99543614700463257</v>
      </c>
      <c r="N175">
        <f t="shared" si="30"/>
        <v>0.97228476543819609</v>
      </c>
    </row>
    <row r="176" spans="1:14" x14ac:dyDescent="0.2">
      <c r="A176">
        <f t="shared" si="23"/>
        <v>76</v>
      </c>
      <c r="B176">
        <f t="shared" si="24"/>
        <v>4.5599999999999996</v>
      </c>
      <c r="C176">
        <f t="shared" si="25"/>
        <v>5.1153620788113585E-6</v>
      </c>
      <c r="D176">
        <f t="shared" si="18"/>
        <v>4.4879027620152244E-2</v>
      </c>
      <c r="E176">
        <f t="shared" si="19"/>
        <v>1.9772812567875168E-2</v>
      </c>
      <c r="F176">
        <f t="shared" si="20"/>
        <v>1.0338839412527508E-2</v>
      </c>
      <c r="G176">
        <f t="shared" si="21"/>
        <v>1.3662680441572338E-3</v>
      </c>
      <c r="H176">
        <f t="shared" si="22"/>
        <v>2.1399627231037899E-4</v>
      </c>
      <c r="J176">
        <f t="shared" si="26"/>
        <v>0.99988601887451511</v>
      </c>
      <c r="K176">
        <f t="shared" si="27"/>
        <v>0.99974129314879956</v>
      </c>
      <c r="L176">
        <f t="shared" si="28"/>
        <v>0.99950522859726276</v>
      </c>
      <c r="M176">
        <f t="shared" si="29"/>
        <v>0.99625596009458983</v>
      </c>
      <c r="N176">
        <f t="shared" si="30"/>
        <v>0.97609602249803651</v>
      </c>
    </row>
    <row r="177" spans="1:14" x14ac:dyDescent="0.2">
      <c r="A177">
        <f t="shared" si="23"/>
        <v>77</v>
      </c>
      <c r="B177">
        <f t="shared" si="24"/>
        <v>4.62</v>
      </c>
      <c r="C177">
        <f t="shared" si="25"/>
        <v>3.837400439854477E-6</v>
      </c>
      <c r="D177">
        <f t="shared" si="18"/>
        <v>4.3795864851592974E-2</v>
      </c>
      <c r="E177">
        <f t="shared" si="19"/>
        <v>1.9087473210458308E-2</v>
      </c>
      <c r="F177">
        <f t="shared" si="20"/>
        <v>9.8810956940776334E-3</v>
      </c>
      <c r="G177">
        <f t="shared" si="21"/>
        <v>1.2543512775434434E-3</v>
      </c>
      <c r="H177">
        <f t="shared" si="22"/>
        <v>1.8681488410873589E-4</v>
      </c>
      <c r="J177">
        <f t="shared" si="26"/>
        <v>0.99991237984561199</v>
      </c>
      <c r="K177">
        <f t="shared" si="27"/>
        <v>0.99979895712766464</v>
      </c>
      <c r="L177">
        <f t="shared" si="28"/>
        <v>0.99961164221472376</v>
      </c>
      <c r="M177">
        <f t="shared" si="29"/>
        <v>0.99694072903774633</v>
      </c>
      <c r="N177">
        <f t="shared" si="30"/>
        <v>0.9794588078023756</v>
      </c>
    </row>
    <row r="178" spans="1:14" x14ac:dyDescent="0.2">
      <c r="A178">
        <f t="shared" si="23"/>
        <v>78</v>
      </c>
      <c r="B178">
        <f t="shared" si="24"/>
        <v>4.68</v>
      </c>
      <c r="C178">
        <f t="shared" si="25"/>
        <v>2.8687491688828004E-6</v>
      </c>
      <c r="D178">
        <f t="shared" si="18"/>
        <v>4.2750610341131687E-2</v>
      </c>
      <c r="E178">
        <f t="shared" si="19"/>
        <v>1.843264989108865E-2</v>
      </c>
      <c r="F178">
        <f t="shared" si="20"/>
        <v>9.4477134446677123E-3</v>
      </c>
      <c r="G178">
        <f t="shared" si="21"/>
        <v>1.1522055172132281E-3</v>
      </c>
      <c r="H178">
        <f t="shared" si="22"/>
        <v>1.6312338583505739E-4</v>
      </c>
      <c r="J178">
        <f t="shared" si="26"/>
        <v>0.99993289571433031</v>
      </c>
      <c r="K178">
        <f t="shared" si="27"/>
        <v>0.99984436588413317</v>
      </c>
      <c r="L178">
        <f t="shared" si="28"/>
        <v>0.99969635518840783</v>
      </c>
      <c r="M178">
        <f t="shared" si="29"/>
        <v>0.99751021052579125</v>
      </c>
      <c r="N178">
        <f t="shared" si="30"/>
        <v>0.98241362417658773</v>
      </c>
    </row>
    <row r="179" spans="1:14" x14ac:dyDescent="0.2">
      <c r="A179">
        <f t="shared" si="23"/>
        <v>79</v>
      </c>
      <c r="B179">
        <f t="shared" si="24"/>
        <v>4.74</v>
      </c>
      <c r="C179">
        <f t="shared" si="25"/>
        <v>2.1371821889992759E-6</v>
      </c>
      <c r="D179">
        <f t="shared" si="18"/>
        <v>4.1741554190113328E-2</v>
      </c>
      <c r="E179">
        <f t="shared" si="19"/>
        <v>1.7806706987523055E-2</v>
      </c>
      <c r="F179">
        <f t="shared" si="20"/>
        <v>9.0371978117574654E-3</v>
      </c>
      <c r="G179">
        <f t="shared" si="21"/>
        <v>1.0589325154262725E-3</v>
      </c>
      <c r="H179">
        <f t="shared" si="22"/>
        <v>1.4247134580246386E-4</v>
      </c>
      <c r="J179">
        <f t="shared" si="26"/>
        <v>0.99994879964988215</v>
      </c>
      <c r="K179">
        <f t="shared" si="27"/>
        <v>0.99987997880851875</v>
      </c>
      <c r="L179">
        <f t="shared" si="28"/>
        <v>0.99976351273552755</v>
      </c>
      <c r="M179">
        <f t="shared" si="29"/>
        <v>0.99798175789498833</v>
      </c>
      <c r="N179">
        <f t="shared" si="30"/>
        <v>0.98499921386323908</v>
      </c>
    </row>
    <row r="180" spans="1:14" x14ac:dyDescent="0.2">
      <c r="A180">
        <f t="shared" si="23"/>
        <v>80</v>
      </c>
      <c r="B180">
        <f t="shared" si="24"/>
        <v>4.8</v>
      </c>
      <c r="C180">
        <f t="shared" si="25"/>
        <v>1.586656303897982E-6</v>
      </c>
      <c r="D180">
        <f t="shared" si="18"/>
        <v>4.0767079627082148E-2</v>
      </c>
      <c r="E180">
        <f t="shared" si="19"/>
        <v>1.7208110053690766E-2</v>
      </c>
      <c r="F180">
        <f t="shared" si="20"/>
        <v>8.6481565771506629E-3</v>
      </c>
      <c r="G180">
        <f t="shared" si="21"/>
        <v>9.7371997745943203E-4</v>
      </c>
      <c r="H180">
        <f t="shared" si="22"/>
        <v>1.244663949080159E-4</v>
      </c>
      <c r="J180">
        <f t="shared" si="26"/>
        <v>0.99996107996161576</v>
      </c>
      <c r="K180">
        <f t="shared" si="27"/>
        <v>0.99990779601600943</v>
      </c>
      <c r="L180">
        <f t="shared" si="28"/>
        <v>0.9998165324263335</v>
      </c>
      <c r="M180">
        <f t="shared" si="29"/>
        <v>0.99837052094993695</v>
      </c>
      <c r="N180">
        <f t="shared" si="30"/>
        <v>0.98725233180353167</v>
      </c>
    </row>
    <row r="181" spans="1:14" x14ac:dyDescent="0.2">
      <c r="A181">
        <f t="shared" si="23"/>
        <v>81</v>
      </c>
      <c r="B181">
        <f t="shared" si="24"/>
        <v>4.8600000000000003</v>
      </c>
      <c r="C181">
        <f t="shared" si="25"/>
        <v>1.1738575289577113E-6</v>
      </c>
      <c r="D181">
        <f t="shared" si="18"/>
        <v>3.9825657136830353E-2</v>
      </c>
      <c r="E181">
        <f t="shared" si="19"/>
        <v>1.6635418813729236E-2</v>
      </c>
      <c r="F181">
        <f t="shared" si="20"/>
        <v>8.2792924566555542E-3</v>
      </c>
      <c r="G181">
        <f t="shared" si="21"/>
        <v>8.9583310175145683E-4</v>
      </c>
      <c r="H181">
        <f t="shared" si="22"/>
        <v>1.0876681267098142E-4</v>
      </c>
      <c r="J181">
        <f t="shared" si="26"/>
        <v>0.99997052509328532</v>
      </c>
      <c r="K181">
        <f t="shared" si="27"/>
        <v>0.99992943625032216</v>
      </c>
      <c r="L181">
        <f t="shared" si="28"/>
        <v>0.99985821765143545</v>
      </c>
      <c r="M181">
        <f t="shared" si="29"/>
        <v>0.99868964707079622</v>
      </c>
      <c r="N181">
        <f t="shared" si="30"/>
        <v>0.98920757628056433</v>
      </c>
    </row>
    <row r="182" spans="1:14" x14ac:dyDescent="0.2">
      <c r="A182">
        <f t="shared" si="23"/>
        <v>82</v>
      </c>
      <c r="B182">
        <f t="shared" si="24"/>
        <v>4.92</v>
      </c>
      <c r="C182">
        <f t="shared" si="25"/>
        <v>8.6544212374306539E-7</v>
      </c>
      <c r="D182">
        <f t="shared" si="18"/>
        <v>3.8915839004960928E-2</v>
      </c>
      <c r="E182">
        <f t="shared" si="19"/>
        <v>1.6087280685965908E-2</v>
      </c>
      <c r="F182">
        <f t="shared" si="20"/>
        <v>7.9293960181365634E-3</v>
      </c>
      <c r="G182">
        <f t="shared" si="21"/>
        <v>8.2460696485250559E-4</v>
      </c>
      <c r="H182">
        <f t="shared" si="22"/>
        <v>9.5075040573658047E-5</v>
      </c>
      <c r="J182">
        <f t="shared" si="26"/>
        <v>0.99997776118552573</v>
      </c>
      <c r="K182">
        <f t="shared" si="27"/>
        <v>0.99994620333040507</v>
      </c>
      <c r="L182">
        <f t="shared" si="28"/>
        <v>0.99989085648872078</v>
      </c>
      <c r="M182">
        <f t="shared" si="29"/>
        <v>0.99895047924571212</v>
      </c>
      <c r="N182">
        <f t="shared" si="30"/>
        <v>0.99089727315895726</v>
      </c>
    </row>
    <row r="183" spans="1:14" x14ac:dyDescent="0.2">
      <c r="A183">
        <f t="shared" si="23"/>
        <v>83</v>
      </c>
      <c r="B183">
        <f t="shared" si="24"/>
        <v>4.9800000000000004</v>
      </c>
      <c r="C183">
        <f t="shared" si="25"/>
        <v>6.3584273246597434E-7</v>
      </c>
      <c r="D183">
        <f t="shared" si="18"/>
        <v>3.803625424574858E-2</v>
      </c>
      <c r="E183">
        <f t="shared" si="19"/>
        <v>1.5562424794009277E-2</v>
      </c>
      <c r="F183">
        <f t="shared" si="20"/>
        <v>7.5973391658827926E-3</v>
      </c>
      <c r="G183">
        <f t="shared" si="21"/>
        <v>7.5943966711098331E-4</v>
      </c>
      <c r="H183">
        <f t="shared" si="22"/>
        <v>8.3132011006553256E-5</v>
      </c>
      <c r="J183">
        <f t="shared" si="26"/>
        <v>0.99998328324528596</v>
      </c>
      <c r="K183">
        <f t="shared" si="27"/>
        <v>0.99995914243822015</v>
      </c>
      <c r="L183">
        <f t="shared" si="28"/>
        <v>0.99991630718089808</v>
      </c>
      <c r="M183">
        <f t="shared" si="29"/>
        <v>0.99916274753610801</v>
      </c>
      <c r="N183">
        <f t="shared" si="30"/>
        <v>0.99235140922531218</v>
      </c>
    </row>
    <row r="184" spans="1:14" x14ac:dyDescent="0.2">
      <c r="A184">
        <f t="shared" si="23"/>
        <v>84</v>
      </c>
      <c r="B184">
        <f t="shared" si="24"/>
        <v>5.04</v>
      </c>
      <c r="C184">
        <f t="shared" si="25"/>
        <v>4.6553184618325361E-7</v>
      </c>
      <c r="D184">
        <f t="shared" si="18"/>
        <v>3.7185603883760361E-2</v>
      </c>
      <c r="E184">
        <f t="shared" si="19"/>
        <v>1.5059656425729186E-2</v>
      </c>
      <c r="F184">
        <f t="shared" si="20"/>
        <v>7.2820691437075905E-3</v>
      </c>
      <c r="G184">
        <f t="shared" si="21"/>
        <v>6.9978616313646146E-4</v>
      </c>
      <c r="H184">
        <f t="shared" si="22"/>
        <v>7.2712192701792705E-5</v>
      </c>
      <c r="J184">
        <f t="shared" si="26"/>
        <v>0.99998748085824718</v>
      </c>
      <c r="K184">
        <f t="shared" si="27"/>
        <v>0.99996908748559576</v>
      </c>
      <c r="L184">
        <f t="shared" si="28"/>
        <v>0.99993607148778785</v>
      </c>
      <c r="M184">
        <f t="shared" si="29"/>
        <v>0.99933475128445415</v>
      </c>
      <c r="N184">
        <f t="shared" si="30"/>
        <v>0.99359760957708299</v>
      </c>
    </row>
    <row r="185" spans="1:14" x14ac:dyDescent="0.2">
      <c r="A185">
        <f t="shared" si="23"/>
        <v>85</v>
      </c>
      <c r="B185">
        <f t="shared" si="24"/>
        <v>5.0999999999999996</v>
      </c>
      <c r="C185">
        <f t="shared" si="25"/>
        <v>3.396534813404628E-7</v>
      </c>
      <c r="D185">
        <f t="shared" si="18"/>
        <v>3.6362656562140223E-2</v>
      </c>
      <c r="E185">
        <f t="shared" si="19"/>
        <v>1.4577851904212008E-2</v>
      </c>
      <c r="F185">
        <f t="shared" si="20"/>
        <v>6.9826030132990454E-3</v>
      </c>
      <c r="G185">
        <f t="shared" si="21"/>
        <v>6.4515270846649128E-4</v>
      </c>
      <c r="H185">
        <f t="shared" si="22"/>
        <v>6.3619264876069444E-5</v>
      </c>
      <c r="J185">
        <f t="shared" si="26"/>
        <v>0.99999065927758168</v>
      </c>
      <c r="K185">
        <f t="shared" si="27"/>
        <v>0.99997670071807754</v>
      </c>
      <c r="L185">
        <f t="shared" si="28"/>
        <v>0.99995135718288819</v>
      </c>
      <c r="M185">
        <f t="shared" si="29"/>
        <v>0.99947353010088447</v>
      </c>
      <c r="N185">
        <f t="shared" si="30"/>
        <v>0.9946611536300819</v>
      </c>
    </row>
    <row r="186" spans="1:14" x14ac:dyDescent="0.2">
      <c r="A186">
        <f t="shared" si="23"/>
        <v>86</v>
      </c>
      <c r="B186">
        <f t="shared" si="24"/>
        <v>5.16</v>
      </c>
      <c r="C186">
        <f t="shared" si="25"/>
        <v>2.4694984257500607E-7</v>
      </c>
      <c r="D186">
        <f t="shared" si="18"/>
        <v>3.5566244452693831E-2</v>
      </c>
      <c r="E186">
        <f t="shared" si="19"/>
        <v>1.41159538377997E-2</v>
      </c>
      <c r="F186">
        <f t="shared" si="20"/>
        <v>6.6980225680956362E-3</v>
      </c>
      <c r="G186">
        <f t="shared" si="21"/>
        <v>5.950918605870161E-4</v>
      </c>
      <c r="H186">
        <f t="shared" si="22"/>
        <v>5.5682342485798131E-5</v>
      </c>
      <c r="J186">
        <f t="shared" si="26"/>
        <v>0.99999305662303184</v>
      </c>
      <c r="K186">
        <f t="shared" si="27"/>
        <v>0.99998250562126989</v>
      </c>
      <c r="L186">
        <f t="shared" si="28"/>
        <v>0.99996313093303812</v>
      </c>
      <c r="M186">
        <f t="shared" si="29"/>
        <v>0.99958502231515756</v>
      </c>
      <c r="N186">
        <f t="shared" si="30"/>
        <v>0.99556502417911041</v>
      </c>
    </row>
    <row r="187" spans="1:14" x14ac:dyDescent="0.2">
      <c r="A187">
        <f t="shared" si="23"/>
        <v>87</v>
      </c>
      <c r="B187">
        <f t="shared" si="24"/>
        <v>5.22</v>
      </c>
      <c r="C187">
        <f t="shared" si="25"/>
        <v>1.7892313075584809E-7</v>
      </c>
      <c r="D187">
        <f t="shared" si="18"/>
        <v>3.4795259444947914E-2</v>
      </c>
      <c r="E187">
        <f t="shared" si="19"/>
        <v>1.3672966719083159E-2</v>
      </c>
      <c r="F187">
        <f t="shared" si="20"/>
        <v>6.427469646391246E-3</v>
      </c>
      <c r="G187">
        <f t="shared" si="21"/>
        <v>5.4919797856008005E-4</v>
      </c>
      <c r="H187">
        <f t="shared" si="22"/>
        <v>4.8752684112084544E-5</v>
      </c>
      <c r="J187">
        <f t="shared" si="26"/>
        <v>0.99999485783024444</v>
      </c>
      <c r="K187">
        <f t="shared" si="27"/>
        <v>0.99998691409593599</v>
      </c>
      <c r="L187">
        <f t="shared" si="28"/>
        <v>0.99997216274201217</v>
      </c>
      <c r="M187">
        <f t="shared" si="29"/>
        <v>0.99967421014326208</v>
      </c>
      <c r="N187">
        <f t="shared" si="30"/>
        <v>0.99632998399955797</v>
      </c>
    </row>
    <row r="188" spans="1:14" x14ac:dyDescent="0.2">
      <c r="A188">
        <f t="shared" si="23"/>
        <v>88</v>
      </c>
      <c r="B188">
        <f t="shared" si="24"/>
        <v>5.28</v>
      </c>
      <c r="C188">
        <f t="shared" si="25"/>
        <v>1.2918388647698009E-7</v>
      </c>
      <c r="D188">
        <f t="shared" si="18"/>
        <v>3.4048649593219488E-2</v>
      </c>
      <c r="E188">
        <f t="shared" si="19"/>
        <v>1.3247952845245093E-2</v>
      </c>
      <c r="F188">
        <f t="shared" si="20"/>
        <v>6.170141810506429E-3</v>
      </c>
      <c r="G188">
        <f t="shared" si="21"/>
        <v>5.0710317104635868E-4</v>
      </c>
      <c r="H188">
        <f t="shared" si="22"/>
        <v>4.2700822130472323E-5</v>
      </c>
      <c r="J188">
        <f t="shared" si="26"/>
        <v>0.99999620590278848</v>
      </c>
      <c r="K188">
        <f t="shared" si="27"/>
        <v>0.99999024876613118</v>
      </c>
      <c r="L188">
        <f t="shared" si="28"/>
        <v>0.99997906306038919</v>
      </c>
      <c r="M188">
        <f t="shared" si="29"/>
        <v>0.99974525127458691</v>
      </c>
      <c r="N188">
        <f t="shared" si="30"/>
        <v>0.99697467449028832</v>
      </c>
    </row>
    <row r="189" spans="1:14" x14ac:dyDescent="0.2">
      <c r="A189">
        <f t="shared" si="23"/>
        <v>89</v>
      </c>
      <c r="B189">
        <f t="shared" si="24"/>
        <v>5.34</v>
      </c>
      <c r="C189">
        <f t="shared" si="25"/>
        <v>9.2946581542463491E-8</v>
      </c>
      <c r="D189">
        <f t="shared" si="18"/>
        <v>3.3325415802432735E-2</v>
      </c>
      <c r="E189">
        <f t="shared" si="19"/>
        <v>1.2840028534453596E-2</v>
      </c>
      <c r="F189">
        <f t="shared" si="20"/>
        <v>5.9252883617227151E-3</v>
      </c>
      <c r="G189">
        <f t="shared" si="21"/>
        <v>4.684736475200672E-4</v>
      </c>
      <c r="H189">
        <f t="shared" si="22"/>
        <v>3.7414062066427963E-5</v>
      </c>
      <c r="J189">
        <f t="shared" si="26"/>
        <v>0.99999721094007965</v>
      </c>
      <c r="K189">
        <f t="shared" si="27"/>
        <v>0.99999276118574865</v>
      </c>
      <c r="L189">
        <f t="shared" si="28"/>
        <v>0.99998431357667872</v>
      </c>
      <c r="M189">
        <f t="shared" si="29"/>
        <v>0.99980159699049354</v>
      </c>
      <c r="N189">
        <f t="shared" si="30"/>
        <v>0.99751573134781679</v>
      </c>
    </row>
    <row r="190" spans="1:14" x14ac:dyDescent="0.2">
      <c r="A190">
        <f t="shared" si="23"/>
        <v>90</v>
      </c>
      <c r="B190">
        <f t="shared" si="24"/>
        <v>5.4</v>
      </c>
      <c r="C190">
        <f t="shared" si="25"/>
        <v>6.6640897022907097E-8</v>
      </c>
      <c r="D190">
        <f t="shared" si="18"/>
        <v>3.2624608734974872E-2</v>
      </c>
      <c r="E190">
        <f t="shared" si="19"/>
        <v>1.2448360615115122E-2</v>
      </c>
      <c r="F190">
        <f t="shared" si="20"/>
        <v>5.6922066632864882E-3</v>
      </c>
      <c r="G190">
        <f t="shared" si="21"/>
        <v>4.3300643200357044E-4</v>
      </c>
      <c r="H190">
        <f t="shared" si="22"/>
        <v>3.2794304474662583E-5</v>
      </c>
      <c r="J190">
        <f t="shared" si="26"/>
        <v>0.99999795734264385</v>
      </c>
      <c r="K190">
        <f t="shared" si="27"/>
        <v>0.99999464661258752</v>
      </c>
      <c r="L190">
        <f t="shared" si="28"/>
        <v>0.99998829260760103</v>
      </c>
      <c r="M190">
        <f t="shared" si="29"/>
        <v>0.99984609721219486</v>
      </c>
      <c r="N190">
        <f t="shared" si="30"/>
        <v>0.99796791247472882</v>
      </c>
    </row>
    <row r="191" spans="1:14" x14ac:dyDescent="0.2">
      <c r="A191">
        <f t="shared" si="23"/>
        <v>91</v>
      </c>
      <c r="B191">
        <f t="shared" si="24"/>
        <v>5.46</v>
      </c>
      <c r="C191">
        <f t="shared" si="25"/>
        <v>4.7613458287187882E-8</v>
      </c>
      <c r="D191">
        <f t="shared" si="18"/>
        <v>3.1945325922305347E-2</v>
      </c>
      <c r="E191">
        <f t="shared" si="19"/>
        <v>1.2072163166720426E-2</v>
      </c>
      <c r="F191">
        <f t="shared" si="20"/>
        <v>5.4702387461709251E-3</v>
      </c>
      <c r="G191">
        <f t="shared" si="21"/>
        <v>4.0042640274022534E-4</v>
      </c>
      <c r="H191">
        <f t="shared" si="22"/>
        <v>2.8756148386710014E-5</v>
      </c>
      <c r="J191">
        <f t="shared" si="26"/>
        <v>0.99999850953286862</v>
      </c>
      <c r="K191">
        <f t="shared" si="27"/>
        <v>0.99999605592985863</v>
      </c>
      <c r="L191">
        <f t="shared" si="28"/>
        <v>0.99999129590855229</v>
      </c>
      <c r="M191">
        <f t="shared" si="29"/>
        <v>0.99988109310984152</v>
      </c>
      <c r="N191">
        <f t="shared" si="30"/>
        <v>0.99834423380882287</v>
      </c>
    </row>
    <row r="192" spans="1:14" x14ac:dyDescent="0.2">
      <c r="A192">
        <f t="shared" si="23"/>
        <v>92</v>
      </c>
      <c r="B192">
        <f t="shared" si="24"/>
        <v>5.52</v>
      </c>
      <c r="C192">
        <f t="shared" si="25"/>
        <v>3.3899966167538764E-8</v>
      </c>
      <c r="D192">
        <f t="shared" si="18"/>
        <v>3.1286709066332456E-2</v>
      </c>
      <c r="E192">
        <f t="shared" si="19"/>
        <v>1.1710694492777174E-2</v>
      </c>
      <c r="F192">
        <f t="shared" si="20"/>
        <v>5.2587681744562815E-3</v>
      </c>
      <c r="G192">
        <f t="shared" si="21"/>
        <v>3.7048362491520466E-4</v>
      </c>
      <c r="H192">
        <f t="shared" si="22"/>
        <v>2.5225240419652628E-5</v>
      </c>
      <c r="J192">
        <f t="shared" si="26"/>
        <v>0.99999891647389005</v>
      </c>
      <c r="K192">
        <f t="shared" si="27"/>
        <v>0.999997105213001</v>
      </c>
      <c r="L192">
        <f t="shared" si="28"/>
        <v>0.99999355362985343</v>
      </c>
      <c r="M192">
        <f t="shared" si="29"/>
        <v>0.99990849807147264</v>
      </c>
      <c r="N192">
        <f t="shared" si="30"/>
        <v>0.99865610929356585</v>
      </c>
    </row>
    <row r="193" spans="1:14" x14ac:dyDescent="0.2">
      <c r="A193">
        <f t="shared" si="23"/>
        <v>93</v>
      </c>
      <c r="B193">
        <f t="shared" si="24"/>
        <v>5.58</v>
      </c>
      <c r="C193">
        <f t="shared" si="25"/>
        <v>2.4051858504847701E-8</v>
      </c>
      <c r="D193">
        <f t="shared" si="18"/>
        <v>3.0647941516761479E-2</v>
      </c>
      <c r="E193">
        <f t="shared" si="19"/>
        <v>1.1363254307929744E-2</v>
      </c>
      <c r="F193">
        <f t="shared" si="20"/>
        <v>5.0572171491711391E-3</v>
      </c>
      <c r="G193">
        <f t="shared" si="21"/>
        <v>3.4295094686156286E-4</v>
      </c>
      <c r="H193">
        <f t="shared" si="22"/>
        <v>2.2136838097299825E-5</v>
      </c>
      <c r="J193">
        <f t="shared" si="26"/>
        <v>0.99999921522107804</v>
      </c>
      <c r="K193">
        <f t="shared" si="27"/>
        <v>0.99999788336528839</v>
      </c>
      <c r="L193">
        <f t="shared" si="28"/>
        <v>0.99999524405264884</v>
      </c>
      <c r="M193">
        <f t="shared" si="29"/>
        <v>0.99992986793381111</v>
      </c>
      <c r="N193">
        <f t="shared" si="30"/>
        <v>0.99891349169203247</v>
      </c>
    </row>
    <row r="194" spans="1:14" x14ac:dyDescent="0.2">
      <c r="A194">
        <f t="shared" si="23"/>
        <v>94</v>
      </c>
      <c r="B194">
        <f t="shared" si="24"/>
        <v>5.64</v>
      </c>
      <c r="C194">
        <f t="shared" si="25"/>
        <v>1.7005016506033144E-8</v>
      </c>
      <c r="D194">
        <f t="shared" si="18"/>
        <v>3.0028245911707822E-2</v>
      </c>
      <c r="E194">
        <f t="shared" si="19"/>
        <v>1.1029181122836886E-2</v>
      </c>
      <c r="F194">
        <f t="shared" si="20"/>
        <v>4.8650438312442153E-3</v>
      </c>
      <c r="G194">
        <f t="shared" si="21"/>
        <v>3.1762183318602199E-4</v>
      </c>
      <c r="H194">
        <f t="shared" si="22"/>
        <v>1.9434559865871532E-5</v>
      </c>
      <c r="J194">
        <f t="shared" si="26"/>
        <v>0.99999943369930577</v>
      </c>
      <c r="K194">
        <f t="shared" si="27"/>
        <v>0.99999845817959498</v>
      </c>
      <c r="L194">
        <f t="shared" si="28"/>
        <v>0.99999650465297008</v>
      </c>
      <c r="M194">
        <f t="shared" si="29"/>
        <v>0.99994646143706356</v>
      </c>
      <c r="N194">
        <f t="shared" si="30"/>
        <v>0.99912501149378252</v>
      </c>
    </row>
    <row r="195" spans="1:14" x14ac:dyDescent="0.2">
      <c r="A195">
        <f t="shared" si="23"/>
        <v>95</v>
      </c>
      <c r="B195">
        <f t="shared" si="24"/>
        <v>5.7</v>
      </c>
      <c r="C195">
        <f t="shared" si="25"/>
        <v>1.1980742842254699E-8</v>
      </c>
      <c r="D195">
        <f t="shared" si="18"/>
        <v>2.942688196986569E-2</v>
      </c>
      <c r="E195">
        <f t="shared" si="19"/>
        <v>1.0707849811721036E-2</v>
      </c>
      <c r="F195">
        <f t="shared" si="20"/>
        <v>4.6817398658651329E-3</v>
      </c>
      <c r="G195">
        <f t="shared" si="21"/>
        <v>2.9430841094688369E-4</v>
      </c>
      <c r="H195">
        <f t="shared" si="22"/>
        <v>1.7069297746494905E-5</v>
      </c>
      <c r="J195">
        <f t="shared" si="26"/>
        <v>0.99999959286400597</v>
      </c>
      <c r="K195">
        <f t="shared" si="27"/>
        <v>0.99999888112524427</v>
      </c>
      <c r="L195">
        <f t="shared" si="28"/>
        <v>0.99999744096357646</v>
      </c>
      <c r="M195">
        <f t="shared" si="29"/>
        <v>0.99995929187751142</v>
      </c>
      <c r="N195">
        <f t="shared" si="30"/>
        <v>0.99929811155560189</v>
      </c>
    </row>
    <row r="196" spans="1:14" x14ac:dyDescent="0.2">
      <c r="A196">
        <f t="shared" si="23"/>
        <v>96</v>
      </c>
      <c r="B196">
        <f t="shared" si="24"/>
        <v>5.76</v>
      </c>
      <c r="C196">
        <f t="shared" si="25"/>
        <v>8.4113935816532148E-9</v>
      </c>
      <c r="D196">
        <f t="shared" si="18"/>
        <v>2.8843144423436821E-2</v>
      </c>
      <c r="E196">
        <f t="shared" si="19"/>
        <v>1.0398669348730986E-2</v>
      </c>
      <c r="F196">
        <f t="shared" si="20"/>
        <v>4.5068280920564094E-3</v>
      </c>
      <c r="G196">
        <f t="shared" si="21"/>
        <v>2.7283970744349802E-4</v>
      </c>
      <c r="H196">
        <f t="shared" si="22"/>
        <v>1.4998271608608024E-5</v>
      </c>
      <c r="J196">
        <f t="shared" si="26"/>
        <v>0.99999970837459817</v>
      </c>
      <c r="K196">
        <f t="shared" si="27"/>
        <v>0.9999991911086602</v>
      </c>
      <c r="L196">
        <f t="shared" si="28"/>
        <v>0.99999813363336476</v>
      </c>
      <c r="M196">
        <f t="shared" si="29"/>
        <v>0.9999691709331443</v>
      </c>
      <c r="N196">
        <f t="shared" si="30"/>
        <v>0.99943917580630925</v>
      </c>
    </row>
    <row r="197" spans="1:14" x14ac:dyDescent="0.2">
      <c r="A197">
        <f t="shared" si="23"/>
        <v>97</v>
      </c>
      <c r="B197">
        <f t="shared" si="24"/>
        <v>5.82</v>
      </c>
      <c r="C197">
        <f t="shared" si="25"/>
        <v>5.8847626771552086E-9</v>
      </c>
      <c r="D197">
        <f t="shared" si="18"/>
        <v>2.8276361081860844E-2</v>
      </c>
      <c r="E197">
        <f t="shared" si="19"/>
        <v>1.0101080700383475E-2</v>
      </c>
      <c r="F197">
        <f t="shared" si="20"/>
        <v>4.3398604226301627E-3</v>
      </c>
      <c r="G197">
        <f t="shared" si="21"/>
        <v>2.5306006035891393E-4</v>
      </c>
      <c r="H197">
        <f t="shared" si="22"/>
        <v>1.318420671884018E-5</v>
      </c>
      <c r="J197">
        <f t="shared" si="26"/>
        <v>0.99999979188401722</v>
      </c>
      <c r="K197">
        <f t="shared" si="27"/>
        <v>0.99999941741256682</v>
      </c>
      <c r="L197">
        <f t="shared" si="28"/>
        <v>0.99999864402029004</v>
      </c>
      <c r="M197">
        <f t="shared" si="29"/>
        <v>0.99997674558889771</v>
      </c>
      <c r="N197">
        <f t="shared" si="30"/>
        <v>0.99955365060616452</v>
      </c>
    </row>
    <row r="198" spans="1:14" x14ac:dyDescent="0.2">
      <c r="A198">
        <f t="shared" si="23"/>
        <v>98</v>
      </c>
      <c r="B198">
        <f t="shared" si="24"/>
        <v>5.88</v>
      </c>
      <c r="C198">
        <f t="shared" si="25"/>
        <v>4.1026648744946215E-9</v>
      </c>
      <c r="D198">
        <f t="shared" si="18"/>
        <v>2.7725891017156938E-2</v>
      </c>
      <c r="E198">
        <f t="shared" si="19"/>
        <v>9.814554862376328E-3</v>
      </c>
      <c r="F198">
        <f t="shared" si="20"/>
        <v>4.1804158809549278E-3</v>
      </c>
      <c r="G198">
        <f t="shared" si="21"/>
        <v>2.3482768295853695E-4</v>
      </c>
      <c r="H198">
        <f t="shared" si="22"/>
        <v>1.1594618561646122E-5</v>
      </c>
      <c r="J198">
        <f t="shared" si="26"/>
        <v>0.99999985202766351</v>
      </c>
      <c r="K198">
        <f t="shared" si="27"/>
        <v>0.99999958198156391</v>
      </c>
      <c r="L198">
        <f t="shared" si="28"/>
        <v>0.99999901859886875</v>
      </c>
      <c r="M198">
        <f t="shared" si="29"/>
        <v>0.99998252904077234</v>
      </c>
      <c r="N198">
        <f t="shared" si="30"/>
        <v>0.99964615784014954</v>
      </c>
    </row>
    <row r="199" spans="1:14" x14ac:dyDescent="0.2">
      <c r="A199">
        <f t="shared" si="23"/>
        <v>99</v>
      </c>
      <c r="B199">
        <f t="shared" si="24"/>
        <v>5.94</v>
      </c>
      <c r="C199">
        <f t="shared" si="25"/>
        <v>2.8502207261027479E-9</v>
      </c>
      <c r="D199">
        <f t="shared" si="18"/>
        <v>2.7191122862390456E-2</v>
      </c>
      <c r="E199">
        <f t="shared" si="19"/>
        <v>9.5385910300061719E-3</v>
      </c>
      <c r="F199">
        <f t="shared" si="20"/>
        <v>4.0280987820991874E-3</v>
      </c>
      <c r="G199">
        <f t="shared" si="21"/>
        <v>2.1801336880948016E-4</v>
      </c>
      <c r="H199">
        <f t="shared" si="22"/>
        <v>1.0201190979142866E-5</v>
      </c>
      <c r="J199">
        <f t="shared" si="26"/>
        <v>0.99999989517826315</v>
      </c>
      <c r="K199">
        <f t="shared" si="27"/>
        <v>0.99999970119059334</v>
      </c>
      <c r="L199">
        <f t="shared" si="28"/>
        <v>0.99999929241538499</v>
      </c>
      <c r="M199">
        <f t="shared" si="29"/>
        <v>0.99998692639473596</v>
      </c>
      <c r="N199">
        <f t="shared" si="30"/>
        <v>0.99972059921905876</v>
      </c>
    </row>
    <row r="200" spans="1:14" x14ac:dyDescent="0.2">
      <c r="A200">
        <f t="shared" si="23"/>
        <v>100</v>
      </c>
      <c r="B200">
        <f t="shared" si="24"/>
        <v>6</v>
      </c>
      <c r="C200">
        <f t="shared" si="25"/>
        <v>1.9731754008489588E-9</v>
      </c>
      <c r="D200">
        <f t="shared" si="18"/>
        <v>2.6671473215424769E-2</v>
      </c>
      <c r="E200">
        <f t="shared" si="19"/>
        <v>9.2727148922846659E-3</v>
      </c>
      <c r="F200">
        <f t="shared" si="20"/>
        <v>3.882537046960512E-3</v>
      </c>
      <c r="G200">
        <f t="shared" si="21"/>
        <v>2.0249932206764073E-4</v>
      </c>
      <c r="H200">
        <f t="shared" si="22"/>
        <v>8.9792354724908288E-6</v>
      </c>
      <c r="J200">
        <f t="shared" si="26"/>
        <v>0.99999992601925713</v>
      </c>
      <c r="K200">
        <f t="shared" si="27"/>
        <v>0.99999978720629035</v>
      </c>
      <c r="L200">
        <f t="shared" si="28"/>
        <v>0.99999949178195158</v>
      </c>
      <c r="M200">
        <f t="shared" si="29"/>
        <v>0.99999025589132495</v>
      </c>
      <c r="N200">
        <f t="shared" si="30"/>
        <v>0.99978025129122694</v>
      </c>
    </row>
  </sheetData>
  <mergeCells count="2">
    <mergeCell ref="C39:D39"/>
    <mergeCell ref="C41:D4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eet4.s1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0</xdr:col>
                    <xdr:colOff>752475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2:D24"/>
  <sheetViews>
    <sheetView showGridLines="0" showRowColHeaders="0" zoomScale="75" zoomScaleNormal="75" workbookViewId="0">
      <selection activeCell="B23" sqref="B23"/>
    </sheetView>
  </sheetViews>
  <sheetFormatPr defaultRowHeight="15" x14ac:dyDescent="0.2"/>
  <sheetData>
    <row r="2" spans="2:4" ht="18.75" x14ac:dyDescent="0.3">
      <c r="B2" s="41" t="s">
        <v>96</v>
      </c>
    </row>
    <row r="4" spans="2:4" x14ac:dyDescent="0.2">
      <c r="B4" t="s">
        <v>74</v>
      </c>
    </row>
    <row r="6" spans="2:4" x14ac:dyDescent="0.2">
      <c r="B6" s="1" t="s">
        <v>51</v>
      </c>
      <c r="C6" s="27">
        <v>1.976209858644927</v>
      </c>
    </row>
    <row r="7" spans="2:4" x14ac:dyDescent="0.2">
      <c r="B7" s="1" t="s">
        <v>1</v>
      </c>
      <c r="C7" s="22">
        <v>5</v>
      </c>
    </row>
    <row r="9" spans="2:4" x14ac:dyDescent="0.2">
      <c r="C9" s="57" t="s">
        <v>94</v>
      </c>
      <c r="D9" s="57"/>
    </row>
    <row r="10" spans="2:4" x14ac:dyDescent="0.2">
      <c r="C10" s="23" t="s">
        <v>56</v>
      </c>
      <c r="D10" s="23" t="s">
        <v>55</v>
      </c>
    </row>
    <row r="11" spans="2:4" x14ac:dyDescent="0.2">
      <c r="B11" s="31" t="s">
        <v>20</v>
      </c>
      <c r="C11" s="5">
        <f>pt(ABS(C6),C7-1,2)</f>
        <v>0.11931804688539804</v>
      </c>
      <c r="D11" s="5">
        <f>pt(ABS(C6),C7-1,1)</f>
        <v>5.9659023442699022E-2</v>
      </c>
    </row>
    <row r="12" spans="2:4" x14ac:dyDescent="0.2">
      <c r="B12" s="1" t="s">
        <v>54</v>
      </c>
      <c r="C12" s="5">
        <f>pz(ABS(C6),2)</f>
        <v>4.8131013781061771E-2</v>
      </c>
      <c r="D12" s="5">
        <f>pz(ABS(C6),1)</f>
        <v>2.4065506890530886E-2</v>
      </c>
    </row>
    <row r="16" spans="2:4" x14ac:dyDescent="0.2">
      <c r="B16" t="s">
        <v>75</v>
      </c>
    </row>
    <row r="18" spans="2:4" x14ac:dyDescent="0.2">
      <c r="B18" s="39" t="s">
        <v>94</v>
      </c>
      <c r="C18" s="24">
        <v>0.05</v>
      </c>
    </row>
    <row r="19" spans="2:4" x14ac:dyDescent="0.2">
      <c r="B19" s="1" t="s">
        <v>1</v>
      </c>
      <c r="C19" s="24">
        <v>5</v>
      </c>
    </row>
    <row r="20" spans="2:4" x14ac:dyDescent="0.2">
      <c r="C20" s="23"/>
      <c r="D20" s="23"/>
    </row>
    <row r="21" spans="2:4" x14ac:dyDescent="0.2">
      <c r="C21" s="59" t="s">
        <v>51</v>
      </c>
      <c r="D21" s="59"/>
    </row>
    <row r="22" spans="2:4" x14ac:dyDescent="0.2">
      <c r="C22" s="23" t="s">
        <v>56</v>
      </c>
      <c r="D22" s="23" t="s">
        <v>55</v>
      </c>
    </row>
    <row r="23" spans="2:4" x14ac:dyDescent="0.2">
      <c r="B23" s="31" t="s">
        <v>20</v>
      </c>
      <c r="C23" s="5">
        <f>tp(C18,C19-1,2)</f>
        <v>2.7764451051977934</v>
      </c>
      <c r="D23" s="5">
        <f>tp(C18,C19-1,1)</f>
        <v>2.1318467863266499</v>
      </c>
    </row>
    <row r="24" spans="2:4" x14ac:dyDescent="0.2">
      <c r="B24" s="1" t="s">
        <v>54</v>
      </c>
      <c r="C24" s="5">
        <f>zp(C18,2)</f>
        <v>1.9599639845400536</v>
      </c>
      <c r="D24" s="5">
        <f>zp(C18,1)</f>
        <v>1.6448536269514715</v>
      </c>
    </row>
  </sheetData>
  <mergeCells count="2">
    <mergeCell ref="C9:D9"/>
    <mergeCell ref="C21:D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4.s1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2:J2099"/>
  <sheetViews>
    <sheetView showGridLines="0" showRowColHeaders="0" zoomScale="75" zoomScaleNormal="75" workbookViewId="0">
      <selection activeCell="L46" sqref="L46"/>
    </sheetView>
  </sheetViews>
  <sheetFormatPr defaultRowHeight="15" x14ac:dyDescent="0.2"/>
  <cols>
    <col min="2" max="2" width="11.21875" customWidth="1"/>
    <col min="3" max="3" width="10.6640625" customWidth="1"/>
  </cols>
  <sheetData>
    <row r="2" spans="2:3" ht="18.75" x14ac:dyDescent="0.3">
      <c r="B2" s="36" t="s">
        <v>67</v>
      </c>
    </row>
    <row r="11" spans="2:3" x14ac:dyDescent="0.2">
      <c r="C11" t="s">
        <v>115</v>
      </c>
    </row>
    <row r="12" spans="2:3" x14ac:dyDescent="0.2">
      <c r="B12" s="1" t="s">
        <v>69</v>
      </c>
      <c r="C12" s="7" t="s">
        <v>117</v>
      </c>
    </row>
    <row r="17" spans="2:6" x14ac:dyDescent="0.2">
      <c r="C17" t="s">
        <v>115</v>
      </c>
    </row>
    <row r="18" spans="2:6" x14ac:dyDescent="0.2">
      <c r="B18" s="1" t="s">
        <v>68</v>
      </c>
      <c r="C18" s="7" t="s">
        <v>116</v>
      </c>
    </row>
    <row r="27" spans="2:6" x14ac:dyDescent="0.2">
      <c r="B27" s="1" t="s">
        <v>40</v>
      </c>
      <c r="C27" s="24">
        <v>2000</v>
      </c>
    </row>
    <row r="28" spans="2:6" x14ac:dyDescent="0.2">
      <c r="B28" s="1"/>
      <c r="F28" s="16" t="s">
        <v>45</v>
      </c>
    </row>
    <row r="29" spans="2:6" x14ac:dyDescent="0.2">
      <c r="B29" s="37" t="s">
        <v>23</v>
      </c>
      <c r="C29" s="15">
        <v>0</v>
      </c>
    </row>
    <row r="30" spans="2:6" x14ac:dyDescent="0.2">
      <c r="B30" s="37" t="s">
        <v>24</v>
      </c>
      <c r="C30" s="15">
        <v>1</v>
      </c>
    </row>
    <row r="31" spans="2:6" x14ac:dyDescent="0.2">
      <c r="B31" s="1"/>
    </row>
    <row r="32" spans="2:6" x14ac:dyDescent="0.2">
      <c r="B32" s="1" t="s">
        <v>1</v>
      </c>
      <c r="C32" s="31" t="s">
        <v>12</v>
      </c>
      <c r="D32" s="24">
        <v>5</v>
      </c>
    </row>
    <row r="34" spans="2:4" x14ac:dyDescent="0.2">
      <c r="B34" s="1" t="s">
        <v>92</v>
      </c>
    </row>
    <row r="45" spans="2:4" x14ac:dyDescent="0.2">
      <c r="B45" s="33"/>
      <c r="C45" s="33"/>
      <c r="D45" s="33"/>
    </row>
    <row r="46" spans="2:4" x14ac:dyDescent="0.2">
      <c r="B46" s="15"/>
      <c r="C46" s="20"/>
      <c r="D46" s="20"/>
    </row>
    <row r="51" spans="3:4" x14ac:dyDescent="0.2">
      <c r="C51" s="5"/>
      <c r="D51" s="5"/>
    </row>
    <row r="95" spans="5:8" x14ac:dyDescent="0.2">
      <c r="E95" t="s">
        <v>12</v>
      </c>
      <c r="F95">
        <v>50</v>
      </c>
      <c r="G95" t="s">
        <v>19</v>
      </c>
      <c r="H95">
        <f>D32-1</f>
        <v>4</v>
      </c>
    </row>
    <row r="96" spans="5:8" x14ac:dyDescent="0.2">
      <c r="E96" t="s">
        <v>17</v>
      </c>
      <c r="F96">
        <v>-4</v>
      </c>
      <c r="G96" t="s">
        <v>37</v>
      </c>
      <c r="H96">
        <f>(F97-F96)/F95</f>
        <v>0.16</v>
      </c>
    </row>
    <row r="97" spans="1:10" x14ac:dyDescent="0.2">
      <c r="E97" t="s">
        <v>18</v>
      </c>
      <c r="F97">
        <v>4</v>
      </c>
    </row>
    <row r="98" spans="1:10" x14ac:dyDescent="0.2">
      <c r="A98" t="s">
        <v>33</v>
      </c>
      <c r="E98" t="s">
        <v>9</v>
      </c>
      <c r="G98" t="s">
        <v>36</v>
      </c>
      <c r="H98" t="s">
        <v>38</v>
      </c>
      <c r="I98" t="s">
        <v>35</v>
      </c>
      <c r="J98" t="s">
        <v>39</v>
      </c>
    </row>
    <row r="99" spans="1:10" x14ac:dyDescent="0.2">
      <c r="A99" t="s">
        <v>34</v>
      </c>
      <c r="B99" t="s">
        <v>5</v>
      </c>
      <c r="C99" t="s">
        <v>20</v>
      </c>
    </row>
    <row r="100" spans="1:10" x14ac:dyDescent="0.2">
      <c r="A100">
        <v>0.63105664253234861</v>
      </c>
      <c r="B100">
        <v>0.6952548275258098</v>
      </c>
      <c r="C100">
        <v>0.90766236716122917</v>
      </c>
      <c r="E100">
        <f>ROW(E100)-100</f>
        <v>0</v>
      </c>
      <c r="F100">
        <f t="shared" ref="F100:F131" si="0">$F$96+($F$97-$F$96)*E100/$F$95</f>
        <v>-4</v>
      </c>
      <c r="G100">
        <f t="shared" ref="G100:G131" si="1">COUNTIFS(samplet,"&gt;="&amp;(F100-$H$96/2),samplet,"&lt;"&amp;(F100+$H$96/2))</f>
        <v>4</v>
      </c>
      <c r="H100">
        <f t="shared" ref="H100:H131" si="2">G100/$C$27/$H$96</f>
        <v>1.2500000000000001E-2</v>
      </c>
      <c r="I100">
        <f t="shared" ref="I100:I131" si="3">tpdf(F100,$H$95)</f>
        <v>6.7082039324993705E-3</v>
      </c>
      <c r="J100">
        <f>NORMDIST(F100,0,1,0)</f>
        <v>1.3383022576488537E-4</v>
      </c>
    </row>
    <row r="101" spans="1:10" x14ac:dyDescent="0.2">
      <c r="A101">
        <v>-0.13629016876220704</v>
      </c>
      <c r="B101">
        <v>0.5936774994400682</v>
      </c>
      <c r="C101">
        <v>-0.22956936870733727</v>
      </c>
      <c r="E101">
        <f t="shared" ref="E101:E150" si="4">ROW(E101)-100</f>
        <v>1</v>
      </c>
      <c r="F101">
        <f t="shared" si="0"/>
        <v>-3.84</v>
      </c>
      <c r="G101">
        <f t="shared" si="1"/>
        <v>4</v>
      </c>
      <c r="H101">
        <f t="shared" si="2"/>
        <v>1.2500000000000001E-2</v>
      </c>
      <c r="I101">
        <f t="shared" si="3"/>
        <v>7.8873821251491377E-3</v>
      </c>
      <c r="J101">
        <f t="shared" ref="J101:J150" si="5">NORMDIST(F101,0,1,0)</f>
        <v>2.5057844489086075E-4</v>
      </c>
    </row>
    <row r="102" spans="1:10" x14ac:dyDescent="0.2">
      <c r="A102">
        <v>0.70757092833518986</v>
      </c>
      <c r="B102">
        <v>0.14926994544443628</v>
      </c>
      <c r="C102">
        <v>4.7402102695788386</v>
      </c>
      <c r="E102">
        <f t="shared" si="4"/>
        <v>2</v>
      </c>
      <c r="F102">
        <f t="shared" si="0"/>
        <v>-3.68</v>
      </c>
      <c r="G102">
        <f t="shared" si="1"/>
        <v>4</v>
      </c>
      <c r="H102">
        <f t="shared" si="2"/>
        <v>1.2500000000000001E-2</v>
      </c>
      <c r="I102">
        <f t="shared" si="3"/>
        <v>9.3101938200690591E-3</v>
      </c>
      <c r="J102">
        <f t="shared" si="5"/>
        <v>4.5731481405985675E-4</v>
      </c>
    </row>
    <row r="103" spans="1:10" x14ac:dyDescent="0.2">
      <c r="A103">
        <v>-0.31435043662786483</v>
      </c>
      <c r="B103">
        <v>0.3240267198526478</v>
      </c>
      <c r="C103">
        <v>-0.97013739104854291</v>
      </c>
      <c r="E103">
        <f t="shared" si="4"/>
        <v>3</v>
      </c>
      <c r="F103">
        <f t="shared" si="0"/>
        <v>-3.52</v>
      </c>
      <c r="G103">
        <f t="shared" si="1"/>
        <v>4</v>
      </c>
      <c r="H103">
        <f t="shared" si="2"/>
        <v>1.2500000000000001E-2</v>
      </c>
      <c r="I103">
        <f t="shared" si="3"/>
        <v>1.1033349233456015E-2</v>
      </c>
      <c r="J103">
        <f t="shared" si="5"/>
        <v>8.1352123108180841E-4</v>
      </c>
    </row>
    <row r="104" spans="1:10" x14ac:dyDescent="0.2">
      <c r="A104">
        <v>0.31460570394992826</v>
      </c>
      <c r="B104">
        <v>0.43818243629096515</v>
      </c>
      <c r="C104">
        <v>0.71797880949527937</v>
      </c>
      <c r="E104">
        <f t="shared" si="4"/>
        <v>4</v>
      </c>
      <c r="F104">
        <f t="shared" si="0"/>
        <v>-3.36</v>
      </c>
      <c r="G104">
        <f t="shared" si="1"/>
        <v>1</v>
      </c>
      <c r="H104">
        <f t="shared" si="2"/>
        <v>3.1250000000000002E-3</v>
      </c>
      <c r="I104">
        <f t="shared" si="3"/>
        <v>1.3127769319555822E-2</v>
      </c>
      <c r="J104">
        <f t="shared" si="5"/>
        <v>1.4106022569413848E-3</v>
      </c>
    </row>
    <row r="105" spans="1:10" x14ac:dyDescent="0.2">
      <c r="A105">
        <v>-0.40990366004407408</v>
      </c>
      <c r="B105">
        <v>0.23209380853478837</v>
      </c>
      <c r="C105">
        <v>-1.7661119985569711</v>
      </c>
      <c r="E105">
        <f t="shared" si="4"/>
        <v>5</v>
      </c>
      <c r="F105">
        <f t="shared" si="0"/>
        <v>-3.2</v>
      </c>
      <c r="G105">
        <f t="shared" si="1"/>
        <v>5</v>
      </c>
      <c r="H105">
        <f t="shared" si="2"/>
        <v>1.5625E-2</v>
      </c>
      <c r="I105">
        <f t="shared" si="3"/>
        <v>1.5682174165287877E-2</v>
      </c>
      <c r="J105">
        <f t="shared" si="5"/>
        <v>2.3840882014648404E-3</v>
      </c>
    </row>
    <row r="106" spans="1:10" x14ac:dyDescent="0.2">
      <c r="A106">
        <v>-0.38998158574104308</v>
      </c>
      <c r="B106">
        <v>0.56105421092767072</v>
      </c>
      <c r="C106">
        <v>-0.69508717365516437</v>
      </c>
      <c r="E106">
        <f t="shared" si="4"/>
        <v>6</v>
      </c>
      <c r="F106">
        <f t="shared" si="0"/>
        <v>-3.04</v>
      </c>
      <c r="G106">
        <f t="shared" si="1"/>
        <v>7</v>
      </c>
      <c r="H106">
        <f t="shared" si="2"/>
        <v>2.1874999999999999E-2</v>
      </c>
      <c r="I106">
        <f t="shared" si="3"/>
        <v>1.8807457297531662E-2</v>
      </c>
      <c r="J106">
        <f t="shared" si="5"/>
        <v>3.9275536289247789E-3</v>
      </c>
    </row>
    <row r="107" spans="1:10" x14ac:dyDescent="0.2">
      <c r="A107">
        <v>0.32246999889612199</v>
      </c>
      <c r="B107">
        <v>0.42104178991249108</v>
      </c>
      <c r="C107">
        <v>0.76588596814378884</v>
      </c>
      <c r="E107">
        <f t="shared" si="4"/>
        <v>7</v>
      </c>
      <c r="F107">
        <f t="shared" si="0"/>
        <v>-2.88</v>
      </c>
      <c r="G107">
        <f t="shared" si="1"/>
        <v>8</v>
      </c>
      <c r="H107">
        <f t="shared" si="2"/>
        <v>2.5000000000000001E-2</v>
      </c>
      <c r="I107">
        <f t="shared" si="3"/>
        <v>2.2641901614703371E-2</v>
      </c>
      <c r="J107">
        <f t="shared" si="5"/>
        <v>6.3067263962659275E-3</v>
      </c>
    </row>
    <row r="108" spans="1:10" x14ac:dyDescent="0.2">
      <c r="A108">
        <v>-0.20144622400403023</v>
      </c>
      <c r="B108">
        <v>0.17821127276615692</v>
      </c>
      <c r="C108">
        <v>-1.1303786841159114</v>
      </c>
      <c r="E108">
        <f t="shared" si="4"/>
        <v>8</v>
      </c>
      <c r="F108">
        <f t="shared" si="0"/>
        <v>-2.7199999999999998</v>
      </c>
      <c r="G108">
        <f t="shared" si="1"/>
        <v>8</v>
      </c>
      <c r="H108">
        <f t="shared" si="2"/>
        <v>2.5000000000000001E-2</v>
      </c>
      <c r="I108">
        <f t="shared" si="3"/>
        <v>2.735719162189186E-2</v>
      </c>
      <c r="J108">
        <f t="shared" si="5"/>
        <v>9.8711537947511439E-3</v>
      </c>
    </row>
    <row r="109" spans="1:10" x14ac:dyDescent="0.2">
      <c r="A109">
        <v>0.33512755632400515</v>
      </c>
      <c r="B109">
        <v>0.69664736213074974</v>
      </c>
      <c r="C109">
        <v>0.48105766926180793</v>
      </c>
      <c r="E109">
        <f t="shared" si="4"/>
        <v>9</v>
      </c>
      <c r="F109">
        <f t="shared" si="0"/>
        <v>-2.56</v>
      </c>
      <c r="G109">
        <f t="shared" si="1"/>
        <v>7</v>
      </c>
      <c r="H109">
        <f t="shared" si="2"/>
        <v>2.1874999999999999E-2</v>
      </c>
      <c r="I109">
        <f t="shared" si="3"/>
        <v>3.3164974825615458E-2</v>
      </c>
      <c r="J109">
        <f t="shared" si="5"/>
        <v>1.5059616327377449E-2</v>
      </c>
    </row>
    <row r="110" spans="1:10" x14ac:dyDescent="0.2">
      <c r="A110">
        <v>-0.11343447715044022</v>
      </c>
      <c r="B110">
        <v>0.30299743408728613</v>
      </c>
      <c r="C110">
        <v>-0.37437438205421414</v>
      </c>
      <c r="E110">
        <f t="shared" si="4"/>
        <v>10</v>
      </c>
      <c r="F110">
        <f t="shared" si="0"/>
        <v>-2.4</v>
      </c>
      <c r="G110">
        <f t="shared" si="1"/>
        <v>14</v>
      </c>
      <c r="H110">
        <f t="shared" si="2"/>
        <v>4.3749999999999997E-2</v>
      </c>
      <c r="I110">
        <f t="shared" si="3"/>
        <v>4.0323358954948263E-2</v>
      </c>
      <c r="J110">
        <f t="shared" si="5"/>
        <v>2.2394530294842899E-2</v>
      </c>
    </row>
    <row r="111" spans="1:10" x14ac:dyDescent="0.2">
      <c r="A111">
        <v>-0.59568027257919309</v>
      </c>
      <c r="B111">
        <v>0.47338371503887999</v>
      </c>
      <c r="C111">
        <v>-1.2583455105342367</v>
      </c>
      <c r="E111">
        <f t="shared" si="4"/>
        <v>11</v>
      </c>
      <c r="F111">
        <f t="shared" si="0"/>
        <v>-2.2400000000000002</v>
      </c>
      <c r="G111">
        <f t="shared" si="1"/>
        <v>8</v>
      </c>
      <c r="H111">
        <f t="shared" si="2"/>
        <v>2.5000000000000001E-2</v>
      </c>
      <c r="I111">
        <f t="shared" si="3"/>
        <v>4.914211323603631E-2</v>
      </c>
      <c r="J111">
        <f t="shared" si="5"/>
        <v>3.2460265643697445E-2</v>
      </c>
    </row>
    <row r="112" spans="1:10" x14ac:dyDescent="0.2">
      <c r="A112">
        <v>-1.0082170426845551</v>
      </c>
      <c r="B112">
        <v>0.3773028612780272</v>
      </c>
      <c r="C112">
        <v>-2.6721690879031512</v>
      </c>
      <c r="E112">
        <f t="shared" si="4"/>
        <v>12</v>
      </c>
      <c r="F112">
        <f t="shared" si="0"/>
        <v>-2.08</v>
      </c>
      <c r="G112">
        <f t="shared" si="1"/>
        <v>22</v>
      </c>
      <c r="H112">
        <f t="shared" si="2"/>
        <v>6.8749999999999992E-2</v>
      </c>
      <c r="I112">
        <f t="shared" si="3"/>
        <v>5.9984365545804962E-2</v>
      </c>
      <c r="J112">
        <f t="shared" si="5"/>
        <v>4.5861076271054887E-2</v>
      </c>
    </row>
    <row r="113" spans="1:10" x14ac:dyDescent="0.2">
      <c r="A113">
        <v>-3.3050090074539184E-3</v>
      </c>
      <c r="B113">
        <v>0.49568818132165837</v>
      </c>
      <c r="C113">
        <v>-6.6675162571795434E-3</v>
      </c>
      <c r="E113">
        <f t="shared" si="4"/>
        <v>13</v>
      </c>
      <c r="F113">
        <f t="shared" si="0"/>
        <v>-1.92</v>
      </c>
      <c r="G113">
        <f t="shared" si="1"/>
        <v>26</v>
      </c>
      <c r="H113">
        <f t="shared" si="2"/>
        <v>8.1249999999999989E-2</v>
      </c>
      <c r="I113">
        <f t="shared" si="3"/>
        <v>7.3261160283543431E-2</v>
      </c>
      <c r="J113">
        <f t="shared" si="5"/>
        <v>6.3156561435198655E-2</v>
      </c>
    </row>
    <row r="114" spans="1:10" x14ac:dyDescent="0.2">
      <c r="A114">
        <v>-9.0331244468688968E-2</v>
      </c>
      <c r="B114">
        <v>0.49708524263413612</v>
      </c>
      <c r="C114">
        <v>-0.18172183907534431</v>
      </c>
      <c r="E114">
        <f t="shared" si="4"/>
        <v>14</v>
      </c>
      <c r="F114">
        <f t="shared" si="0"/>
        <v>-1.7599999999999998</v>
      </c>
      <c r="G114">
        <f t="shared" si="1"/>
        <v>34</v>
      </c>
      <c r="H114">
        <f t="shared" si="2"/>
        <v>0.10625000000000001</v>
      </c>
      <c r="I114">
        <f t="shared" si="3"/>
        <v>8.941336627729167E-2</v>
      </c>
      <c r="J114">
        <f t="shared" si="5"/>
        <v>8.4776361308022255E-2</v>
      </c>
    </row>
    <row r="115" spans="1:10" x14ac:dyDescent="0.2">
      <c r="A115">
        <v>0.15166443176567554</v>
      </c>
      <c r="B115">
        <v>0.36678648792101276</v>
      </c>
      <c r="C115">
        <v>0.41349514434222118</v>
      </c>
      <c r="E115">
        <f t="shared" si="4"/>
        <v>15</v>
      </c>
      <c r="F115">
        <f t="shared" si="0"/>
        <v>-1.6</v>
      </c>
      <c r="G115">
        <f t="shared" si="1"/>
        <v>43</v>
      </c>
      <c r="H115">
        <f t="shared" si="2"/>
        <v>0.13437499999999999</v>
      </c>
      <c r="I115">
        <f t="shared" si="3"/>
        <v>0.1088733653856099</v>
      </c>
      <c r="J115">
        <f t="shared" si="5"/>
        <v>0.11092083467945554</v>
      </c>
    </row>
    <row r="116" spans="1:10" x14ac:dyDescent="0.2">
      <c r="A116">
        <v>-0.19861633777618409</v>
      </c>
      <c r="B116">
        <v>0.35185888954483363</v>
      </c>
      <c r="C116">
        <v>-0.56447724834553747</v>
      </c>
      <c r="E116">
        <f t="shared" si="4"/>
        <v>16</v>
      </c>
      <c r="F116">
        <f t="shared" si="0"/>
        <v>-1.44</v>
      </c>
      <c r="G116">
        <f t="shared" si="1"/>
        <v>49</v>
      </c>
      <c r="H116">
        <f t="shared" si="2"/>
        <v>0.15312500000000001</v>
      </c>
      <c r="I116">
        <f t="shared" si="3"/>
        <v>0.13199752254167912</v>
      </c>
      <c r="J116">
        <f t="shared" si="5"/>
        <v>0.14145996522483878</v>
      </c>
    </row>
    <row r="117" spans="1:10" x14ac:dyDescent="0.2">
      <c r="A117">
        <v>-0.29200818613171575</v>
      </c>
      <c r="B117">
        <v>0.33083569939213642</v>
      </c>
      <c r="C117">
        <v>-0.88263807886585188</v>
      </c>
      <c r="E117">
        <f t="shared" si="4"/>
        <v>17</v>
      </c>
      <c r="F117">
        <f t="shared" si="0"/>
        <v>-1.2799999999999998</v>
      </c>
      <c r="G117">
        <f t="shared" si="1"/>
        <v>61</v>
      </c>
      <c r="H117">
        <f t="shared" si="2"/>
        <v>0.19062499999999999</v>
      </c>
      <c r="I117">
        <f t="shared" si="3"/>
        <v>0.1589613491353935</v>
      </c>
      <c r="J117">
        <f t="shared" si="5"/>
        <v>0.17584743029766242</v>
      </c>
    </row>
    <row r="118" spans="1:10" x14ac:dyDescent="0.2">
      <c r="A118">
        <v>-0.2091342568397522</v>
      </c>
      <c r="B118">
        <v>0.55190212020003282</v>
      </c>
      <c r="C118">
        <v>-0.37893359924754966</v>
      </c>
      <c r="E118">
        <f t="shared" si="4"/>
        <v>18</v>
      </c>
      <c r="F118">
        <f t="shared" si="0"/>
        <v>-1.1200000000000001</v>
      </c>
      <c r="G118">
        <f t="shared" si="1"/>
        <v>75</v>
      </c>
      <c r="H118">
        <f t="shared" si="2"/>
        <v>0.234375</v>
      </c>
      <c r="I118">
        <f t="shared" si="3"/>
        <v>0.18961531780727697</v>
      </c>
      <c r="J118">
        <f t="shared" si="5"/>
        <v>0.21306914677571784</v>
      </c>
    </row>
    <row r="119" spans="1:10" x14ac:dyDescent="0.2">
      <c r="A119">
        <v>-0.19879550710320473</v>
      </c>
      <c r="B119">
        <v>0.26999195784757346</v>
      </c>
      <c r="C119">
        <v>-0.73630158723259687</v>
      </c>
      <c r="E119">
        <f t="shared" si="4"/>
        <v>19</v>
      </c>
      <c r="F119">
        <f t="shared" si="0"/>
        <v>-0.96</v>
      </c>
      <c r="G119">
        <f t="shared" si="1"/>
        <v>76</v>
      </c>
      <c r="H119">
        <f t="shared" si="2"/>
        <v>0.23749999999999999</v>
      </c>
      <c r="I119">
        <f t="shared" si="3"/>
        <v>0.22331374849090349</v>
      </c>
      <c r="J119">
        <f t="shared" si="5"/>
        <v>0.25164434109811712</v>
      </c>
    </row>
    <row r="120" spans="1:10" x14ac:dyDescent="0.2">
      <c r="A120">
        <v>-7.9215899109840393E-2</v>
      </c>
      <c r="B120">
        <v>0.26625001378389074</v>
      </c>
      <c r="C120">
        <v>-0.29752448829594497</v>
      </c>
      <c r="E120">
        <f t="shared" si="4"/>
        <v>20</v>
      </c>
      <c r="F120">
        <f t="shared" si="0"/>
        <v>-0.79999999999999982</v>
      </c>
      <c r="G120">
        <f t="shared" si="1"/>
        <v>71</v>
      </c>
      <c r="H120">
        <f t="shared" si="2"/>
        <v>0.22187499999999999</v>
      </c>
      <c r="I120">
        <f t="shared" si="3"/>
        <v>0.25875353677316615</v>
      </c>
      <c r="J120">
        <f t="shared" si="5"/>
        <v>0.28969155276148278</v>
      </c>
    </row>
    <row r="121" spans="1:10" x14ac:dyDescent="0.2">
      <c r="A121">
        <v>0.48685212172567843</v>
      </c>
      <c r="B121">
        <v>0.40567760277319148</v>
      </c>
      <c r="C121">
        <v>1.200096131503396</v>
      </c>
      <c r="E121">
        <f t="shared" si="4"/>
        <v>21</v>
      </c>
      <c r="F121">
        <f t="shared" si="0"/>
        <v>-0.64000000000000012</v>
      </c>
      <c r="G121">
        <f t="shared" si="1"/>
        <v>102</v>
      </c>
      <c r="H121">
        <f t="shared" si="2"/>
        <v>0.31874999999999998</v>
      </c>
      <c r="I121">
        <f t="shared" si="3"/>
        <v>0.29388894937742593</v>
      </c>
      <c r="J121">
        <f t="shared" si="5"/>
        <v>0.32506226408408212</v>
      </c>
    </row>
    <row r="122" spans="1:10" x14ac:dyDescent="0.2">
      <c r="A122">
        <v>0.35343889594078065</v>
      </c>
      <c r="B122">
        <v>0.45520234508387852</v>
      </c>
      <c r="C122">
        <v>0.77644348663373808</v>
      </c>
      <c r="E122">
        <f t="shared" si="4"/>
        <v>22</v>
      </c>
      <c r="F122">
        <f t="shared" si="0"/>
        <v>-0.48</v>
      </c>
      <c r="G122">
        <f t="shared" si="1"/>
        <v>99</v>
      </c>
      <c r="H122">
        <f t="shared" si="2"/>
        <v>0.30937500000000001</v>
      </c>
      <c r="I122">
        <f t="shared" si="3"/>
        <v>0.32600755328435199</v>
      </c>
      <c r="J122">
        <f t="shared" si="5"/>
        <v>0.35553252850599709</v>
      </c>
    </row>
    <row r="123" spans="1:10" x14ac:dyDescent="0.2">
      <c r="A123">
        <v>-0.23437773883342744</v>
      </c>
      <c r="B123">
        <v>0.2052768795966822</v>
      </c>
      <c r="C123">
        <v>-1.1417639399718136</v>
      </c>
      <c r="E123">
        <f t="shared" si="4"/>
        <v>23</v>
      </c>
      <c r="F123">
        <f t="shared" si="0"/>
        <v>-0.31999999999999984</v>
      </c>
      <c r="G123">
        <f t="shared" si="1"/>
        <v>125</v>
      </c>
      <c r="H123">
        <f t="shared" si="2"/>
        <v>0.390625</v>
      </c>
      <c r="I123">
        <f t="shared" si="3"/>
        <v>0.35203531878067773</v>
      </c>
      <c r="J123">
        <f t="shared" si="5"/>
        <v>0.37903052615270172</v>
      </c>
    </row>
    <row r="124" spans="1:10" x14ac:dyDescent="0.2">
      <c r="A124">
        <v>-9.714974313974381E-2</v>
      </c>
      <c r="B124">
        <v>0.38702357074495275</v>
      </c>
      <c r="C124">
        <v>-0.25101763944957545</v>
      </c>
      <c r="E124">
        <f t="shared" si="4"/>
        <v>24</v>
      </c>
      <c r="F124">
        <f t="shared" si="0"/>
        <v>-0.16000000000000014</v>
      </c>
      <c r="G124">
        <f t="shared" si="1"/>
        <v>110</v>
      </c>
      <c r="H124">
        <f t="shared" si="2"/>
        <v>0.34375</v>
      </c>
      <c r="I124">
        <f t="shared" si="3"/>
        <v>0.36906656051019793</v>
      </c>
      <c r="J124">
        <f t="shared" si="5"/>
        <v>0.39386836156854083</v>
      </c>
    </row>
    <row r="125" spans="1:10" x14ac:dyDescent="0.2">
      <c r="A125">
        <v>0.61625396013259892</v>
      </c>
      <c r="B125">
        <v>0.35692764078483796</v>
      </c>
      <c r="C125">
        <v>1.7265515183344606</v>
      </c>
      <c r="E125">
        <f t="shared" si="4"/>
        <v>25</v>
      </c>
      <c r="F125">
        <f t="shared" si="0"/>
        <v>0</v>
      </c>
      <c r="G125">
        <f t="shared" si="1"/>
        <v>112</v>
      </c>
      <c r="H125">
        <f t="shared" si="2"/>
        <v>0.35</v>
      </c>
      <c r="I125">
        <f t="shared" si="3"/>
        <v>0.37500000000000006</v>
      </c>
      <c r="J125">
        <f t="shared" si="5"/>
        <v>0.3989422804014327</v>
      </c>
    </row>
    <row r="126" spans="1:10" x14ac:dyDescent="0.2">
      <c r="A126">
        <v>-3.9610677957534791E-2</v>
      </c>
      <c r="B126">
        <v>0.32102672478929484</v>
      </c>
      <c r="C126">
        <v>-0.12338747804729706</v>
      </c>
      <c r="E126">
        <f t="shared" si="4"/>
        <v>26</v>
      </c>
      <c r="F126">
        <f t="shared" si="0"/>
        <v>0.16000000000000014</v>
      </c>
      <c r="G126">
        <f t="shared" si="1"/>
        <v>112</v>
      </c>
      <c r="H126">
        <f t="shared" si="2"/>
        <v>0.35</v>
      </c>
      <c r="I126">
        <f t="shared" si="3"/>
        <v>0.36906656051019793</v>
      </c>
      <c r="J126">
        <f t="shared" si="5"/>
        <v>0.39386836156854083</v>
      </c>
    </row>
    <row r="127" spans="1:10" x14ac:dyDescent="0.2">
      <c r="A127">
        <v>3.2323855161666873E-2</v>
      </c>
      <c r="B127">
        <v>0.55209844421895327</v>
      </c>
      <c r="C127">
        <v>5.8547267249403366E-2</v>
      </c>
      <c r="E127">
        <f t="shared" si="4"/>
        <v>27</v>
      </c>
      <c r="F127">
        <f t="shared" si="0"/>
        <v>0.32000000000000028</v>
      </c>
      <c r="G127">
        <f t="shared" si="1"/>
        <v>106</v>
      </c>
      <c r="H127">
        <f t="shared" si="2"/>
        <v>0.33124999999999999</v>
      </c>
      <c r="I127">
        <f t="shared" si="3"/>
        <v>0.35203531878067773</v>
      </c>
      <c r="J127">
        <f t="shared" si="5"/>
        <v>0.37903052615270166</v>
      </c>
    </row>
    <row r="128" spans="1:10" x14ac:dyDescent="0.2">
      <c r="A128">
        <v>0.14367200061678886</v>
      </c>
      <c r="B128">
        <v>0.63425493141996081</v>
      </c>
      <c r="C128">
        <v>0.22652090429180907</v>
      </c>
      <c r="E128">
        <f t="shared" si="4"/>
        <v>28</v>
      </c>
      <c r="F128">
        <f t="shared" si="0"/>
        <v>0.48000000000000043</v>
      </c>
      <c r="G128">
        <f t="shared" si="1"/>
        <v>92</v>
      </c>
      <c r="H128">
        <f t="shared" si="2"/>
        <v>0.28749999999999998</v>
      </c>
      <c r="I128">
        <f t="shared" si="3"/>
        <v>0.32600755328435199</v>
      </c>
      <c r="J128">
        <f t="shared" si="5"/>
        <v>0.35553252850599704</v>
      </c>
    </row>
    <row r="129" spans="1:10" x14ac:dyDescent="0.2">
      <c r="A129">
        <v>-0.6456421375274658</v>
      </c>
      <c r="B129">
        <v>0.51264280845448507</v>
      </c>
      <c r="C129">
        <v>-1.2594385932652541</v>
      </c>
      <c r="E129">
        <f t="shared" si="4"/>
        <v>29</v>
      </c>
      <c r="F129">
        <f t="shared" si="0"/>
        <v>0.63999999999999968</v>
      </c>
      <c r="G129">
        <f t="shared" si="1"/>
        <v>96</v>
      </c>
      <c r="H129">
        <f t="shared" si="2"/>
        <v>0.3</v>
      </c>
      <c r="I129">
        <f t="shared" si="3"/>
        <v>0.29388894937742605</v>
      </c>
      <c r="J129">
        <f t="shared" si="5"/>
        <v>0.32506226408408218</v>
      </c>
    </row>
    <row r="130" spans="1:10" x14ac:dyDescent="0.2">
      <c r="A130">
        <v>-0.33875114917755128</v>
      </c>
      <c r="B130">
        <v>0.26200577686186416</v>
      </c>
      <c r="C130">
        <v>-1.2929148098751622</v>
      </c>
      <c r="E130">
        <f t="shared" si="4"/>
        <v>30</v>
      </c>
      <c r="F130">
        <f t="shared" si="0"/>
        <v>0.79999999999999982</v>
      </c>
      <c r="G130">
        <f t="shared" si="1"/>
        <v>73</v>
      </c>
      <c r="H130">
        <f t="shared" si="2"/>
        <v>0.22812499999999999</v>
      </c>
      <c r="I130">
        <f t="shared" si="3"/>
        <v>0.25875353677316615</v>
      </c>
      <c r="J130">
        <f t="shared" si="5"/>
        <v>0.28969155276148278</v>
      </c>
    </row>
    <row r="131" spans="1:10" x14ac:dyDescent="0.2">
      <c r="A131">
        <v>0.78414447009563448</v>
      </c>
      <c r="B131">
        <v>0.55108515772361288</v>
      </c>
      <c r="C131">
        <v>1.4229097973437137</v>
      </c>
      <c r="E131">
        <f t="shared" si="4"/>
        <v>31</v>
      </c>
      <c r="F131">
        <f t="shared" si="0"/>
        <v>0.96</v>
      </c>
      <c r="G131">
        <f t="shared" si="1"/>
        <v>85</v>
      </c>
      <c r="H131">
        <f t="shared" si="2"/>
        <v>0.265625</v>
      </c>
      <c r="I131">
        <f t="shared" si="3"/>
        <v>0.22331374849090349</v>
      </c>
      <c r="J131">
        <f t="shared" si="5"/>
        <v>0.25164434109811712</v>
      </c>
    </row>
    <row r="132" spans="1:10" x14ac:dyDescent="0.2">
      <c r="A132">
        <v>0.24622278809547424</v>
      </c>
      <c r="B132">
        <v>0.64729619339716182</v>
      </c>
      <c r="C132">
        <v>0.38038658439073997</v>
      </c>
      <c r="E132">
        <f t="shared" si="4"/>
        <v>32</v>
      </c>
      <c r="F132">
        <f t="shared" ref="F132:F150" si="6">$F$96+($F$97-$F$96)*E132/$F$95</f>
        <v>1.1200000000000001</v>
      </c>
      <c r="G132">
        <f t="shared" ref="G132:G150" si="7">COUNTIFS(samplet,"&gt;="&amp;(F132-$H$96/2),samplet,"&lt;"&amp;(F132+$H$96/2))</f>
        <v>47</v>
      </c>
      <c r="H132">
        <f t="shared" ref="H132:H150" si="8">G132/$C$27/$H$96</f>
        <v>0.14687500000000001</v>
      </c>
      <c r="I132">
        <f t="shared" ref="I132:I150" si="9">tpdf(F132,$H$95)</f>
        <v>0.18961531780727697</v>
      </c>
      <c r="J132">
        <f t="shared" si="5"/>
        <v>0.21306914677571784</v>
      </c>
    </row>
    <row r="133" spans="1:10" x14ac:dyDescent="0.2">
      <c r="A133">
        <v>0.12526293098926544</v>
      </c>
      <c r="B133">
        <v>0.34993103282139254</v>
      </c>
      <c r="C133">
        <v>0.35796462514143634</v>
      </c>
      <c r="E133">
        <f t="shared" si="4"/>
        <v>33</v>
      </c>
      <c r="F133">
        <f t="shared" si="6"/>
        <v>1.2800000000000002</v>
      </c>
      <c r="G133">
        <f t="shared" si="7"/>
        <v>53</v>
      </c>
      <c r="H133">
        <f t="shared" si="8"/>
        <v>0.16562499999999999</v>
      </c>
      <c r="I133">
        <f t="shared" si="9"/>
        <v>0.15896134913539336</v>
      </c>
      <c r="J133">
        <f t="shared" si="5"/>
        <v>0.17584743029766231</v>
      </c>
    </row>
    <row r="134" spans="1:10" x14ac:dyDescent="0.2">
      <c r="A134">
        <v>0.35177471935749055</v>
      </c>
      <c r="B134">
        <v>0.37598048549001567</v>
      </c>
      <c r="C134">
        <v>0.93561962105299767</v>
      </c>
      <c r="E134">
        <f t="shared" si="4"/>
        <v>34</v>
      </c>
      <c r="F134">
        <f t="shared" si="6"/>
        <v>1.4400000000000004</v>
      </c>
      <c r="G134">
        <f t="shared" si="7"/>
        <v>50</v>
      </c>
      <c r="H134">
        <f t="shared" si="8"/>
        <v>0.15625</v>
      </c>
      <c r="I134">
        <f t="shared" si="9"/>
        <v>0.13199752254167907</v>
      </c>
      <c r="J134">
        <f t="shared" si="5"/>
        <v>0.1414599652248387</v>
      </c>
    </row>
    <row r="135" spans="1:10" x14ac:dyDescent="0.2">
      <c r="A135">
        <v>0.20180410742759705</v>
      </c>
      <c r="B135">
        <v>0.42217688526365915</v>
      </c>
      <c r="C135">
        <v>0.47800842365295709</v>
      </c>
      <c r="E135">
        <f t="shared" si="4"/>
        <v>35</v>
      </c>
      <c r="F135">
        <f t="shared" si="6"/>
        <v>1.5999999999999996</v>
      </c>
      <c r="G135">
        <f t="shared" si="7"/>
        <v>33</v>
      </c>
      <c r="H135">
        <f t="shared" si="8"/>
        <v>0.10312500000000001</v>
      </c>
      <c r="I135">
        <f t="shared" si="9"/>
        <v>0.10887336538560996</v>
      </c>
      <c r="J135">
        <f t="shared" si="5"/>
        <v>0.11092083467945563</v>
      </c>
    </row>
    <row r="136" spans="1:10" x14ac:dyDescent="0.2">
      <c r="A136">
        <v>0.22828983366489411</v>
      </c>
      <c r="B136">
        <v>0.15585798404877346</v>
      </c>
      <c r="C136">
        <v>1.4647297991064363</v>
      </c>
      <c r="E136">
        <f t="shared" si="4"/>
        <v>36</v>
      </c>
      <c r="F136">
        <f t="shared" si="6"/>
        <v>1.7599999999999998</v>
      </c>
      <c r="G136">
        <f t="shared" si="7"/>
        <v>30</v>
      </c>
      <c r="H136">
        <f t="shared" si="8"/>
        <v>9.375E-2</v>
      </c>
      <c r="I136">
        <f t="shared" si="9"/>
        <v>8.941336627729167E-2</v>
      </c>
      <c r="J136">
        <f t="shared" si="5"/>
        <v>8.4776361308022255E-2</v>
      </c>
    </row>
    <row r="137" spans="1:10" x14ac:dyDescent="0.2">
      <c r="A137">
        <v>-4.0942539274692533E-2</v>
      </c>
      <c r="B137">
        <v>0.76979816681318691</v>
      </c>
      <c r="C137">
        <v>-5.3186070115218122E-2</v>
      </c>
      <c r="E137">
        <f t="shared" si="4"/>
        <v>37</v>
      </c>
      <c r="F137">
        <f t="shared" si="6"/>
        <v>1.92</v>
      </c>
      <c r="G137">
        <f t="shared" si="7"/>
        <v>27</v>
      </c>
      <c r="H137">
        <f t="shared" si="8"/>
        <v>8.4374999999999992E-2</v>
      </c>
      <c r="I137">
        <f t="shared" si="9"/>
        <v>7.3261160283543431E-2</v>
      </c>
      <c r="J137">
        <f t="shared" si="5"/>
        <v>6.3156561435198655E-2</v>
      </c>
    </row>
    <row r="138" spans="1:10" x14ac:dyDescent="0.2">
      <c r="A138">
        <v>-0.29449499249458311</v>
      </c>
      <c r="B138">
        <v>0.17639902481624631</v>
      </c>
      <c r="C138">
        <v>-1.6694819758859585</v>
      </c>
      <c r="E138">
        <f t="shared" si="4"/>
        <v>38</v>
      </c>
      <c r="F138">
        <f t="shared" si="6"/>
        <v>2.08</v>
      </c>
      <c r="G138">
        <f t="shared" si="7"/>
        <v>14</v>
      </c>
      <c r="H138">
        <f t="shared" si="8"/>
        <v>4.3749999999999997E-2</v>
      </c>
      <c r="I138">
        <f t="shared" si="9"/>
        <v>5.9984365545804962E-2</v>
      </c>
      <c r="J138">
        <f t="shared" si="5"/>
        <v>4.5861076271054887E-2</v>
      </c>
    </row>
    <row r="139" spans="1:10" x14ac:dyDescent="0.2">
      <c r="A139">
        <v>-0.10800661444664002</v>
      </c>
      <c r="B139">
        <v>0.63107704244041529</v>
      </c>
      <c r="C139">
        <v>-0.1711464800382716</v>
      </c>
      <c r="E139">
        <f t="shared" si="4"/>
        <v>39</v>
      </c>
      <c r="F139">
        <f t="shared" si="6"/>
        <v>2.2400000000000002</v>
      </c>
      <c r="G139">
        <f t="shared" si="7"/>
        <v>11</v>
      </c>
      <c r="H139">
        <f t="shared" si="8"/>
        <v>3.4374999999999996E-2</v>
      </c>
      <c r="I139">
        <f t="shared" si="9"/>
        <v>4.914211323603631E-2</v>
      </c>
      <c r="J139">
        <f t="shared" si="5"/>
        <v>3.2460265643697445E-2</v>
      </c>
    </row>
    <row r="140" spans="1:10" x14ac:dyDescent="0.2">
      <c r="A140">
        <v>0.2684387445449829</v>
      </c>
      <c r="B140">
        <v>0.62958281262906046</v>
      </c>
      <c r="C140">
        <v>0.42637559215445492</v>
      </c>
      <c r="E140">
        <f t="shared" si="4"/>
        <v>40</v>
      </c>
      <c r="F140">
        <f t="shared" si="6"/>
        <v>2.4000000000000004</v>
      </c>
      <c r="G140">
        <f t="shared" si="7"/>
        <v>13</v>
      </c>
      <c r="H140">
        <f t="shared" si="8"/>
        <v>4.0624999999999994E-2</v>
      </c>
      <c r="I140">
        <f t="shared" si="9"/>
        <v>4.0323358954948249E-2</v>
      </c>
      <c r="J140">
        <f t="shared" si="5"/>
        <v>2.2394530294842882E-2</v>
      </c>
    </row>
    <row r="141" spans="1:10" x14ac:dyDescent="0.2">
      <c r="A141">
        <v>-0.18549466133117676</v>
      </c>
      <c r="B141">
        <v>0.39041045990886603</v>
      </c>
      <c r="C141">
        <v>-0.47512728366570145</v>
      </c>
      <c r="E141">
        <f t="shared" si="4"/>
        <v>41</v>
      </c>
      <c r="F141">
        <f t="shared" si="6"/>
        <v>2.5599999999999996</v>
      </c>
      <c r="G141">
        <f t="shared" si="7"/>
        <v>3</v>
      </c>
      <c r="H141">
        <f t="shared" si="8"/>
        <v>9.3749999999999997E-3</v>
      </c>
      <c r="I141">
        <f t="shared" si="9"/>
        <v>3.3164974825615472E-2</v>
      </c>
      <c r="J141">
        <f t="shared" si="5"/>
        <v>1.5059616327377472E-2</v>
      </c>
    </row>
    <row r="142" spans="1:10" x14ac:dyDescent="0.2">
      <c r="A142">
        <v>-0.77529672384262083</v>
      </c>
      <c r="B142">
        <v>0.10141467156275828</v>
      </c>
      <c r="C142">
        <v>-7.6448181697541182</v>
      </c>
      <c r="E142">
        <f t="shared" si="4"/>
        <v>42</v>
      </c>
      <c r="F142">
        <f t="shared" si="6"/>
        <v>2.7199999999999998</v>
      </c>
      <c r="G142">
        <f t="shared" si="7"/>
        <v>9</v>
      </c>
      <c r="H142">
        <f t="shared" si="8"/>
        <v>2.8124999999999997E-2</v>
      </c>
      <c r="I142">
        <f t="shared" si="9"/>
        <v>2.735719162189186E-2</v>
      </c>
      <c r="J142">
        <f t="shared" si="5"/>
        <v>9.8711537947511439E-3</v>
      </c>
    </row>
    <row r="143" spans="1:10" x14ac:dyDescent="0.2">
      <c r="A143">
        <v>-0.69572464227676389</v>
      </c>
      <c r="B143">
        <v>0.3637480822491323</v>
      </c>
      <c r="C143">
        <v>-1.9126551485163836</v>
      </c>
      <c r="E143">
        <f t="shared" si="4"/>
        <v>43</v>
      </c>
      <c r="F143">
        <f t="shared" si="6"/>
        <v>2.88</v>
      </c>
      <c r="G143">
        <f t="shared" si="7"/>
        <v>9</v>
      </c>
      <c r="H143">
        <f t="shared" si="8"/>
        <v>2.8124999999999997E-2</v>
      </c>
      <c r="I143">
        <f t="shared" si="9"/>
        <v>2.2641901614703371E-2</v>
      </c>
      <c r="J143">
        <f t="shared" si="5"/>
        <v>6.3067263962659275E-3</v>
      </c>
    </row>
    <row r="144" spans="1:10" x14ac:dyDescent="0.2">
      <c r="A144">
        <v>-4.2238274961709975E-2</v>
      </c>
      <c r="B144">
        <v>0.22260374016355089</v>
      </c>
      <c r="C144">
        <v>-0.18974647474780421</v>
      </c>
      <c r="E144">
        <f t="shared" si="4"/>
        <v>44</v>
      </c>
      <c r="F144">
        <f t="shared" si="6"/>
        <v>3.04</v>
      </c>
      <c r="G144">
        <f t="shared" si="7"/>
        <v>5</v>
      </c>
      <c r="H144">
        <f t="shared" si="8"/>
        <v>1.5625E-2</v>
      </c>
      <c r="I144">
        <f t="shared" si="9"/>
        <v>1.8807457297531662E-2</v>
      </c>
      <c r="J144">
        <f t="shared" si="5"/>
        <v>3.9275536289247789E-3</v>
      </c>
    </row>
    <row r="145" spans="1:10" x14ac:dyDescent="0.2">
      <c r="A145">
        <v>-0.28671381175518035</v>
      </c>
      <c r="B145">
        <v>0.30010698835337729</v>
      </c>
      <c r="C145">
        <v>-0.95537199359574254</v>
      </c>
      <c r="E145">
        <f t="shared" si="4"/>
        <v>45</v>
      </c>
      <c r="F145">
        <f t="shared" si="6"/>
        <v>3.2</v>
      </c>
      <c r="G145">
        <f t="shared" si="7"/>
        <v>3</v>
      </c>
      <c r="H145">
        <f t="shared" si="8"/>
        <v>9.3749999999999997E-3</v>
      </c>
      <c r="I145">
        <f t="shared" si="9"/>
        <v>1.5682174165287877E-2</v>
      </c>
      <c r="J145">
        <f t="shared" si="5"/>
        <v>2.3840882014648404E-3</v>
      </c>
    </row>
    <row r="146" spans="1:10" x14ac:dyDescent="0.2">
      <c r="A146">
        <v>1.116144135594368E-2</v>
      </c>
      <c r="B146">
        <v>0.53459736442187489</v>
      </c>
      <c r="C146">
        <v>2.087821994411421E-2</v>
      </c>
      <c r="E146">
        <f t="shared" si="4"/>
        <v>46</v>
      </c>
      <c r="F146">
        <f t="shared" si="6"/>
        <v>3.3600000000000003</v>
      </c>
      <c r="G146">
        <f t="shared" si="7"/>
        <v>4</v>
      </c>
      <c r="H146">
        <f t="shared" si="8"/>
        <v>1.2500000000000001E-2</v>
      </c>
      <c r="I146">
        <f t="shared" si="9"/>
        <v>1.3127769319555815E-2</v>
      </c>
      <c r="J146">
        <f t="shared" si="5"/>
        <v>1.4106022569413824E-3</v>
      </c>
    </row>
    <row r="147" spans="1:10" x14ac:dyDescent="0.2">
      <c r="A147">
        <v>-0.83984012603759761</v>
      </c>
      <c r="B147">
        <v>0.37157792794940941</v>
      </c>
      <c r="C147">
        <v>-2.2601991745643795</v>
      </c>
      <c r="E147">
        <f t="shared" si="4"/>
        <v>47</v>
      </c>
      <c r="F147">
        <f t="shared" si="6"/>
        <v>3.5199999999999996</v>
      </c>
      <c r="G147">
        <f t="shared" si="7"/>
        <v>5</v>
      </c>
      <c r="H147">
        <f t="shared" si="8"/>
        <v>1.5625E-2</v>
      </c>
      <c r="I147">
        <f t="shared" si="9"/>
        <v>1.1033349233456015E-2</v>
      </c>
      <c r="J147">
        <f t="shared" si="5"/>
        <v>8.1352123108180917E-4</v>
      </c>
    </row>
    <row r="148" spans="1:10" x14ac:dyDescent="0.2">
      <c r="A148">
        <v>1.0841119289398193E-2</v>
      </c>
      <c r="B148">
        <v>0.43122159003339045</v>
      </c>
      <c r="C148">
        <v>2.5140483547121888E-2</v>
      </c>
      <c r="E148">
        <f t="shared" si="4"/>
        <v>48</v>
      </c>
      <c r="F148">
        <f t="shared" si="6"/>
        <v>3.6799999999999997</v>
      </c>
      <c r="G148">
        <f t="shared" si="7"/>
        <v>5</v>
      </c>
      <c r="H148">
        <f t="shared" si="8"/>
        <v>1.5625E-2</v>
      </c>
      <c r="I148">
        <f t="shared" si="9"/>
        <v>9.3101938200690643E-3</v>
      </c>
      <c r="J148">
        <f t="shared" si="5"/>
        <v>4.5731481405985762E-4</v>
      </c>
    </row>
    <row r="149" spans="1:10" x14ac:dyDescent="0.2">
      <c r="A149">
        <v>-0.38420670926570893</v>
      </c>
      <c r="B149">
        <v>0.3970527597544235</v>
      </c>
      <c r="C149">
        <v>-0.96764648986029</v>
      </c>
      <c r="E149">
        <f t="shared" si="4"/>
        <v>49</v>
      </c>
      <c r="F149">
        <f t="shared" si="6"/>
        <v>3.84</v>
      </c>
      <c r="G149">
        <f t="shared" si="7"/>
        <v>2</v>
      </c>
      <c r="H149">
        <f t="shared" si="8"/>
        <v>6.2500000000000003E-3</v>
      </c>
      <c r="I149">
        <f t="shared" si="9"/>
        <v>7.8873821251491377E-3</v>
      </c>
      <c r="J149">
        <f t="shared" si="5"/>
        <v>2.5057844489086075E-4</v>
      </c>
    </row>
    <row r="150" spans="1:10" x14ac:dyDescent="0.2">
      <c r="A150">
        <v>8.7569266557693481E-2</v>
      </c>
      <c r="B150">
        <v>0.66078179944214821</v>
      </c>
      <c r="C150">
        <v>0.13252372663959885</v>
      </c>
      <c r="E150">
        <f t="shared" si="4"/>
        <v>50</v>
      </c>
      <c r="F150">
        <f t="shared" si="6"/>
        <v>4</v>
      </c>
      <c r="G150">
        <f t="shared" si="7"/>
        <v>2</v>
      </c>
      <c r="H150">
        <f t="shared" si="8"/>
        <v>6.2500000000000003E-3</v>
      </c>
      <c r="I150">
        <f t="shared" si="9"/>
        <v>6.7082039324993705E-3</v>
      </c>
      <c r="J150">
        <f t="shared" si="5"/>
        <v>1.3383022576488537E-4</v>
      </c>
    </row>
    <row r="151" spans="1:10" x14ac:dyDescent="0.2">
      <c r="A151">
        <v>3.3242926746606824E-2</v>
      </c>
      <c r="B151">
        <v>0.31260497846407875</v>
      </c>
      <c r="C151">
        <v>0.10634164212591626</v>
      </c>
    </row>
    <row r="152" spans="1:10" x14ac:dyDescent="0.2">
      <c r="A152">
        <v>1.4104640483856202E-2</v>
      </c>
      <c r="B152">
        <v>0.38897869797434759</v>
      </c>
      <c r="C152">
        <v>3.6260701568769135E-2</v>
      </c>
    </row>
    <row r="153" spans="1:10" x14ac:dyDescent="0.2">
      <c r="A153">
        <v>0.22720169760286807</v>
      </c>
      <c r="B153">
        <v>0.21905565501119659</v>
      </c>
      <c r="C153">
        <v>1.0371870910671315</v>
      </c>
    </row>
    <row r="154" spans="1:10" x14ac:dyDescent="0.2">
      <c r="A154">
        <v>0.50941238701343539</v>
      </c>
      <c r="B154">
        <v>0.71627255176050408</v>
      </c>
      <c r="C154">
        <v>0.71119909001310533</v>
      </c>
    </row>
    <row r="155" spans="1:10" x14ac:dyDescent="0.2">
      <c r="A155">
        <v>0.27551725804805755</v>
      </c>
      <c r="B155">
        <v>0.71038767949601911</v>
      </c>
      <c r="C155">
        <v>0.38784070444960678</v>
      </c>
    </row>
    <row r="156" spans="1:10" x14ac:dyDescent="0.2">
      <c r="A156">
        <v>0.69408999681472783</v>
      </c>
      <c r="B156">
        <v>0.6682293581640284</v>
      </c>
      <c r="C156">
        <v>1.0387002431646404</v>
      </c>
    </row>
    <row r="157" spans="1:10" x14ac:dyDescent="0.2">
      <c r="A157">
        <v>-0.34436614513397218</v>
      </c>
      <c r="B157">
        <v>0.86752382168195674</v>
      </c>
      <c r="C157">
        <v>-0.39695295567367184</v>
      </c>
    </row>
    <row r="158" spans="1:10" x14ac:dyDescent="0.2">
      <c r="A158">
        <v>0.13794671297073363</v>
      </c>
      <c r="B158">
        <v>0.4726563447117258</v>
      </c>
      <c r="C158">
        <v>0.29185414416655647</v>
      </c>
    </row>
    <row r="159" spans="1:10" x14ac:dyDescent="0.2">
      <c r="A159">
        <v>-0.74278697371482849</v>
      </c>
      <c r="B159">
        <v>0.56589017625893434</v>
      </c>
      <c r="C159">
        <v>-1.3125991665473824</v>
      </c>
    </row>
    <row r="160" spans="1:10" x14ac:dyDescent="0.2">
      <c r="A160">
        <v>-0.54437349438667293</v>
      </c>
      <c r="B160">
        <v>0.49246285857115496</v>
      </c>
      <c r="C160">
        <v>-1.1054102556406646</v>
      </c>
    </row>
    <row r="161" spans="1:3" x14ac:dyDescent="0.2">
      <c r="A161">
        <v>0.29546276330947874</v>
      </c>
      <c r="B161">
        <v>0.50746322669037514</v>
      </c>
      <c r="C161">
        <v>0.58223482563743112</v>
      </c>
    </row>
    <row r="162" spans="1:3" x14ac:dyDescent="0.2">
      <c r="A162">
        <v>-1.0026114013046026</v>
      </c>
      <c r="B162">
        <v>0.46204461212671172</v>
      </c>
      <c r="C162">
        <v>-2.169945011780908</v>
      </c>
    </row>
    <row r="163" spans="1:3" x14ac:dyDescent="0.2">
      <c r="A163">
        <v>0.24010654985904695</v>
      </c>
      <c r="B163">
        <v>0.22540322222110359</v>
      </c>
      <c r="C163">
        <v>1.065231222043137</v>
      </c>
    </row>
    <row r="164" spans="1:3" x14ac:dyDescent="0.2">
      <c r="A164">
        <v>-0.23016016483306884</v>
      </c>
      <c r="B164">
        <v>0.56364041578762891</v>
      </c>
      <c r="C164">
        <v>-0.40834574382222738</v>
      </c>
    </row>
    <row r="165" spans="1:3" x14ac:dyDescent="0.2">
      <c r="A165">
        <v>0.47863547205924989</v>
      </c>
      <c r="B165">
        <v>0.48458042195255535</v>
      </c>
      <c r="C165">
        <v>0.9877317579828111</v>
      </c>
    </row>
    <row r="166" spans="1:3" x14ac:dyDescent="0.2">
      <c r="A166">
        <v>-0.27532312273979187</v>
      </c>
      <c r="B166">
        <v>0.55259755465865001</v>
      </c>
      <c r="C166">
        <v>-0.49823442108762894</v>
      </c>
    </row>
    <row r="167" spans="1:3" x14ac:dyDescent="0.2">
      <c r="A167">
        <v>0.28233304470777509</v>
      </c>
      <c r="B167">
        <v>0.29894296478566679</v>
      </c>
      <c r="C167">
        <v>0.94443782916985353</v>
      </c>
    </row>
    <row r="168" spans="1:3" x14ac:dyDescent="0.2">
      <c r="A168">
        <v>0.64485661387443538</v>
      </c>
      <c r="B168">
        <v>0.17857651714936665</v>
      </c>
      <c r="C168">
        <v>3.6110941358267077</v>
      </c>
    </row>
    <row r="169" spans="1:3" x14ac:dyDescent="0.2">
      <c r="A169">
        <v>0.44278031587600708</v>
      </c>
      <c r="B169">
        <v>0.3255672269784825</v>
      </c>
      <c r="C169">
        <v>1.3600272975426715</v>
      </c>
    </row>
    <row r="170" spans="1:3" x14ac:dyDescent="0.2">
      <c r="A170">
        <v>0.52278034389019012</v>
      </c>
      <c r="B170">
        <v>0.4736327316164593</v>
      </c>
      <c r="C170">
        <v>1.1037673475521743</v>
      </c>
    </row>
    <row r="171" spans="1:3" x14ac:dyDescent="0.2">
      <c r="A171">
        <v>0.68150887191295628</v>
      </c>
      <c r="B171">
        <v>0.51258006183871285</v>
      </c>
      <c r="C171">
        <v>1.3295657062201498</v>
      </c>
    </row>
    <row r="172" spans="1:3" x14ac:dyDescent="0.2">
      <c r="A172">
        <v>0.5148075938224792</v>
      </c>
      <c r="B172">
        <v>0.23664501046285125</v>
      </c>
      <c r="C172">
        <v>2.1754424182262411</v>
      </c>
    </row>
    <row r="173" spans="1:3" x14ac:dyDescent="0.2">
      <c r="A173">
        <v>0.92261981368064883</v>
      </c>
      <c r="B173">
        <v>0.50309162024593235</v>
      </c>
      <c r="C173">
        <v>1.8339001815010025</v>
      </c>
    </row>
    <row r="174" spans="1:3" x14ac:dyDescent="0.2">
      <c r="A174">
        <v>-0.31624038815498351</v>
      </c>
      <c r="B174">
        <v>0.45158836053268825</v>
      </c>
      <c r="C174">
        <v>-0.70028463041418987</v>
      </c>
    </row>
    <row r="175" spans="1:3" x14ac:dyDescent="0.2">
      <c r="A175">
        <v>-0.60821518264710905</v>
      </c>
      <c r="B175">
        <v>0.3497049198181314</v>
      </c>
      <c r="C175">
        <v>-1.7392239805016736</v>
      </c>
    </row>
    <row r="176" spans="1:3" x14ac:dyDescent="0.2">
      <c r="A176">
        <v>-0.3577044946141541</v>
      </c>
      <c r="B176">
        <v>0.26569865566415757</v>
      </c>
      <c r="C176">
        <v>-1.3462789027667934</v>
      </c>
    </row>
    <row r="177" spans="1:3" x14ac:dyDescent="0.2">
      <c r="A177">
        <v>0.14779140055179596</v>
      </c>
      <c r="B177">
        <v>0.57548975720149176</v>
      </c>
      <c r="C177">
        <v>0.25680978453983311</v>
      </c>
    </row>
    <row r="178" spans="1:3" x14ac:dyDescent="0.2">
      <c r="A178">
        <v>-0.13603684306144714</v>
      </c>
      <c r="B178">
        <v>0.40551691622544705</v>
      </c>
      <c r="C178">
        <v>-0.33546527313257007</v>
      </c>
    </row>
    <row r="179" spans="1:3" x14ac:dyDescent="0.2">
      <c r="A179">
        <v>9.7368115186691279E-2</v>
      </c>
      <c r="B179">
        <v>0.56365476766982803</v>
      </c>
      <c r="C179">
        <v>0.17274424128303761</v>
      </c>
    </row>
    <row r="180" spans="1:3" x14ac:dyDescent="0.2">
      <c r="A180">
        <v>0.63050537407398222</v>
      </c>
      <c r="B180">
        <v>0.42035757002693497</v>
      </c>
      <c r="C180">
        <v>1.4999262985405062</v>
      </c>
    </row>
    <row r="181" spans="1:3" x14ac:dyDescent="0.2">
      <c r="A181">
        <v>-0.30511393398046494</v>
      </c>
      <c r="B181">
        <v>9.9344926412064313E-2</v>
      </c>
      <c r="C181">
        <v>-3.0712583420204971</v>
      </c>
    </row>
    <row r="182" spans="1:3" x14ac:dyDescent="0.2">
      <c r="A182">
        <v>-8.893477320671081E-2</v>
      </c>
      <c r="B182">
        <v>0.4569361570721216</v>
      </c>
      <c r="C182">
        <v>-0.19463282086620601</v>
      </c>
    </row>
    <row r="183" spans="1:3" x14ac:dyDescent="0.2">
      <c r="A183">
        <v>0.53991740494966511</v>
      </c>
      <c r="B183">
        <v>0.34515345998588015</v>
      </c>
      <c r="C183">
        <v>1.5642821745775126</v>
      </c>
    </row>
    <row r="184" spans="1:3" x14ac:dyDescent="0.2">
      <c r="A184">
        <v>0.19425070285797119</v>
      </c>
      <c r="B184">
        <v>0.55440915839333793</v>
      </c>
      <c r="C184">
        <v>0.35037426766344237</v>
      </c>
    </row>
    <row r="185" spans="1:3" x14ac:dyDescent="0.2">
      <c r="A185">
        <v>-0.5853379994630814</v>
      </c>
      <c r="B185">
        <v>0.30916063211017597</v>
      </c>
      <c r="C185">
        <v>-1.8933135033003936</v>
      </c>
    </row>
    <row r="186" spans="1:3" x14ac:dyDescent="0.2">
      <c r="A186">
        <v>-0.24766002446413041</v>
      </c>
      <c r="B186">
        <v>0.49897603011679414</v>
      </c>
      <c r="C186">
        <v>-0.49633651621734459</v>
      </c>
    </row>
    <row r="187" spans="1:3" x14ac:dyDescent="0.2">
      <c r="A187">
        <v>0.50761518478393552</v>
      </c>
      <c r="B187">
        <v>0.52596447032473415</v>
      </c>
      <c r="C187">
        <v>0.96511307022417381</v>
      </c>
    </row>
    <row r="188" spans="1:3" x14ac:dyDescent="0.2">
      <c r="A188">
        <v>6.8579944968223575E-2</v>
      </c>
      <c r="B188">
        <v>0.29758059946176524</v>
      </c>
      <c r="C188">
        <v>0.23045838704628019</v>
      </c>
    </row>
    <row r="189" spans="1:3" x14ac:dyDescent="0.2">
      <c r="A189">
        <v>-0.78655142188072202</v>
      </c>
      <c r="B189">
        <v>0.60330226871553505</v>
      </c>
      <c r="C189">
        <v>-1.3037435174167915</v>
      </c>
    </row>
    <row r="190" spans="1:3" x14ac:dyDescent="0.2">
      <c r="A190">
        <v>0.54891122132539749</v>
      </c>
      <c r="B190">
        <v>0.57979529901262261</v>
      </c>
      <c r="C190">
        <v>0.94673279045238901</v>
      </c>
    </row>
    <row r="191" spans="1:3" x14ac:dyDescent="0.2">
      <c r="A191">
        <v>0.86382894217967987</v>
      </c>
      <c r="B191">
        <v>0.56810342292480187</v>
      </c>
      <c r="C191">
        <v>1.5205487369401438</v>
      </c>
    </row>
    <row r="192" spans="1:3" x14ac:dyDescent="0.2">
      <c r="A192">
        <v>0.29390643835067748</v>
      </c>
      <c r="B192">
        <v>0.71338383093484048</v>
      </c>
      <c r="C192">
        <v>0.41198920637931097</v>
      </c>
    </row>
    <row r="193" spans="1:3" x14ac:dyDescent="0.2">
      <c r="A193">
        <v>0.71618736088275914</v>
      </c>
      <c r="B193">
        <v>0.34141004197365854</v>
      </c>
      <c r="C193">
        <v>2.0977337302164547</v>
      </c>
    </row>
    <row r="194" spans="1:3" x14ac:dyDescent="0.2">
      <c r="A194">
        <v>-2.8846609592437743E-2</v>
      </c>
      <c r="B194">
        <v>0.43201264731092937</v>
      </c>
      <c r="C194">
        <v>-6.6772604394787965E-2</v>
      </c>
    </row>
    <row r="195" spans="1:3" x14ac:dyDescent="0.2">
      <c r="A195">
        <v>-0.52116005420684819</v>
      </c>
      <c r="B195">
        <v>0.4905231873054352</v>
      </c>
      <c r="C195">
        <v>-1.0624575304374679</v>
      </c>
    </row>
    <row r="196" spans="1:3" x14ac:dyDescent="0.2">
      <c r="A196">
        <v>7.1224874258041387E-2</v>
      </c>
      <c r="B196">
        <v>0.44889514070015951</v>
      </c>
      <c r="C196">
        <v>0.15866706453304247</v>
      </c>
    </row>
    <row r="197" spans="1:3" x14ac:dyDescent="0.2">
      <c r="A197">
        <v>-0.79207262992858884</v>
      </c>
      <c r="B197">
        <v>0.52972226795490351</v>
      </c>
      <c r="C197">
        <v>-1.4952602105751382</v>
      </c>
    </row>
    <row r="198" spans="1:3" x14ac:dyDescent="0.2">
      <c r="A198">
        <v>-7.6532733440399167E-2</v>
      </c>
      <c r="B198">
        <v>0.17378676312947228</v>
      </c>
      <c r="C198">
        <v>-0.44038298465448589</v>
      </c>
    </row>
    <row r="199" spans="1:3" x14ac:dyDescent="0.2">
      <c r="A199">
        <v>0.46125241518020632</v>
      </c>
      <c r="B199">
        <v>0.4414430462670737</v>
      </c>
      <c r="C199">
        <v>1.0448741215444313</v>
      </c>
    </row>
    <row r="200" spans="1:3" x14ac:dyDescent="0.2">
      <c r="A200">
        <v>-0.23064609169960021</v>
      </c>
      <c r="B200">
        <v>0.60780692671232062</v>
      </c>
      <c r="C200">
        <v>-0.37947262784118724</v>
      </c>
    </row>
    <row r="201" spans="1:3" x14ac:dyDescent="0.2">
      <c r="A201">
        <v>-0.37907967567443845</v>
      </c>
      <c r="B201">
        <v>0.45188597487428706</v>
      </c>
      <c r="C201">
        <v>-0.83888347227394466</v>
      </c>
    </row>
    <row r="202" spans="1:3" x14ac:dyDescent="0.2">
      <c r="A202">
        <v>0.72821877598762508</v>
      </c>
      <c r="B202">
        <v>0.44450937979358812</v>
      </c>
      <c r="C202">
        <v>1.6382528897945414</v>
      </c>
    </row>
    <row r="203" spans="1:3" x14ac:dyDescent="0.2">
      <c r="A203">
        <v>-0.5898124754428864</v>
      </c>
      <c r="B203">
        <v>0.45141344897195834</v>
      </c>
      <c r="C203">
        <v>-1.3065903924353954</v>
      </c>
    </row>
    <row r="204" spans="1:3" x14ac:dyDescent="0.2">
      <c r="A204">
        <v>6.3706420361995697E-2</v>
      </c>
      <c r="B204">
        <v>0.35243363895196417</v>
      </c>
      <c r="C204">
        <v>0.18076146349548297</v>
      </c>
    </row>
    <row r="205" spans="1:3" x14ac:dyDescent="0.2">
      <c r="A205">
        <v>-7.2099044919013977E-2</v>
      </c>
      <c r="B205">
        <v>0.54116040993766734</v>
      </c>
      <c r="C205">
        <v>-0.13323044996458366</v>
      </c>
    </row>
    <row r="206" spans="1:3" x14ac:dyDescent="0.2">
      <c r="A206">
        <v>0.3996871203184128</v>
      </c>
      <c r="B206">
        <v>0.30510021185490366</v>
      </c>
      <c r="C206">
        <v>1.3100191503914518</v>
      </c>
    </row>
    <row r="207" spans="1:3" x14ac:dyDescent="0.2">
      <c r="A207">
        <v>0.69324600100517275</v>
      </c>
      <c r="B207">
        <v>0.37669010091346378</v>
      </c>
      <c r="C207">
        <v>1.8403616111070322</v>
      </c>
    </row>
    <row r="208" spans="1:3" x14ac:dyDescent="0.2">
      <c r="A208">
        <v>0.12915633320808412</v>
      </c>
      <c r="B208">
        <v>0.32125039507300368</v>
      </c>
      <c r="C208">
        <v>0.40204256613827211</v>
      </c>
    </row>
    <row r="209" spans="1:3" x14ac:dyDescent="0.2">
      <c r="A209">
        <v>-0.43863654136657715</v>
      </c>
      <c r="B209">
        <v>0.3379318644081532</v>
      </c>
      <c r="C209">
        <v>-1.2980029040315451</v>
      </c>
    </row>
    <row r="210" spans="1:3" x14ac:dyDescent="0.2">
      <c r="A210">
        <v>0.63096870053559539</v>
      </c>
      <c r="B210">
        <v>0.27634489200005519</v>
      </c>
      <c r="C210">
        <v>2.2832652920375649</v>
      </c>
    </row>
    <row r="211" spans="1:3" x14ac:dyDescent="0.2">
      <c r="A211">
        <v>0.2493785135447979</v>
      </c>
      <c r="B211">
        <v>0.22541946026876503</v>
      </c>
      <c r="C211">
        <v>1.1062865346561772</v>
      </c>
    </row>
    <row r="212" spans="1:3" x14ac:dyDescent="0.2">
      <c r="A212">
        <v>-0.6545844614505768</v>
      </c>
      <c r="B212">
        <v>0.52041543389400258</v>
      </c>
      <c r="C212">
        <v>-1.2578113922422631</v>
      </c>
    </row>
    <row r="213" spans="1:3" x14ac:dyDescent="0.2">
      <c r="A213">
        <v>-2.3571044206619263E-2</v>
      </c>
      <c r="B213">
        <v>0.34858235903998086</v>
      </c>
      <c r="C213">
        <v>-6.7619727720976741E-2</v>
      </c>
    </row>
    <row r="214" spans="1:3" x14ac:dyDescent="0.2">
      <c r="A214">
        <v>0.15318943560123444</v>
      </c>
      <c r="B214">
        <v>0.43436239067992666</v>
      </c>
      <c r="C214">
        <v>0.35267656428872729</v>
      </c>
    </row>
    <row r="215" spans="1:3" x14ac:dyDescent="0.2">
      <c r="A215">
        <v>0.20966033339500428</v>
      </c>
      <c r="B215">
        <v>0.3210499245375506</v>
      </c>
      <c r="C215">
        <v>0.65304588903736693</v>
      </c>
    </row>
    <row r="216" spans="1:3" x14ac:dyDescent="0.2">
      <c r="A216">
        <v>-0.46798855066299438</v>
      </c>
      <c r="B216">
        <v>0.4418784336386295</v>
      </c>
      <c r="C216">
        <v>-1.0590889145898392</v>
      </c>
    </row>
    <row r="217" spans="1:3" x14ac:dyDescent="0.2">
      <c r="A217">
        <v>0.35020718574523924</v>
      </c>
      <c r="B217">
        <v>0.60763518102952774</v>
      </c>
      <c r="C217">
        <v>0.57634448543923444</v>
      </c>
    </row>
    <row r="218" spans="1:3" x14ac:dyDescent="0.2">
      <c r="A218">
        <v>-0.2546319544315338</v>
      </c>
      <c r="B218">
        <v>0.37307188584369722</v>
      </c>
      <c r="C218">
        <v>-0.6825278561414162</v>
      </c>
    </row>
    <row r="219" spans="1:3" x14ac:dyDescent="0.2">
      <c r="A219">
        <v>-3.9256674051284787E-2</v>
      </c>
      <c r="B219">
        <v>0.53479228849049354</v>
      </c>
      <c r="C219">
        <v>-7.3405460206037762E-2</v>
      </c>
    </row>
    <row r="220" spans="1:3" x14ac:dyDescent="0.2">
      <c r="A220">
        <v>0.51672899872064593</v>
      </c>
      <c r="B220">
        <v>0.53331624903198194</v>
      </c>
      <c r="C220">
        <v>0.96889790937095321</v>
      </c>
    </row>
    <row r="221" spans="1:3" x14ac:dyDescent="0.2">
      <c r="A221">
        <v>-0.75909792184829716</v>
      </c>
      <c r="B221">
        <v>0.42420874172098311</v>
      </c>
      <c r="C221">
        <v>-1.78944431642001</v>
      </c>
    </row>
    <row r="222" spans="1:3" x14ac:dyDescent="0.2">
      <c r="A222">
        <v>0.90124654769897461</v>
      </c>
      <c r="B222">
        <v>0.5559097322374027</v>
      </c>
      <c r="C222">
        <v>1.62121023510719</v>
      </c>
    </row>
    <row r="223" spans="1:3" x14ac:dyDescent="0.2">
      <c r="A223">
        <v>-0.1168164849281311</v>
      </c>
      <c r="B223">
        <v>0.3040141069684279</v>
      </c>
      <c r="C223">
        <v>-0.38424692226621765</v>
      </c>
    </row>
    <row r="224" spans="1:3" x14ac:dyDescent="0.2">
      <c r="A224">
        <v>-0.55509566217660899</v>
      </c>
      <c r="B224">
        <v>0.19322858212765984</v>
      </c>
      <c r="C224">
        <v>-2.8727409582184658</v>
      </c>
    </row>
    <row r="225" spans="1:3" x14ac:dyDescent="0.2">
      <c r="A225">
        <v>0.38177460432052612</v>
      </c>
      <c r="B225">
        <v>0.30448722145414925</v>
      </c>
      <c r="C225">
        <v>1.2538280013764553</v>
      </c>
    </row>
    <row r="226" spans="1:3" x14ac:dyDescent="0.2">
      <c r="A226">
        <v>-6.2533009052276614E-2</v>
      </c>
      <c r="B226">
        <v>0.28287281432820627</v>
      </c>
      <c r="C226">
        <v>-0.22106404675467331</v>
      </c>
    </row>
    <row r="227" spans="1:3" x14ac:dyDescent="0.2">
      <c r="A227">
        <v>-0.30419543385505676</v>
      </c>
      <c r="B227">
        <v>0.31527428562442522</v>
      </c>
      <c r="C227">
        <v>-0.96485964040033922</v>
      </c>
    </row>
    <row r="228" spans="1:3" x14ac:dyDescent="0.2">
      <c r="A228">
        <v>-0.15924120545387269</v>
      </c>
      <c r="B228">
        <v>0.27907776884609026</v>
      </c>
      <c r="C228">
        <v>-0.57059795953038905</v>
      </c>
    </row>
    <row r="229" spans="1:3" x14ac:dyDescent="0.2">
      <c r="A229">
        <v>-0.32783374637365342</v>
      </c>
      <c r="B229">
        <v>0.13381866642065515</v>
      </c>
      <c r="C229">
        <v>-2.4498357003732005</v>
      </c>
    </row>
    <row r="230" spans="1:3" x14ac:dyDescent="0.2">
      <c r="A230">
        <v>-0.93103354573249819</v>
      </c>
      <c r="B230">
        <v>0.63175111233616454</v>
      </c>
      <c r="C230">
        <v>-1.4737347153843725</v>
      </c>
    </row>
    <row r="231" spans="1:3" x14ac:dyDescent="0.2">
      <c r="A231">
        <v>-0.26055840253829954</v>
      </c>
      <c r="B231">
        <v>0.45199001495911395</v>
      </c>
      <c r="C231">
        <v>-0.57646937745266136</v>
      </c>
    </row>
    <row r="232" spans="1:3" x14ac:dyDescent="0.2">
      <c r="A232">
        <v>-0.86837500631809239</v>
      </c>
      <c r="B232">
        <v>0.26775568576926295</v>
      </c>
      <c r="C232">
        <v>-3.2431617794529672</v>
      </c>
    </row>
    <row r="233" spans="1:3" x14ac:dyDescent="0.2">
      <c r="A233">
        <v>0.42673643231391906</v>
      </c>
      <c r="B233">
        <v>0.26223171297603959</v>
      </c>
      <c r="C233">
        <v>1.6273258008001132</v>
      </c>
    </row>
    <row r="234" spans="1:3" x14ac:dyDescent="0.2">
      <c r="A234">
        <v>0.51143678426742556</v>
      </c>
      <c r="B234">
        <v>0.40570636741613719</v>
      </c>
      <c r="C234">
        <v>1.2606082263994629</v>
      </c>
    </row>
    <row r="235" spans="1:3" x14ac:dyDescent="0.2">
      <c r="A235">
        <v>3.4209854528307916E-2</v>
      </c>
      <c r="B235">
        <v>0.10535847034960076</v>
      </c>
      <c r="C235">
        <v>0.32469961280562148</v>
      </c>
    </row>
    <row r="236" spans="1:3" x14ac:dyDescent="0.2">
      <c r="A236">
        <v>-0.14543832838535309</v>
      </c>
      <c r="B236">
        <v>0.1140761052490063</v>
      </c>
      <c r="C236">
        <v>-1.2749236842184353</v>
      </c>
    </row>
    <row r="237" spans="1:3" x14ac:dyDescent="0.2">
      <c r="A237">
        <v>0.260093092918396</v>
      </c>
      <c r="B237">
        <v>0.3377860844453327</v>
      </c>
      <c r="C237">
        <v>0.76999351037650421</v>
      </c>
    </row>
    <row r="238" spans="1:3" x14ac:dyDescent="0.2">
      <c r="A238">
        <v>-9.9164643883705134E-2</v>
      </c>
      <c r="B238">
        <v>0.30877397041080906</v>
      </c>
      <c r="C238">
        <v>-0.32115609923910132</v>
      </c>
    </row>
    <row r="239" spans="1:3" x14ac:dyDescent="0.2">
      <c r="A239">
        <v>4.4578754901885988E-2</v>
      </c>
      <c r="B239">
        <v>0.3139768698261351</v>
      </c>
      <c r="C239">
        <v>0.14198101575626099</v>
      </c>
    </row>
    <row r="240" spans="1:3" x14ac:dyDescent="0.2">
      <c r="A240">
        <v>-0.10370086785405874</v>
      </c>
      <c r="B240">
        <v>0.31506252552088032</v>
      </c>
      <c r="C240">
        <v>-0.32914377132797445</v>
      </c>
    </row>
    <row r="241" spans="1:3" x14ac:dyDescent="0.2">
      <c r="A241">
        <v>-0.13640010952949524</v>
      </c>
      <c r="B241">
        <v>0.33859351123259945</v>
      </c>
      <c r="C241">
        <v>-0.40284324715187508</v>
      </c>
    </row>
    <row r="242" spans="1:3" x14ac:dyDescent="0.2">
      <c r="A242">
        <v>-6.7163260281085962E-2</v>
      </c>
      <c r="B242">
        <v>0.34689948553671823</v>
      </c>
      <c r="C242">
        <v>-0.19361014668895191</v>
      </c>
    </row>
    <row r="243" spans="1:3" x14ac:dyDescent="0.2">
      <c r="A243">
        <v>0.52319034058600666</v>
      </c>
      <c r="B243">
        <v>0.60199232721886242</v>
      </c>
      <c r="C243">
        <v>0.86909802156962335</v>
      </c>
    </row>
    <row r="244" spans="1:3" x14ac:dyDescent="0.2">
      <c r="A244">
        <v>0.52478481540456412</v>
      </c>
      <c r="B244">
        <v>0.53995774566110522</v>
      </c>
      <c r="C244">
        <v>0.97189978219876461</v>
      </c>
    </row>
    <row r="245" spans="1:3" x14ac:dyDescent="0.2">
      <c r="A245">
        <v>0.13613495826721192</v>
      </c>
      <c r="B245">
        <v>0.20468538658569127</v>
      </c>
      <c r="C245">
        <v>0.66509368615926667</v>
      </c>
    </row>
    <row r="246" spans="1:3" x14ac:dyDescent="0.2">
      <c r="A246">
        <v>-0.12836154699325561</v>
      </c>
      <c r="B246">
        <v>0.41306802412818111</v>
      </c>
      <c r="C246">
        <v>-0.31075159415734183</v>
      </c>
    </row>
    <row r="247" spans="1:3" x14ac:dyDescent="0.2">
      <c r="A247">
        <v>3.1545042991638185E-3</v>
      </c>
      <c r="B247">
        <v>0.43237580648447854</v>
      </c>
      <c r="C247">
        <v>7.2957465516217757E-3</v>
      </c>
    </row>
    <row r="248" spans="1:3" x14ac:dyDescent="0.2">
      <c r="A248">
        <v>-0.26815872862935064</v>
      </c>
      <c r="B248">
        <v>0.38852297553640958</v>
      </c>
      <c r="C248">
        <v>-0.69020043990737101</v>
      </c>
    </row>
    <row r="249" spans="1:3" x14ac:dyDescent="0.2">
      <c r="A249">
        <v>7.7618436515331263E-2</v>
      </c>
      <c r="B249">
        <v>0.32683189100806964</v>
      </c>
      <c r="C249">
        <v>0.23748734028349403</v>
      </c>
    </row>
    <row r="250" spans="1:3" x14ac:dyDescent="0.2">
      <c r="A250">
        <v>-1.3091237097978593E-2</v>
      </c>
      <c r="B250">
        <v>0.1780303452297064</v>
      </c>
      <c r="C250">
        <v>-7.353373988623918E-2</v>
      </c>
    </row>
    <row r="251" spans="1:3" x14ac:dyDescent="0.2">
      <c r="A251">
        <v>0.26597627215087416</v>
      </c>
      <c r="B251">
        <v>0.14428143371644825</v>
      </c>
      <c r="C251">
        <v>1.8434545963383546</v>
      </c>
    </row>
    <row r="252" spans="1:3" x14ac:dyDescent="0.2">
      <c r="A252">
        <v>-0.42167419791221616</v>
      </c>
      <c r="B252">
        <v>0.43947775100958203</v>
      </c>
      <c r="C252">
        <v>-0.9594892959735345</v>
      </c>
    </row>
    <row r="253" spans="1:3" x14ac:dyDescent="0.2">
      <c r="A253">
        <v>0.14030489921569825</v>
      </c>
      <c r="B253">
        <v>0.60170944937406101</v>
      </c>
      <c r="C253">
        <v>0.23317715778213707</v>
      </c>
    </row>
    <row r="254" spans="1:3" x14ac:dyDescent="0.2">
      <c r="A254">
        <v>-5.6168317794799805E-2</v>
      </c>
      <c r="B254">
        <v>0.29407086507253788</v>
      </c>
      <c r="C254">
        <v>-0.19100266114749204</v>
      </c>
    </row>
    <row r="255" spans="1:3" x14ac:dyDescent="0.2">
      <c r="A255">
        <v>-1.3772638320922852</v>
      </c>
      <c r="B255">
        <v>0.21727347366905364</v>
      </c>
      <c r="C255">
        <v>-6.3388494179004304</v>
      </c>
    </row>
    <row r="256" spans="1:3" x14ac:dyDescent="0.2">
      <c r="A256">
        <v>-0.53270995616912842</v>
      </c>
      <c r="B256">
        <v>0.43460557765272001</v>
      </c>
      <c r="C256">
        <v>-1.2257319821946708</v>
      </c>
    </row>
    <row r="257" spans="1:3" x14ac:dyDescent="0.2">
      <c r="A257">
        <v>0.60814111232757573</v>
      </c>
      <c r="B257">
        <v>0.34708895393434247</v>
      </c>
      <c r="C257">
        <v>1.752118888930748</v>
      </c>
    </row>
    <row r="258" spans="1:3" x14ac:dyDescent="0.2">
      <c r="A258">
        <v>-9.438741803169251E-2</v>
      </c>
      <c r="B258">
        <v>0.40510753428834551</v>
      </c>
      <c r="C258">
        <v>-0.23299348948792911</v>
      </c>
    </row>
    <row r="259" spans="1:3" x14ac:dyDescent="0.2">
      <c r="A259">
        <v>0.49227448403835294</v>
      </c>
      <c r="B259">
        <v>0.27845160604748365</v>
      </c>
      <c r="C259">
        <v>1.7678996039060613</v>
      </c>
    </row>
    <row r="260" spans="1:3" x14ac:dyDescent="0.2">
      <c r="A260">
        <v>0.26387214958667754</v>
      </c>
      <c r="B260">
        <v>0.68107727763162196</v>
      </c>
      <c r="C260">
        <v>0.38743349433748037</v>
      </c>
    </row>
    <row r="261" spans="1:3" x14ac:dyDescent="0.2">
      <c r="A261">
        <v>6.5928847342729566E-2</v>
      </c>
      <c r="B261">
        <v>0.42331428737390314</v>
      </c>
      <c r="C261">
        <v>0.1557444416812141</v>
      </c>
    </row>
    <row r="262" spans="1:3" x14ac:dyDescent="0.2">
      <c r="A262">
        <v>-0.57214851379394527</v>
      </c>
      <c r="B262">
        <v>0.480534169280523</v>
      </c>
      <c r="C262">
        <v>-1.1906510512053519</v>
      </c>
    </row>
    <row r="263" spans="1:3" x14ac:dyDescent="0.2">
      <c r="A263">
        <v>-0.44065469354391096</v>
      </c>
      <c r="B263">
        <v>0.14584169474588879</v>
      </c>
      <c r="C263">
        <v>-3.0214589477426022</v>
      </c>
    </row>
    <row r="264" spans="1:3" x14ac:dyDescent="0.2">
      <c r="A264">
        <v>-4.842806160449982E-2</v>
      </c>
      <c r="B264">
        <v>0.40179215566362814</v>
      </c>
      <c r="C264">
        <v>-0.12053013211398474</v>
      </c>
    </row>
    <row r="265" spans="1:3" x14ac:dyDescent="0.2">
      <c r="A265">
        <v>8.2812418788671488E-2</v>
      </c>
      <c r="B265">
        <v>0.30535457173830161</v>
      </c>
      <c r="C265">
        <v>0.27120084797565863</v>
      </c>
    </row>
    <row r="266" spans="1:3" x14ac:dyDescent="0.2">
      <c r="A266">
        <v>-0.42463374137878418</v>
      </c>
      <c r="B266">
        <v>0.67866225956912052</v>
      </c>
      <c r="C266">
        <v>-0.62569228713024672</v>
      </c>
    </row>
    <row r="267" spans="1:3" x14ac:dyDescent="0.2">
      <c r="A267">
        <v>0.14198983311653138</v>
      </c>
      <c r="B267">
        <v>0.33780211126948895</v>
      </c>
      <c r="C267">
        <v>0.42033435665313507</v>
      </c>
    </row>
    <row r="268" spans="1:3" x14ac:dyDescent="0.2">
      <c r="A268">
        <v>-7.4021863937377932E-2</v>
      </c>
      <c r="B268">
        <v>0.45612157677504062</v>
      </c>
      <c r="C268">
        <v>-0.16228538114934551</v>
      </c>
    </row>
    <row r="269" spans="1:3" x14ac:dyDescent="0.2">
      <c r="A269">
        <v>-0.21014882847666741</v>
      </c>
      <c r="B269">
        <v>0.31396941645457521</v>
      </c>
      <c r="C269">
        <v>-0.66932897748361275</v>
      </c>
    </row>
    <row r="270" spans="1:3" x14ac:dyDescent="0.2">
      <c r="A270">
        <v>-0.39755661487579347</v>
      </c>
      <c r="B270">
        <v>0.31597444943830449</v>
      </c>
      <c r="C270">
        <v>-1.258192286061466</v>
      </c>
    </row>
    <row r="271" spans="1:3" x14ac:dyDescent="0.2">
      <c r="A271">
        <v>-0.37333187013864516</v>
      </c>
      <c r="B271">
        <v>0.62372862841119969</v>
      </c>
      <c r="C271">
        <v>-0.59854855642848925</v>
      </c>
    </row>
    <row r="272" spans="1:3" x14ac:dyDescent="0.2">
      <c r="A272">
        <v>-0.46389296650886536</v>
      </c>
      <c r="B272">
        <v>0.36905917661163595</v>
      </c>
      <c r="C272">
        <v>-1.2569609317614225</v>
      </c>
    </row>
    <row r="273" spans="1:3" x14ac:dyDescent="0.2">
      <c r="A273">
        <v>0.4431343674659729</v>
      </c>
      <c r="B273">
        <v>0.75062354666290643</v>
      </c>
      <c r="C273">
        <v>0.59035500476376312</v>
      </c>
    </row>
    <row r="274" spans="1:3" x14ac:dyDescent="0.2">
      <c r="A274">
        <v>0.72739098668098445</v>
      </c>
      <c r="B274">
        <v>0.12082148203646134</v>
      </c>
      <c r="C274">
        <v>6.0203779528335319</v>
      </c>
    </row>
    <row r="275" spans="1:3" x14ac:dyDescent="0.2">
      <c r="A275">
        <v>-0.49118407964706423</v>
      </c>
      <c r="B275">
        <v>0.24404499522956216</v>
      </c>
      <c r="C275">
        <v>-2.012678355419784</v>
      </c>
    </row>
    <row r="276" spans="1:3" x14ac:dyDescent="0.2">
      <c r="A276">
        <v>-0.38687112033367155</v>
      </c>
      <c r="B276">
        <v>0.37009049726586135</v>
      </c>
      <c r="C276">
        <v>-1.0453419452587445</v>
      </c>
    </row>
    <row r="277" spans="1:3" x14ac:dyDescent="0.2">
      <c r="A277">
        <v>-0.30034050345420837</v>
      </c>
      <c r="B277">
        <v>0.54011316282361921</v>
      </c>
      <c r="C277">
        <v>-0.5560695871288891</v>
      </c>
    </row>
    <row r="278" spans="1:3" x14ac:dyDescent="0.2">
      <c r="A278">
        <v>0.11692940890789032</v>
      </c>
      <c r="B278">
        <v>0.42923726836998161</v>
      </c>
      <c r="C278">
        <v>0.27241206093759518</v>
      </c>
    </row>
    <row r="279" spans="1:3" x14ac:dyDescent="0.2">
      <c r="A279">
        <v>0.24571605920791625</v>
      </c>
      <c r="B279">
        <v>0.86176022278260478</v>
      </c>
      <c r="C279">
        <v>0.28513274657131948</v>
      </c>
    </row>
    <row r="280" spans="1:3" x14ac:dyDescent="0.2">
      <c r="A280">
        <v>0.54380305707454679</v>
      </c>
      <c r="B280">
        <v>0.42879719875534306</v>
      </c>
      <c r="C280">
        <v>1.2682057127542528</v>
      </c>
    </row>
    <row r="281" spans="1:3" x14ac:dyDescent="0.2">
      <c r="A281">
        <v>0.58914748430252073</v>
      </c>
      <c r="B281">
        <v>0.33827982809555451</v>
      </c>
      <c r="C281">
        <v>1.7415980362154588</v>
      </c>
    </row>
    <row r="282" spans="1:3" x14ac:dyDescent="0.2">
      <c r="A282">
        <v>-0.71345717310905454</v>
      </c>
      <c r="B282">
        <v>0.53669521832330214</v>
      </c>
      <c r="C282">
        <v>-1.3293525799204569</v>
      </c>
    </row>
    <row r="283" spans="1:3" x14ac:dyDescent="0.2">
      <c r="A283">
        <v>-0.377436226606369</v>
      </c>
      <c r="B283">
        <v>0.33021199385896649</v>
      </c>
      <c r="C283">
        <v>-1.1430118639711553</v>
      </c>
    </row>
    <row r="284" spans="1:3" x14ac:dyDescent="0.2">
      <c r="A284">
        <v>0.64935902059078221</v>
      </c>
      <c r="B284">
        <v>0.29890568689986069</v>
      </c>
      <c r="C284">
        <v>2.1724545535606699</v>
      </c>
    </row>
    <row r="285" spans="1:3" x14ac:dyDescent="0.2">
      <c r="A285">
        <v>-0.30570704042911528</v>
      </c>
      <c r="B285">
        <v>0.44378208861450796</v>
      </c>
      <c r="C285">
        <v>-0.68886746056727</v>
      </c>
    </row>
    <row r="286" spans="1:3" x14ac:dyDescent="0.2">
      <c r="A286">
        <v>-0.21011591255664824</v>
      </c>
      <c r="B286">
        <v>0.5615491727328713</v>
      </c>
      <c r="C286">
        <v>-0.37417188513355765</v>
      </c>
    </row>
    <row r="287" spans="1:3" x14ac:dyDescent="0.2">
      <c r="A287">
        <v>3.522135317325592E-3</v>
      </c>
      <c r="B287">
        <v>0.18611255924853493</v>
      </c>
      <c r="C287">
        <v>1.8924758928397348E-2</v>
      </c>
    </row>
    <row r="288" spans="1:3" x14ac:dyDescent="0.2">
      <c r="A288">
        <v>7.2533681988716125E-2</v>
      </c>
      <c r="B288">
        <v>0.39010364277021908</v>
      </c>
      <c r="C288">
        <v>0.18593438777868654</v>
      </c>
    </row>
    <row r="289" spans="1:3" x14ac:dyDescent="0.2">
      <c r="A289">
        <v>-0.35668705701828002</v>
      </c>
      <c r="B289">
        <v>0.38096062409215387</v>
      </c>
      <c r="C289">
        <v>-0.93628326514920313</v>
      </c>
    </row>
    <row r="290" spans="1:3" x14ac:dyDescent="0.2">
      <c r="A290">
        <v>-0.35415282249450686</v>
      </c>
      <c r="B290">
        <v>0.29232252022087513</v>
      </c>
      <c r="C290">
        <v>-1.2115139888193136</v>
      </c>
    </row>
    <row r="291" spans="1:3" x14ac:dyDescent="0.2">
      <c r="A291">
        <v>6.1730074882507327E-2</v>
      </c>
      <c r="B291">
        <v>0.61996615965128865</v>
      </c>
      <c r="C291">
        <v>9.9570071562016457E-2</v>
      </c>
    </row>
    <row r="292" spans="1:3" x14ac:dyDescent="0.2">
      <c r="A292">
        <v>8.4756612777709957E-4</v>
      </c>
      <c r="B292">
        <v>0.48413119752789652</v>
      </c>
      <c r="C292">
        <v>1.7506951258357221E-3</v>
      </c>
    </row>
    <row r="293" spans="1:3" x14ac:dyDescent="0.2">
      <c r="A293">
        <v>-0.70707961320877077</v>
      </c>
      <c r="B293">
        <v>0.54265732295098379</v>
      </c>
      <c r="C293">
        <v>-1.3029946953699152</v>
      </c>
    </row>
    <row r="294" spans="1:3" x14ac:dyDescent="0.2">
      <c r="A294">
        <v>-0.48030645176768305</v>
      </c>
      <c r="B294">
        <v>0.67808433786132349</v>
      </c>
      <c r="C294">
        <v>-0.70832848504150459</v>
      </c>
    </row>
    <row r="295" spans="1:3" x14ac:dyDescent="0.2">
      <c r="A295">
        <v>2.7303674444556236E-2</v>
      </c>
      <c r="B295">
        <v>0.10885064092662911</v>
      </c>
      <c r="C295">
        <v>0.25083613851167225</v>
      </c>
    </row>
    <row r="296" spans="1:3" x14ac:dyDescent="0.2">
      <c r="A296">
        <v>-0.54556498527526853</v>
      </c>
      <c r="B296">
        <v>0.62542637254355904</v>
      </c>
      <c r="C296">
        <v>-0.87230889074360485</v>
      </c>
    </row>
    <row r="297" spans="1:3" x14ac:dyDescent="0.2">
      <c r="A297">
        <v>0.2606596678495407</v>
      </c>
      <c r="B297">
        <v>0.42703810095356654</v>
      </c>
      <c r="C297">
        <v>0.61038972229291366</v>
      </c>
    </row>
    <row r="298" spans="1:3" x14ac:dyDescent="0.2">
      <c r="A298">
        <v>0.29941710606217387</v>
      </c>
      <c r="B298">
        <v>0.54309224693991232</v>
      </c>
      <c r="C298">
        <v>0.55131905813286508</v>
      </c>
    </row>
    <row r="299" spans="1:3" x14ac:dyDescent="0.2">
      <c r="A299">
        <v>0.28066884279251098</v>
      </c>
      <c r="B299">
        <v>0.29555020376560909</v>
      </c>
      <c r="C299">
        <v>0.94964861880149465</v>
      </c>
    </row>
    <row r="300" spans="1:3" x14ac:dyDescent="0.2">
      <c r="A300">
        <v>0.16335520446300505</v>
      </c>
      <c r="B300">
        <v>0.28634318540922599</v>
      </c>
      <c r="C300">
        <v>0.57048748769609015</v>
      </c>
    </row>
    <row r="301" spans="1:3" x14ac:dyDescent="0.2">
      <c r="A301">
        <v>0.45771226882934568</v>
      </c>
      <c r="B301">
        <v>0.53337574918148944</v>
      </c>
      <c r="C301">
        <v>0.85814225624570328</v>
      </c>
    </row>
    <row r="302" spans="1:3" x14ac:dyDescent="0.2">
      <c r="A302">
        <v>-1.5758858621120454E-2</v>
      </c>
      <c r="B302">
        <v>0.4498441000329505</v>
      </c>
      <c r="C302">
        <v>-3.503182240239705E-2</v>
      </c>
    </row>
    <row r="303" spans="1:3" x14ac:dyDescent="0.2">
      <c r="A303">
        <v>-0.37220439016819001</v>
      </c>
      <c r="B303">
        <v>0.41104393380319892</v>
      </c>
      <c r="C303">
        <v>-0.90550999433164081</v>
      </c>
    </row>
    <row r="304" spans="1:3" x14ac:dyDescent="0.2">
      <c r="A304">
        <v>-2.3709416389465332E-2</v>
      </c>
      <c r="B304">
        <v>0.33568813944603043</v>
      </c>
      <c r="C304">
        <v>-7.0629294286631075E-2</v>
      </c>
    </row>
    <row r="305" spans="1:3" x14ac:dyDescent="0.2">
      <c r="A305">
        <v>0.12202262580394745</v>
      </c>
      <c r="B305">
        <v>0.21360585869869197</v>
      </c>
      <c r="C305">
        <v>0.57125130624843978</v>
      </c>
    </row>
    <row r="306" spans="1:3" x14ac:dyDescent="0.2">
      <c r="A306">
        <v>0.37048860788345339</v>
      </c>
      <c r="B306">
        <v>0.46473514339847044</v>
      </c>
      <c r="C306">
        <v>0.79720376895575396</v>
      </c>
    </row>
    <row r="307" spans="1:3" x14ac:dyDescent="0.2">
      <c r="A307">
        <v>-0.48812797069549563</v>
      </c>
      <c r="B307">
        <v>0.54925596473268179</v>
      </c>
      <c r="C307">
        <v>-0.88870763730907021</v>
      </c>
    </row>
    <row r="308" spans="1:3" x14ac:dyDescent="0.2">
      <c r="A308">
        <v>-0.10483365021646023</v>
      </c>
      <c r="B308">
        <v>0.39405475716810234</v>
      </c>
      <c r="C308">
        <v>-0.26603828099894899</v>
      </c>
    </row>
    <row r="309" spans="1:3" x14ac:dyDescent="0.2">
      <c r="A309">
        <v>0.98425776958465572</v>
      </c>
      <c r="B309">
        <v>0.46508202939073368</v>
      </c>
      <c r="C309">
        <v>2.116310042927378</v>
      </c>
    </row>
    <row r="310" spans="1:3" x14ac:dyDescent="0.2">
      <c r="A310">
        <v>0.40599353611469269</v>
      </c>
      <c r="B310">
        <v>0.81858976625361024</v>
      </c>
      <c r="C310">
        <v>0.49596703116968893</v>
      </c>
    </row>
    <row r="311" spans="1:3" x14ac:dyDescent="0.2">
      <c r="A311">
        <v>0.25841647982597349</v>
      </c>
      <c r="B311">
        <v>0.47174710826010685</v>
      </c>
      <c r="C311">
        <v>0.5477860389628304</v>
      </c>
    </row>
    <row r="312" spans="1:3" x14ac:dyDescent="0.2">
      <c r="A312">
        <v>-0.22053871750831605</v>
      </c>
      <c r="B312">
        <v>0.50395097993417948</v>
      </c>
      <c r="C312">
        <v>-0.43761938420502799</v>
      </c>
    </row>
    <row r="313" spans="1:3" x14ac:dyDescent="0.2">
      <c r="A313">
        <v>0.83573385085910556</v>
      </c>
      <c r="B313">
        <v>0.3397643137462189</v>
      </c>
      <c r="C313">
        <v>2.4597458209909075</v>
      </c>
    </row>
    <row r="314" spans="1:3" x14ac:dyDescent="0.2">
      <c r="A314">
        <v>-0.20236542522907258</v>
      </c>
      <c r="B314">
        <v>0.35077715260163794</v>
      </c>
      <c r="C314">
        <v>-0.57690594649101912</v>
      </c>
    </row>
    <row r="315" spans="1:3" x14ac:dyDescent="0.2">
      <c r="A315">
        <v>0.34717615246772765</v>
      </c>
      <c r="B315">
        <v>0.43969138744917585</v>
      </c>
      <c r="C315">
        <v>0.78959052275695962</v>
      </c>
    </row>
    <row r="316" spans="1:3" x14ac:dyDescent="0.2">
      <c r="A316">
        <v>0.26543654054403304</v>
      </c>
      <c r="B316">
        <v>0.56533854648013293</v>
      </c>
      <c r="C316">
        <v>0.46951785296911641</v>
      </c>
    </row>
    <row r="317" spans="1:3" x14ac:dyDescent="0.2">
      <c r="A317">
        <v>-3.8844177871942519E-2</v>
      </c>
      <c r="B317">
        <v>0.45006523784176128</v>
      </c>
      <c r="C317">
        <v>-8.630788295984719E-2</v>
      </c>
    </row>
    <row r="318" spans="1:3" x14ac:dyDescent="0.2">
      <c r="A318">
        <v>-0.68132460117340088</v>
      </c>
      <c r="B318">
        <v>0.334947917156103</v>
      </c>
      <c r="C318">
        <v>-2.0341210268098742</v>
      </c>
    </row>
    <row r="319" spans="1:3" x14ac:dyDescent="0.2">
      <c r="A319">
        <v>6.3720417022705075E-2</v>
      </c>
      <c r="B319">
        <v>0.28881732876320498</v>
      </c>
      <c r="C319">
        <v>0.22062532499546816</v>
      </c>
    </row>
    <row r="320" spans="1:3" x14ac:dyDescent="0.2">
      <c r="A320">
        <v>0.36961852312088012</v>
      </c>
      <c r="B320">
        <v>0.25779215557735818</v>
      </c>
      <c r="C320">
        <v>1.433784989667636</v>
      </c>
    </row>
    <row r="321" spans="1:3" x14ac:dyDescent="0.2">
      <c r="A321">
        <v>-0.76118195056915283</v>
      </c>
      <c r="B321">
        <v>0.55827779227615537</v>
      </c>
      <c r="C321">
        <v>-1.3634465871653905</v>
      </c>
    </row>
    <row r="322" spans="1:3" x14ac:dyDescent="0.2">
      <c r="A322">
        <v>-0.73200020790100095</v>
      </c>
      <c r="B322">
        <v>0.53758315906793563</v>
      </c>
      <c r="C322">
        <v>-1.3616501848200502</v>
      </c>
    </row>
    <row r="323" spans="1:3" x14ac:dyDescent="0.2">
      <c r="A323">
        <v>-0.13442502915859222</v>
      </c>
      <c r="B323">
        <v>0.39068994111496103</v>
      </c>
      <c r="C323">
        <v>-0.34407087311991347</v>
      </c>
    </row>
    <row r="324" spans="1:3" x14ac:dyDescent="0.2">
      <c r="A324">
        <v>0.21528846025466919</v>
      </c>
      <c r="B324">
        <v>0.541806604576198</v>
      </c>
      <c r="C324">
        <v>0.39735296402130088</v>
      </c>
    </row>
    <row r="325" spans="1:3" x14ac:dyDescent="0.2">
      <c r="A325">
        <v>0.58294943571090696</v>
      </c>
      <c r="B325">
        <v>0.60199461763122553</v>
      </c>
      <c r="C325">
        <v>0.96836320232353734</v>
      </c>
    </row>
    <row r="326" spans="1:3" x14ac:dyDescent="0.2">
      <c r="A326">
        <v>6.2601973116397855E-2</v>
      </c>
      <c r="B326">
        <v>0.42859675372280526</v>
      </c>
      <c r="C326">
        <v>0.14606263946853329</v>
      </c>
    </row>
    <row r="327" spans="1:3" x14ac:dyDescent="0.2">
      <c r="A327">
        <v>-0.34972127005457876</v>
      </c>
      <c r="B327">
        <v>0.48204435247775212</v>
      </c>
      <c r="C327">
        <v>-0.72549604254666489</v>
      </c>
    </row>
    <row r="328" spans="1:3" x14ac:dyDescent="0.2">
      <c r="A328">
        <v>-0.66402699053287506</v>
      </c>
      <c r="B328">
        <v>0.53497722657124591</v>
      </c>
      <c r="C328">
        <v>-1.2412247803307994</v>
      </c>
    </row>
    <row r="329" spans="1:3" x14ac:dyDescent="0.2">
      <c r="A329">
        <v>0.56723062396049495</v>
      </c>
      <c r="B329">
        <v>0.2587884395240817</v>
      </c>
      <c r="C329">
        <v>2.1918700271296738</v>
      </c>
    </row>
    <row r="330" spans="1:3" x14ac:dyDescent="0.2">
      <c r="A330">
        <v>0.11979937553405762</v>
      </c>
      <c r="B330">
        <v>0.76622826457814153</v>
      </c>
      <c r="C330">
        <v>0.1563494601703514</v>
      </c>
    </row>
    <row r="331" spans="1:3" x14ac:dyDescent="0.2">
      <c r="A331">
        <v>1.4928838610649109E-2</v>
      </c>
      <c r="B331">
        <v>0.50735827409045997</v>
      </c>
      <c r="C331">
        <v>2.9424647971715855E-2</v>
      </c>
    </row>
    <row r="332" spans="1:3" x14ac:dyDescent="0.2">
      <c r="A332">
        <v>-0.32970273792743682</v>
      </c>
      <c r="B332">
        <v>0.58786213020274636</v>
      </c>
      <c r="C332">
        <v>-0.56085044602843603</v>
      </c>
    </row>
    <row r="333" spans="1:3" x14ac:dyDescent="0.2">
      <c r="A333">
        <v>-0.89516658633947377</v>
      </c>
      <c r="B333">
        <v>0.50654335799692674</v>
      </c>
      <c r="C333">
        <v>-1.7672062464293627</v>
      </c>
    </row>
    <row r="334" spans="1:3" x14ac:dyDescent="0.2">
      <c r="A334">
        <v>-0.13249348402023314</v>
      </c>
      <c r="B334">
        <v>0.36653750358314613</v>
      </c>
      <c r="C334">
        <v>-0.3614731991270248</v>
      </c>
    </row>
    <row r="335" spans="1:3" x14ac:dyDescent="0.2">
      <c r="A335">
        <v>0.44555406570434569</v>
      </c>
      <c r="B335">
        <v>0.76896644606547238</v>
      </c>
      <c r="C335">
        <v>0.57941938557148664</v>
      </c>
    </row>
    <row r="336" spans="1:3" x14ac:dyDescent="0.2">
      <c r="A336">
        <v>0.12291208133101464</v>
      </c>
      <c r="B336">
        <v>0.6157145947396061</v>
      </c>
      <c r="C336">
        <v>0.19962508990548744</v>
      </c>
    </row>
    <row r="337" spans="1:3" x14ac:dyDescent="0.2">
      <c r="A337">
        <v>-0.29039511829614639</v>
      </c>
      <c r="B337">
        <v>0.47771997884379841</v>
      </c>
      <c r="C337">
        <v>-0.60787727362580701</v>
      </c>
    </row>
    <row r="338" spans="1:3" x14ac:dyDescent="0.2">
      <c r="A338">
        <v>-0.64625435192137959</v>
      </c>
      <c r="B338">
        <v>0.43840972338636452</v>
      </c>
      <c r="C338">
        <v>-1.474087634119019</v>
      </c>
    </row>
    <row r="339" spans="1:3" x14ac:dyDescent="0.2">
      <c r="A339">
        <v>-0.6267634779214859</v>
      </c>
      <c r="B339">
        <v>0.46633069456163939</v>
      </c>
      <c r="C339">
        <v>-1.3440322184038447</v>
      </c>
    </row>
    <row r="340" spans="1:3" x14ac:dyDescent="0.2">
      <c r="A340">
        <v>-0.14498148411512374</v>
      </c>
      <c r="B340">
        <v>0.34943051141710774</v>
      </c>
      <c r="C340">
        <v>-0.41490791266954485</v>
      </c>
    </row>
    <row r="341" spans="1:3" x14ac:dyDescent="0.2">
      <c r="A341">
        <v>0.3862052312120795</v>
      </c>
      <c r="B341">
        <v>0.41168989308330589</v>
      </c>
      <c r="C341">
        <v>0.93809743134483625</v>
      </c>
    </row>
    <row r="342" spans="1:3" x14ac:dyDescent="0.2">
      <c r="A342">
        <v>-0.4299671068787575</v>
      </c>
      <c r="B342">
        <v>0.54497055890809032</v>
      </c>
      <c r="C342">
        <v>-0.78897309194141585</v>
      </c>
    </row>
    <row r="343" spans="1:3" x14ac:dyDescent="0.2">
      <c r="A343">
        <v>0.55586769506335254</v>
      </c>
      <c r="B343">
        <v>0.34121768603347735</v>
      </c>
      <c r="C343">
        <v>1.629070584016608</v>
      </c>
    </row>
    <row r="344" spans="1:3" x14ac:dyDescent="0.2">
      <c r="A344">
        <v>1.2982383012771606</v>
      </c>
      <c r="B344">
        <v>0.23072035902385524</v>
      </c>
      <c r="C344">
        <v>5.6268909547896886</v>
      </c>
    </row>
    <row r="345" spans="1:3" x14ac:dyDescent="0.2">
      <c r="A345">
        <v>-0.74775494337081905</v>
      </c>
      <c r="B345">
        <v>0.40388120034007735</v>
      </c>
      <c r="C345">
        <v>-1.8514229994889388</v>
      </c>
    </row>
    <row r="346" spans="1:3" x14ac:dyDescent="0.2">
      <c r="A346">
        <v>-0.54125084504485133</v>
      </c>
      <c r="B346">
        <v>0.30441058795830672</v>
      </c>
      <c r="C346">
        <v>-1.7780289728916499</v>
      </c>
    </row>
    <row r="347" spans="1:3" x14ac:dyDescent="0.2">
      <c r="A347">
        <v>-0.33723051548004152</v>
      </c>
      <c r="B347">
        <v>0.47592220966938531</v>
      </c>
      <c r="C347">
        <v>-0.70858326976232011</v>
      </c>
    </row>
    <row r="348" spans="1:3" x14ac:dyDescent="0.2">
      <c r="A348">
        <v>0.51266804058104753</v>
      </c>
      <c r="B348">
        <v>0.34890725210855983</v>
      </c>
      <c r="C348">
        <v>1.4693533524534903</v>
      </c>
    </row>
    <row r="349" spans="1:3" x14ac:dyDescent="0.2">
      <c r="A349">
        <v>2.2639228403568266E-2</v>
      </c>
      <c r="B349">
        <v>0.51807838678569718</v>
      </c>
      <c r="C349">
        <v>4.3698461431731124E-2</v>
      </c>
    </row>
    <row r="350" spans="1:3" x14ac:dyDescent="0.2">
      <c r="A350">
        <v>9.2665886878967291E-2</v>
      </c>
      <c r="B350">
        <v>0.37845818353982524</v>
      </c>
      <c r="C350">
        <v>0.24485105860900491</v>
      </c>
    </row>
    <row r="351" spans="1:3" x14ac:dyDescent="0.2">
      <c r="A351">
        <v>0.57798687219619749</v>
      </c>
      <c r="B351">
        <v>0.35975815853722254</v>
      </c>
      <c r="C351">
        <v>1.6065983730467528</v>
      </c>
    </row>
    <row r="352" spans="1:3" x14ac:dyDescent="0.2">
      <c r="A352">
        <v>-0.33070882111787797</v>
      </c>
      <c r="B352">
        <v>0.30137055115090533</v>
      </c>
      <c r="C352">
        <v>-1.0973494916969577</v>
      </c>
    </row>
    <row r="353" spans="1:3" x14ac:dyDescent="0.2">
      <c r="A353">
        <v>-0.64877352714538572</v>
      </c>
      <c r="B353">
        <v>0.56651795712017672</v>
      </c>
      <c r="C353">
        <v>-1.1451949915998161</v>
      </c>
    </row>
    <row r="354" spans="1:3" x14ac:dyDescent="0.2">
      <c r="A354">
        <v>-0.46009976491332055</v>
      </c>
      <c r="B354">
        <v>0.51147116449878527</v>
      </c>
      <c r="C354">
        <v>-0.89956149407600339</v>
      </c>
    </row>
    <row r="355" spans="1:3" x14ac:dyDescent="0.2">
      <c r="A355">
        <v>0.1570097178220749</v>
      </c>
      <c r="B355">
        <v>0.35992426156385759</v>
      </c>
      <c r="C355">
        <v>0.43622988108629712</v>
      </c>
    </row>
    <row r="356" spans="1:3" x14ac:dyDescent="0.2">
      <c r="A356">
        <v>7.0096254348754887E-4</v>
      </c>
      <c r="B356">
        <v>0.51701543540127171</v>
      </c>
      <c r="C356">
        <v>1.3557864920290244E-3</v>
      </c>
    </row>
    <row r="357" spans="1:3" x14ac:dyDescent="0.2">
      <c r="A357">
        <v>0.64954783767461777</v>
      </c>
      <c r="B357">
        <v>0.41228831301289498</v>
      </c>
      <c r="C357">
        <v>1.5754699252275486</v>
      </c>
    </row>
    <row r="358" spans="1:3" x14ac:dyDescent="0.2">
      <c r="A358">
        <v>-0.18983670175075532</v>
      </c>
      <c r="B358">
        <v>0.44542897077687665</v>
      </c>
      <c r="C358">
        <v>-0.4261884929030535</v>
      </c>
    </row>
    <row r="359" spans="1:3" x14ac:dyDescent="0.2">
      <c r="A359">
        <v>0.21470772624015808</v>
      </c>
      <c r="B359">
        <v>0.51897460769183934</v>
      </c>
      <c r="C359">
        <v>0.41371528213119985</v>
      </c>
    </row>
    <row r="360" spans="1:3" x14ac:dyDescent="0.2">
      <c r="A360">
        <v>-0.10642041862010956</v>
      </c>
      <c r="B360">
        <v>0.29543518254411555</v>
      </c>
      <c r="C360">
        <v>-0.36021579320268821</v>
      </c>
    </row>
    <row r="361" spans="1:3" x14ac:dyDescent="0.2">
      <c r="A361">
        <v>-1.1875017881393433</v>
      </c>
      <c r="B361">
        <v>0.67667984808558934</v>
      </c>
      <c r="C361">
        <v>-1.7548945657225232</v>
      </c>
    </row>
    <row r="362" spans="1:3" x14ac:dyDescent="0.2">
      <c r="A362">
        <v>-0.3403859630227089</v>
      </c>
      <c r="B362">
        <v>0.12323107986427193</v>
      </c>
      <c r="C362">
        <v>-2.7621762577883255</v>
      </c>
    </row>
    <row r="363" spans="1:3" x14ac:dyDescent="0.2">
      <c r="A363">
        <v>0.26249870061874392</v>
      </c>
      <c r="B363">
        <v>0.33867284903821521</v>
      </c>
      <c r="C363">
        <v>0.77508043932132287</v>
      </c>
    </row>
    <row r="364" spans="1:3" x14ac:dyDescent="0.2">
      <c r="A364">
        <v>-0.70733814239501958</v>
      </c>
      <c r="B364">
        <v>0.35545598604744733</v>
      </c>
      <c r="C364">
        <v>-1.9899457883953091</v>
      </c>
    </row>
    <row r="365" spans="1:3" x14ac:dyDescent="0.2">
      <c r="A365">
        <v>0.13348426818847656</v>
      </c>
      <c r="B365">
        <v>0.33306945678823546</v>
      </c>
      <c r="C365">
        <v>0.40077006602663495</v>
      </c>
    </row>
    <row r="366" spans="1:3" x14ac:dyDescent="0.2">
      <c r="A366">
        <v>-9.2008650302886959E-3</v>
      </c>
      <c r="B366">
        <v>0.36914098029964826</v>
      </c>
      <c r="C366">
        <v>-2.492507069472466E-2</v>
      </c>
    </row>
    <row r="367" spans="1:3" x14ac:dyDescent="0.2">
      <c r="A367">
        <v>-0.61210617721080784</v>
      </c>
      <c r="B367">
        <v>0.54026023960555258</v>
      </c>
      <c r="C367">
        <v>-1.1329839442889791</v>
      </c>
    </row>
    <row r="368" spans="1:3" x14ac:dyDescent="0.2">
      <c r="A368">
        <v>0.97150706648826601</v>
      </c>
      <c r="B368">
        <v>0.57164653813178579</v>
      </c>
      <c r="C368">
        <v>1.6994891102870591</v>
      </c>
    </row>
    <row r="369" spans="1:3" x14ac:dyDescent="0.2">
      <c r="A369">
        <v>-0.1806455969810486</v>
      </c>
      <c r="B369">
        <v>0.57755022842602655</v>
      </c>
      <c r="C369">
        <v>-0.31277902438607719</v>
      </c>
    </row>
    <row r="370" spans="1:3" x14ac:dyDescent="0.2">
      <c r="A370">
        <v>-0.28508679121732711</v>
      </c>
      <c r="B370">
        <v>0.35868511480192933</v>
      </c>
      <c r="C370">
        <v>-0.7948107670282214</v>
      </c>
    </row>
    <row r="371" spans="1:3" x14ac:dyDescent="0.2">
      <c r="A371">
        <v>0.18945488035678865</v>
      </c>
      <c r="B371">
        <v>0.46292842139484797</v>
      </c>
      <c r="C371">
        <v>0.40925307585553472</v>
      </c>
    </row>
    <row r="372" spans="1:3" x14ac:dyDescent="0.2">
      <c r="A372">
        <v>1.2005279779434204</v>
      </c>
      <c r="B372">
        <v>0.75721675129510935</v>
      </c>
      <c r="C372">
        <v>1.5854482562490746</v>
      </c>
    </row>
    <row r="373" spans="1:3" x14ac:dyDescent="0.2">
      <c r="A373">
        <v>5.1191236823797226E-2</v>
      </c>
      <c r="B373">
        <v>0.31720165116360644</v>
      </c>
      <c r="C373">
        <v>0.16138389140160492</v>
      </c>
    </row>
    <row r="374" spans="1:3" x14ac:dyDescent="0.2">
      <c r="A374">
        <v>-0.27247558832168578</v>
      </c>
      <c r="B374">
        <v>0.48109694093345956</v>
      </c>
      <c r="C374">
        <v>-0.56636316953711796</v>
      </c>
    </row>
    <row r="375" spans="1:3" x14ac:dyDescent="0.2">
      <c r="A375">
        <v>0.87155220508575437</v>
      </c>
      <c r="B375">
        <v>0.48506742915269369</v>
      </c>
      <c r="C375">
        <v>1.7967650530734762</v>
      </c>
    </row>
    <row r="376" spans="1:3" x14ac:dyDescent="0.2">
      <c r="A376">
        <v>0.44990755394101145</v>
      </c>
      <c r="B376">
        <v>0.6139841337381633</v>
      </c>
      <c r="C376">
        <v>0.73276739449569694</v>
      </c>
    </row>
    <row r="377" spans="1:3" x14ac:dyDescent="0.2">
      <c r="A377">
        <v>0.3938444912433624</v>
      </c>
      <c r="B377">
        <v>0.44745903235772444</v>
      </c>
      <c r="C377">
        <v>0.88018000031900245</v>
      </c>
    </row>
    <row r="378" spans="1:3" x14ac:dyDescent="0.2">
      <c r="A378">
        <v>8.0233585089445111E-3</v>
      </c>
      <c r="B378">
        <v>0.23601726027064307</v>
      </c>
      <c r="C378">
        <v>3.3994795549037622E-2</v>
      </c>
    </row>
    <row r="379" spans="1:3" x14ac:dyDescent="0.2">
      <c r="A379">
        <v>0.37588567584753035</v>
      </c>
      <c r="B379">
        <v>0.41008208079922703</v>
      </c>
      <c r="C379">
        <v>0.91661082853205922</v>
      </c>
    </row>
    <row r="380" spans="1:3" x14ac:dyDescent="0.2">
      <c r="A380">
        <v>-0.35261515378952024</v>
      </c>
      <c r="B380">
        <v>0.58338347873973051</v>
      </c>
      <c r="C380">
        <v>-0.60443116173133049</v>
      </c>
    </row>
    <row r="381" spans="1:3" x14ac:dyDescent="0.2">
      <c r="A381">
        <v>-0.74067773818969729</v>
      </c>
      <c r="B381">
        <v>0.34330743167709443</v>
      </c>
      <c r="C381">
        <v>-2.1574765642893468</v>
      </c>
    </row>
    <row r="382" spans="1:3" x14ac:dyDescent="0.2">
      <c r="A382">
        <v>0.70424823164939876</v>
      </c>
      <c r="B382">
        <v>0.47905753837981002</v>
      </c>
      <c r="C382">
        <v>1.4700702425666692</v>
      </c>
    </row>
    <row r="383" spans="1:3" x14ac:dyDescent="0.2">
      <c r="A383">
        <v>0.510596027970314</v>
      </c>
      <c r="B383">
        <v>0.53605637710545728</v>
      </c>
      <c r="C383">
        <v>0.95250434427695552</v>
      </c>
    </row>
    <row r="384" spans="1:3" x14ac:dyDescent="0.2">
      <c r="A384">
        <v>-1.719772070646286E-3</v>
      </c>
      <c r="B384">
        <v>0.72203191387920229</v>
      </c>
      <c r="C384">
        <v>-2.3818504938467417E-3</v>
      </c>
    </row>
    <row r="385" spans="1:3" x14ac:dyDescent="0.2">
      <c r="A385">
        <v>0.78014193773269658</v>
      </c>
      <c r="B385">
        <v>0.18931892663107536</v>
      </c>
      <c r="C385">
        <v>4.1207815384087532</v>
      </c>
    </row>
    <row r="386" spans="1:3" x14ac:dyDescent="0.2">
      <c r="A386">
        <v>1.9325494766235351E-3</v>
      </c>
      <c r="B386">
        <v>0.3033874358409035</v>
      </c>
      <c r="C386">
        <v>6.369906094717004E-3</v>
      </c>
    </row>
    <row r="387" spans="1:3" x14ac:dyDescent="0.2">
      <c r="A387">
        <v>-0.26499990522861483</v>
      </c>
      <c r="B387">
        <v>0.38060517223960016</v>
      </c>
      <c r="C387">
        <v>-0.69625933790986683</v>
      </c>
    </row>
    <row r="388" spans="1:3" x14ac:dyDescent="0.2">
      <c r="A388">
        <v>9.161705374717713E-2</v>
      </c>
      <c r="B388">
        <v>0.38771647389151254</v>
      </c>
      <c r="C388">
        <v>0.23629909977158364</v>
      </c>
    </row>
    <row r="389" spans="1:3" x14ac:dyDescent="0.2">
      <c r="A389">
        <v>4.7339563816785814E-2</v>
      </c>
      <c r="B389">
        <v>0.36588981823428229</v>
      </c>
      <c r="C389">
        <v>0.12938202009894109</v>
      </c>
    </row>
    <row r="390" spans="1:3" x14ac:dyDescent="0.2">
      <c r="A390">
        <v>0.39094827175140379</v>
      </c>
      <c r="B390">
        <v>0.62872114296271697</v>
      </c>
      <c r="C390">
        <v>0.62181505445982266</v>
      </c>
    </row>
    <row r="391" spans="1:3" x14ac:dyDescent="0.2">
      <c r="A391">
        <v>-0.56513786911964414</v>
      </c>
      <c r="B391">
        <v>0.44301289216166329</v>
      </c>
      <c r="C391">
        <v>-1.2756691263815756</v>
      </c>
    </row>
    <row r="392" spans="1:3" x14ac:dyDescent="0.2">
      <c r="A392">
        <v>8.1786423921585083E-2</v>
      </c>
      <c r="B392">
        <v>0.40512795169908822</v>
      </c>
      <c r="C392">
        <v>0.20187800811713075</v>
      </c>
    </row>
    <row r="393" spans="1:3" x14ac:dyDescent="0.2">
      <c r="A393">
        <v>-1.1653704643249512</v>
      </c>
      <c r="B393">
        <v>0.38728816558642409</v>
      </c>
      <c r="C393">
        <v>-3.0090526070177495</v>
      </c>
    </row>
    <row r="394" spans="1:3" x14ac:dyDescent="0.2">
      <c r="A394">
        <v>-0.9381725668907166</v>
      </c>
      <c r="B394">
        <v>0.62815386559475872</v>
      </c>
      <c r="C394">
        <v>-1.493539430824677</v>
      </c>
    </row>
    <row r="395" spans="1:3" x14ac:dyDescent="0.2">
      <c r="A395">
        <v>8.8698497414588934E-2</v>
      </c>
      <c r="B395">
        <v>0.58245678733059369</v>
      </c>
      <c r="C395">
        <v>0.15228339568518925</v>
      </c>
    </row>
    <row r="396" spans="1:3" x14ac:dyDescent="0.2">
      <c r="A396">
        <v>-0.35928159579634666</v>
      </c>
      <c r="B396">
        <v>0.53909969158777504</v>
      </c>
      <c r="C396">
        <v>-0.6664474148337538</v>
      </c>
    </row>
    <row r="397" spans="1:3" x14ac:dyDescent="0.2">
      <c r="A397">
        <v>-0.30237605148868169</v>
      </c>
      <c r="B397">
        <v>0.52105703731424313</v>
      </c>
      <c r="C397">
        <v>-0.58031276776772978</v>
      </c>
    </row>
    <row r="398" spans="1:3" x14ac:dyDescent="0.2">
      <c r="A398">
        <v>0.26036733016371727</v>
      </c>
      <c r="B398">
        <v>0.1654925925253197</v>
      </c>
      <c r="C398">
        <v>1.5732869138773213</v>
      </c>
    </row>
    <row r="399" spans="1:3" x14ac:dyDescent="0.2">
      <c r="A399">
        <v>0.27605530023574831</v>
      </c>
      <c r="B399">
        <v>0.4463132480222205</v>
      </c>
      <c r="C399">
        <v>0.61852365229813744</v>
      </c>
    </row>
    <row r="400" spans="1:3" x14ac:dyDescent="0.2">
      <c r="A400">
        <v>0.68535043336451051</v>
      </c>
      <c r="B400">
        <v>0.28123895472269844</v>
      </c>
      <c r="C400">
        <v>2.4368972429166718</v>
      </c>
    </row>
    <row r="401" spans="1:3" x14ac:dyDescent="0.2">
      <c r="A401">
        <v>-0.90194712877273564</v>
      </c>
      <c r="B401">
        <v>0.26687879382991969</v>
      </c>
      <c r="C401">
        <v>-3.3796133286916055</v>
      </c>
    </row>
    <row r="402" spans="1:3" x14ac:dyDescent="0.2">
      <c r="A402">
        <v>-0.89066541790962217</v>
      </c>
      <c r="B402">
        <v>0.3038466349021442</v>
      </c>
      <c r="C402">
        <v>-2.9312992661461164</v>
      </c>
    </row>
    <row r="403" spans="1:3" x14ac:dyDescent="0.2">
      <c r="A403">
        <v>0.3210265263915062</v>
      </c>
      <c r="B403">
        <v>0.15586525386515609</v>
      </c>
      <c r="C403">
        <v>2.0596413788876657</v>
      </c>
    </row>
    <row r="404" spans="1:3" x14ac:dyDescent="0.2">
      <c r="A404">
        <v>-0.2358517713844776</v>
      </c>
      <c r="B404">
        <v>0.5116893846824162</v>
      </c>
      <c r="C404">
        <v>-0.46092762219575995</v>
      </c>
    </row>
    <row r="405" spans="1:3" x14ac:dyDescent="0.2">
      <c r="A405">
        <v>-0.13235905766487122</v>
      </c>
      <c r="B405">
        <v>0.38021585583448436</v>
      </c>
      <c r="C405">
        <v>-0.34811556549732575</v>
      </c>
    </row>
    <row r="406" spans="1:3" x14ac:dyDescent="0.2">
      <c r="A406">
        <v>0.31784587204456327</v>
      </c>
      <c r="B406">
        <v>0.3105727228031202</v>
      </c>
      <c r="C406">
        <v>1.0234185062223049</v>
      </c>
    </row>
    <row r="407" spans="1:3" x14ac:dyDescent="0.2">
      <c r="A407">
        <v>0.43777931928634645</v>
      </c>
      <c r="B407">
        <v>0.45230333846085674</v>
      </c>
      <c r="C407">
        <v>0.96788876415563485</v>
      </c>
    </row>
    <row r="408" spans="1:3" x14ac:dyDescent="0.2">
      <c r="A408">
        <v>-7.876319885253906E-2</v>
      </c>
      <c r="B408">
        <v>0.54978643116969095</v>
      </c>
      <c r="C408">
        <v>-0.14326144551251918</v>
      </c>
    </row>
    <row r="409" spans="1:3" x14ac:dyDescent="0.2">
      <c r="A409">
        <v>0.57697057425975795</v>
      </c>
      <c r="B409">
        <v>0.41653727061816498</v>
      </c>
      <c r="C409">
        <v>1.3851595402339407</v>
      </c>
    </row>
    <row r="410" spans="1:3" x14ac:dyDescent="0.2">
      <c r="A410">
        <v>0.73767518997192383</v>
      </c>
      <c r="B410">
        <v>0.50737788732965827</v>
      </c>
      <c r="C410">
        <v>1.453897003384057</v>
      </c>
    </row>
    <row r="411" spans="1:3" x14ac:dyDescent="0.2">
      <c r="A411">
        <v>0.43186883376911284</v>
      </c>
      <c r="B411">
        <v>0.41576793042144761</v>
      </c>
      <c r="C411">
        <v>1.0387256980867774</v>
      </c>
    </row>
    <row r="412" spans="1:3" x14ac:dyDescent="0.2">
      <c r="A412">
        <v>0.1663609653711319</v>
      </c>
      <c r="B412">
        <v>0.34257331340555258</v>
      </c>
      <c r="C412">
        <v>0.48562149724192571</v>
      </c>
    </row>
    <row r="413" spans="1:3" x14ac:dyDescent="0.2">
      <c r="A413">
        <v>-5.8177132159471512E-2</v>
      </c>
      <c r="B413">
        <v>0.27751412612931758</v>
      </c>
      <c r="C413">
        <v>-0.20963665154962888</v>
      </c>
    </row>
    <row r="414" spans="1:3" x14ac:dyDescent="0.2">
      <c r="A414">
        <v>-0.15926840901374817</v>
      </c>
      <c r="B414">
        <v>0.50325878061764251</v>
      </c>
      <c r="C414">
        <v>-0.31647417819174511</v>
      </c>
    </row>
    <row r="415" spans="1:3" x14ac:dyDescent="0.2">
      <c r="A415">
        <v>-8.1552135944366458E-2</v>
      </c>
      <c r="B415">
        <v>0.48487435244666893</v>
      </c>
      <c r="C415">
        <v>-0.16819230700253698</v>
      </c>
    </row>
    <row r="416" spans="1:3" x14ac:dyDescent="0.2">
      <c r="A416">
        <v>0.34889119267463686</v>
      </c>
      <c r="B416">
        <v>0.28191158017864892</v>
      </c>
      <c r="C416">
        <v>1.2375908519030776</v>
      </c>
    </row>
    <row r="417" spans="1:3" x14ac:dyDescent="0.2">
      <c r="A417">
        <v>-0.22443415969610214</v>
      </c>
      <c r="B417">
        <v>0.40741680541452918</v>
      </c>
      <c r="C417">
        <v>-0.55087113912188768</v>
      </c>
    </row>
    <row r="418" spans="1:3" x14ac:dyDescent="0.2">
      <c r="A418">
        <v>-0.61888843774795532</v>
      </c>
      <c r="B418">
        <v>0.72307486703152035</v>
      </c>
      <c r="C418">
        <v>-0.85591197532381758</v>
      </c>
    </row>
    <row r="419" spans="1:3" x14ac:dyDescent="0.2">
      <c r="A419">
        <v>0.31869133077561856</v>
      </c>
      <c r="B419">
        <v>0.3073804553372339</v>
      </c>
      <c r="C419">
        <v>1.0367976403248387</v>
      </c>
    </row>
    <row r="420" spans="1:3" x14ac:dyDescent="0.2">
      <c r="A420">
        <v>0.26056358739733698</v>
      </c>
      <c r="B420">
        <v>0.78442338430526215</v>
      </c>
      <c r="C420">
        <v>0.33217213128865292</v>
      </c>
    </row>
    <row r="421" spans="1:3" x14ac:dyDescent="0.2">
      <c r="A421">
        <v>-0.52875862289220099</v>
      </c>
      <c r="B421">
        <v>0.47413221327398597</v>
      </c>
      <c r="C421">
        <v>-1.1152134533129647</v>
      </c>
    </row>
    <row r="422" spans="1:3" x14ac:dyDescent="0.2">
      <c r="A422">
        <v>-0.47021319121122362</v>
      </c>
      <c r="B422">
        <v>0.42205873305491309</v>
      </c>
      <c r="C422">
        <v>-1.1140942110302106</v>
      </c>
    </row>
    <row r="423" spans="1:3" x14ac:dyDescent="0.2">
      <c r="A423">
        <v>0.21957113444805146</v>
      </c>
      <c r="B423">
        <v>0.43410035391692853</v>
      </c>
      <c r="C423">
        <v>0.50580731498336817</v>
      </c>
    </row>
    <row r="424" spans="1:3" x14ac:dyDescent="0.2">
      <c r="A424">
        <v>3.0228212475776672E-2</v>
      </c>
      <c r="B424">
        <v>0.31234292943856556</v>
      </c>
      <c r="C424">
        <v>9.6778923506005698E-2</v>
      </c>
    </row>
    <row r="425" spans="1:3" x14ac:dyDescent="0.2">
      <c r="A425">
        <v>0.32828961908817289</v>
      </c>
      <c r="B425">
        <v>0.38487841212977142</v>
      </c>
      <c r="C425">
        <v>0.85296968793739936</v>
      </c>
    </row>
    <row r="426" spans="1:3" x14ac:dyDescent="0.2">
      <c r="A426">
        <v>0.2925909161567688</v>
      </c>
      <c r="B426">
        <v>0.52991146746827544</v>
      </c>
      <c r="C426">
        <v>0.55215056498901971</v>
      </c>
    </row>
    <row r="427" spans="1:3" x14ac:dyDescent="0.2">
      <c r="A427">
        <v>0.68345249891281123</v>
      </c>
      <c r="B427">
        <v>0.30885600178890876</v>
      </c>
      <c r="C427">
        <v>2.2128516038355142</v>
      </c>
    </row>
    <row r="428" spans="1:3" x14ac:dyDescent="0.2">
      <c r="A428">
        <v>0.37073603570461272</v>
      </c>
      <c r="B428">
        <v>0.1883379744002838</v>
      </c>
      <c r="C428">
        <v>1.9684614156286375</v>
      </c>
    </row>
    <row r="429" spans="1:3" x14ac:dyDescent="0.2">
      <c r="A429">
        <v>-0.48234391212463379</v>
      </c>
      <c r="B429">
        <v>0.23559809501985693</v>
      </c>
      <c r="C429">
        <v>-2.0473166902473485</v>
      </c>
    </row>
    <row r="430" spans="1:3" x14ac:dyDescent="0.2">
      <c r="A430">
        <v>0.87357585430145268</v>
      </c>
      <c r="B430">
        <v>0.37173617293057476</v>
      </c>
      <c r="C430">
        <v>2.3499888305586047</v>
      </c>
    </row>
    <row r="431" spans="1:3" x14ac:dyDescent="0.2">
      <c r="A431">
        <v>1.2515723705291748E-2</v>
      </c>
      <c r="B431">
        <v>0.30253432167915045</v>
      </c>
      <c r="C431">
        <v>4.1369599441894611E-2</v>
      </c>
    </row>
    <row r="432" spans="1:3" x14ac:dyDescent="0.2">
      <c r="A432">
        <v>-0.25653953105211258</v>
      </c>
      <c r="B432">
        <v>9.59494235063445E-2</v>
      </c>
      <c r="C432">
        <v>-2.6736953873948948</v>
      </c>
    </row>
    <row r="433" spans="1:3" x14ac:dyDescent="0.2">
      <c r="A433">
        <v>0.41999971866607666</v>
      </c>
      <c r="B433">
        <v>0.40536301795773316</v>
      </c>
      <c r="C433">
        <v>1.0361076370066635</v>
      </c>
    </row>
    <row r="434" spans="1:3" x14ac:dyDescent="0.2">
      <c r="A434">
        <v>-0.32187179774045943</v>
      </c>
      <c r="B434">
        <v>0.55822809074968782</v>
      </c>
      <c r="C434">
        <v>-0.57659548681649608</v>
      </c>
    </row>
    <row r="435" spans="1:3" x14ac:dyDescent="0.2">
      <c r="A435">
        <v>0.11284732818603516</v>
      </c>
      <c r="B435">
        <v>0.48538732199477685</v>
      </c>
      <c r="C435">
        <v>0.23248923709476177</v>
      </c>
    </row>
    <row r="436" spans="1:3" x14ac:dyDescent="0.2">
      <c r="A436">
        <v>-0.14917722940444947</v>
      </c>
      <c r="B436">
        <v>0.48632853542804699</v>
      </c>
      <c r="C436">
        <v>-0.30674167468530222</v>
      </c>
    </row>
    <row r="437" spans="1:3" x14ac:dyDescent="0.2">
      <c r="A437">
        <v>-0.44384221434593202</v>
      </c>
      <c r="B437">
        <v>0.51529910133372225</v>
      </c>
      <c r="C437">
        <v>-0.86132930020090848</v>
      </c>
    </row>
    <row r="438" spans="1:3" x14ac:dyDescent="0.2">
      <c r="A438">
        <v>0.71347133815288544</v>
      </c>
      <c r="B438">
        <v>0.35798419565131684</v>
      </c>
      <c r="C438">
        <v>1.9930246832679162</v>
      </c>
    </row>
    <row r="439" spans="1:3" x14ac:dyDescent="0.2">
      <c r="A439">
        <v>0.36221671700477598</v>
      </c>
      <c r="B439">
        <v>0.19258927172804674</v>
      </c>
      <c r="C439">
        <v>1.8807730760634391</v>
      </c>
    </row>
    <row r="440" spans="1:3" x14ac:dyDescent="0.2">
      <c r="A440">
        <v>0.35584744811058044</v>
      </c>
      <c r="B440">
        <v>0.42154898836804822</v>
      </c>
      <c r="C440">
        <v>0.84414257400588344</v>
      </c>
    </row>
    <row r="441" spans="1:3" x14ac:dyDescent="0.2">
      <c r="A441">
        <v>0.16980896964669229</v>
      </c>
      <c r="B441">
        <v>0.33000873338536957</v>
      </c>
      <c r="C441">
        <v>0.51455901758938272</v>
      </c>
    </row>
    <row r="442" spans="1:3" x14ac:dyDescent="0.2">
      <c r="A442">
        <v>-0.57344506978988652</v>
      </c>
      <c r="B442">
        <v>0.58582095009782587</v>
      </c>
      <c r="C442">
        <v>-0.97887429545516813</v>
      </c>
    </row>
    <row r="443" spans="1:3" x14ac:dyDescent="0.2">
      <c r="A443">
        <v>0.22275467813014985</v>
      </c>
      <c r="B443">
        <v>0.29724323462673491</v>
      </c>
      <c r="C443">
        <v>0.74940201215975688</v>
      </c>
    </row>
    <row r="444" spans="1:3" x14ac:dyDescent="0.2">
      <c r="A444">
        <v>-0.15426940321922303</v>
      </c>
      <c r="B444">
        <v>0.59121682213632532</v>
      </c>
      <c r="C444">
        <v>-0.26093540887720362</v>
      </c>
    </row>
    <row r="445" spans="1:3" x14ac:dyDescent="0.2">
      <c r="A445">
        <v>0.77025730013847349</v>
      </c>
      <c r="B445">
        <v>0.2825885960828865</v>
      </c>
      <c r="C445">
        <v>2.7257196886761421</v>
      </c>
    </row>
    <row r="446" spans="1:3" x14ac:dyDescent="0.2">
      <c r="A446">
        <v>-0.44022608995437623</v>
      </c>
      <c r="B446">
        <v>0.42416398226199276</v>
      </c>
      <c r="C446">
        <v>-1.0378676841129393</v>
      </c>
    </row>
    <row r="447" spans="1:3" x14ac:dyDescent="0.2">
      <c r="A447">
        <v>0.66120240688323972</v>
      </c>
      <c r="B447">
        <v>0.4778086588863053</v>
      </c>
      <c r="C447">
        <v>1.3838225712032837</v>
      </c>
    </row>
    <row r="448" spans="1:3" x14ac:dyDescent="0.2">
      <c r="A448">
        <v>0.46041722893714904</v>
      </c>
      <c r="B448">
        <v>0.5263402226972631</v>
      </c>
      <c r="C448">
        <v>0.87475212625345711</v>
      </c>
    </row>
    <row r="449" spans="1:3" x14ac:dyDescent="0.2">
      <c r="A449">
        <v>-0.40488656759262087</v>
      </c>
      <c r="B449">
        <v>0.44664407289274183</v>
      </c>
      <c r="C449">
        <v>-0.90650831873873605</v>
      </c>
    </row>
    <row r="450" spans="1:3" x14ac:dyDescent="0.2">
      <c r="A450">
        <v>0.5541507482528687</v>
      </c>
      <c r="B450">
        <v>0.39525459019597792</v>
      </c>
      <c r="C450">
        <v>1.402009646435999</v>
      </c>
    </row>
    <row r="451" spans="1:3" x14ac:dyDescent="0.2">
      <c r="A451">
        <v>0.78483076393604279</v>
      </c>
      <c r="B451">
        <v>0.42874509129442206</v>
      </c>
      <c r="C451">
        <v>1.8305300279160381</v>
      </c>
    </row>
    <row r="452" spans="1:3" x14ac:dyDescent="0.2">
      <c r="A452">
        <v>-3.450326323509216E-2</v>
      </c>
      <c r="B452">
        <v>0.46942248761529615</v>
      </c>
      <c r="C452">
        <v>-7.3501513339021107E-2</v>
      </c>
    </row>
    <row r="453" spans="1:3" x14ac:dyDescent="0.2">
      <c r="A453">
        <v>-0.11099085211753845</v>
      </c>
      <c r="B453">
        <v>0.41444100048564481</v>
      </c>
      <c r="C453">
        <v>-0.26780857103297845</v>
      </c>
    </row>
    <row r="454" spans="1:3" x14ac:dyDescent="0.2">
      <c r="A454">
        <v>0.54117894917726517</v>
      </c>
      <c r="B454">
        <v>0.56844401146515844</v>
      </c>
      <c r="C454">
        <v>0.9520356240228165</v>
      </c>
    </row>
    <row r="455" spans="1:3" x14ac:dyDescent="0.2">
      <c r="A455">
        <v>0.35996980071067808</v>
      </c>
      <c r="B455">
        <v>0.48022728439534806</v>
      </c>
      <c r="C455">
        <v>0.74958215080160295</v>
      </c>
    </row>
    <row r="456" spans="1:3" x14ac:dyDescent="0.2">
      <c r="A456">
        <v>0.13271926045417787</v>
      </c>
      <c r="B456">
        <v>0.40145894540618343</v>
      </c>
      <c r="C456">
        <v>0.33059236062082692</v>
      </c>
    </row>
    <row r="457" spans="1:3" x14ac:dyDescent="0.2">
      <c r="A457">
        <v>0.32399641871452334</v>
      </c>
      <c r="B457">
        <v>0.2634930489780084</v>
      </c>
      <c r="C457">
        <v>1.2296203636915093</v>
      </c>
    </row>
    <row r="458" spans="1:3" x14ac:dyDescent="0.2">
      <c r="A458">
        <v>0.45972612202167512</v>
      </c>
      <c r="B458">
        <v>0.12779273053320911</v>
      </c>
      <c r="C458">
        <v>3.5974356295815082</v>
      </c>
    </row>
    <row r="459" spans="1:3" x14ac:dyDescent="0.2">
      <c r="A459">
        <v>-0.50952783823013303</v>
      </c>
      <c r="B459">
        <v>0.29171152322550004</v>
      </c>
      <c r="C459">
        <v>-1.7466839588515526</v>
      </c>
    </row>
    <row r="460" spans="1:3" x14ac:dyDescent="0.2">
      <c r="A460">
        <v>0.59989269971847536</v>
      </c>
      <c r="B460">
        <v>0.36739032352932893</v>
      </c>
      <c r="C460">
        <v>1.6328483939250666</v>
      </c>
    </row>
    <row r="461" spans="1:3" x14ac:dyDescent="0.2">
      <c r="A461">
        <v>0.60907966494560239</v>
      </c>
      <c r="B461">
        <v>0.20978821442370618</v>
      </c>
      <c r="C461">
        <v>2.9033073503140319</v>
      </c>
    </row>
    <row r="462" spans="1:3" x14ac:dyDescent="0.2">
      <c r="A462">
        <v>-0.35171344876289368</v>
      </c>
      <c r="B462">
        <v>0.52551327900269384</v>
      </c>
      <c r="C462">
        <v>-0.66927604461369039</v>
      </c>
    </row>
    <row r="463" spans="1:3" x14ac:dyDescent="0.2">
      <c r="A463">
        <v>-0.18595861792564392</v>
      </c>
      <c r="B463">
        <v>0.38593240447731314</v>
      </c>
      <c r="C463">
        <v>-0.4818424567833236</v>
      </c>
    </row>
    <row r="464" spans="1:3" x14ac:dyDescent="0.2">
      <c r="A464">
        <v>-0.39789345264434817</v>
      </c>
      <c r="B464">
        <v>0.45757056446398775</v>
      </c>
      <c r="C464">
        <v>-0.86957834167163439</v>
      </c>
    </row>
    <row r="465" spans="1:3" x14ac:dyDescent="0.2">
      <c r="A465">
        <v>-1.3806969761848449</v>
      </c>
      <c r="B465">
        <v>0.67395568252719584</v>
      </c>
      <c r="C465">
        <v>-2.0486465386084642</v>
      </c>
    </row>
    <row r="466" spans="1:3" x14ac:dyDescent="0.2">
      <c r="A466">
        <v>-0.80179771780967712</v>
      </c>
      <c r="B466">
        <v>0.60209806971778401</v>
      </c>
      <c r="C466">
        <v>-1.331672958502419</v>
      </c>
    </row>
    <row r="467" spans="1:3" x14ac:dyDescent="0.2">
      <c r="A467">
        <v>0.52267452776432033</v>
      </c>
      <c r="B467">
        <v>0.30684094562641179</v>
      </c>
      <c r="C467">
        <v>1.7034054131768077</v>
      </c>
    </row>
    <row r="468" spans="1:3" x14ac:dyDescent="0.2">
      <c r="A468">
        <v>-6.0086506605148318E-2</v>
      </c>
      <c r="B468">
        <v>0.56263563214182721</v>
      </c>
      <c r="C468">
        <v>-0.10679470544091299</v>
      </c>
    </row>
    <row r="469" spans="1:3" x14ac:dyDescent="0.2">
      <c r="A469">
        <v>0.39639102220535277</v>
      </c>
      <c r="B469">
        <v>0.26645983107011922</v>
      </c>
      <c r="C469">
        <v>1.487620181298704</v>
      </c>
    </row>
    <row r="470" spans="1:3" x14ac:dyDescent="0.2">
      <c r="A470">
        <v>0.30602489709854125</v>
      </c>
      <c r="B470">
        <v>0.43904551179510348</v>
      </c>
      <c r="C470">
        <v>0.69702317613340936</v>
      </c>
    </row>
    <row r="471" spans="1:3" x14ac:dyDescent="0.2">
      <c r="A471">
        <v>-0.88507242202758785</v>
      </c>
      <c r="B471">
        <v>0.39973060781864866</v>
      </c>
      <c r="C471">
        <v>-2.21417225680434</v>
      </c>
    </row>
    <row r="472" spans="1:3" x14ac:dyDescent="0.2">
      <c r="A472">
        <v>0.19741029143333436</v>
      </c>
      <c r="B472">
        <v>0.39240477489224768</v>
      </c>
      <c r="C472">
        <v>0.50307820919748547</v>
      </c>
    </row>
    <row r="473" spans="1:3" x14ac:dyDescent="0.2">
      <c r="A473">
        <v>-0.83221488930284981</v>
      </c>
      <c r="B473">
        <v>0.34242389788171151</v>
      </c>
      <c r="C473">
        <v>-2.4303645115047838</v>
      </c>
    </row>
    <row r="474" spans="1:3" x14ac:dyDescent="0.2">
      <c r="A474">
        <v>0.47764655947685242</v>
      </c>
      <c r="B474">
        <v>0.39290119829951342</v>
      </c>
      <c r="C474">
        <v>1.2156912769523716</v>
      </c>
    </row>
    <row r="475" spans="1:3" x14ac:dyDescent="0.2">
      <c r="A475">
        <v>-0.17065682038664817</v>
      </c>
      <c r="B475">
        <v>0.34038679228679358</v>
      </c>
      <c r="C475">
        <v>-0.50136146364592471</v>
      </c>
    </row>
    <row r="476" spans="1:3" x14ac:dyDescent="0.2">
      <c r="A476">
        <v>-0.21342540681362152</v>
      </c>
      <c r="B476">
        <v>0.35348293672909864</v>
      </c>
      <c r="C476">
        <v>-0.6037785268746535</v>
      </c>
    </row>
    <row r="477" spans="1:3" x14ac:dyDescent="0.2">
      <c r="A477">
        <v>1.4360036969184875</v>
      </c>
      <c r="B477">
        <v>0.27027142975832835</v>
      </c>
      <c r="C477">
        <v>5.3131908844472946</v>
      </c>
    </row>
    <row r="478" spans="1:3" x14ac:dyDescent="0.2">
      <c r="A478">
        <v>5.3210428357124327E-2</v>
      </c>
      <c r="B478">
        <v>0.38519052619028193</v>
      </c>
      <c r="C478">
        <v>0.13814054276827847</v>
      </c>
    </row>
    <row r="479" spans="1:3" x14ac:dyDescent="0.2">
      <c r="A479">
        <v>-0.90561861693859103</v>
      </c>
      <c r="B479">
        <v>0.66324954472295661</v>
      </c>
      <c r="C479">
        <v>-1.3654266695605097</v>
      </c>
    </row>
    <row r="480" spans="1:3" x14ac:dyDescent="0.2">
      <c r="A480">
        <v>-0.35589402988553048</v>
      </c>
      <c r="B480">
        <v>0.54722631492338003</v>
      </c>
      <c r="C480">
        <v>-0.65035986059142836</v>
      </c>
    </row>
    <row r="481" spans="1:3" x14ac:dyDescent="0.2">
      <c r="A481">
        <v>-0.4243718910962343</v>
      </c>
      <c r="B481">
        <v>0.31132069953806335</v>
      </c>
      <c r="C481">
        <v>-1.3631341948219824</v>
      </c>
    </row>
    <row r="482" spans="1:3" x14ac:dyDescent="0.2">
      <c r="A482">
        <v>-0.37003065496683119</v>
      </c>
      <c r="B482">
        <v>0.11828360007395858</v>
      </c>
      <c r="C482">
        <v>-3.1283343991513957</v>
      </c>
    </row>
    <row r="483" spans="1:3" x14ac:dyDescent="0.2">
      <c r="A483">
        <v>1.0051687717437745</v>
      </c>
      <c r="B483">
        <v>0.5203535701176889</v>
      </c>
      <c r="C483">
        <v>1.931703421418699</v>
      </c>
    </row>
    <row r="484" spans="1:3" x14ac:dyDescent="0.2">
      <c r="A484">
        <v>0.324878653883934</v>
      </c>
      <c r="B484">
        <v>0.58139070067740295</v>
      </c>
      <c r="C484">
        <v>0.55879575216012933</v>
      </c>
    </row>
    <row r="485" spans="1:3" x14ac:dyDescent="0.2">
      <c r="A485">
        <v>-0.43483057767152788</v>
      </c>
      <c r="B485">
        <v>0.36740188642390303</v>
      </c>
      <c r="C485">
        <v>-1.1835284296004582</v>
      </c>
    </row>
    <row r="486" spans="1:3" x14ac:dyDescent="0.2">
      <c r="A486">
        <v>3.6354485154151919E-2</v>
      </c>
      <c r="B486">
        <v>0.32645264725039141</v>
      </c>
      <c r="C486">
        <v>0.11136220049172332</v>
      </c>
    </row>
    <row r="487" spans="1:3" x14ac:dyDescent="0.2">
      <c r="A487">
        <v>0.25752965211868284</v>
      </c>
      <c r="B487">
        <v>0.27912694321905607</v>
      </c>
      <c r="C487">
        <v>0.92262555935553703</v>
      </c>
    </row>
    <row r="488" spans="1:3" x14ac:dyDescent="0.2">
      <c r="A488">
        <v>-0.66621251106262203</v>
      </c>
      <c r="B488">
        <v>0.47029724256829847</v>
      </c>
      <c r="C488">
        <v>-1.4165775402475849</v>
      </c>
    </row>
    <row r="489" spans="1:3" x14ac:dyDescent="0.2">
      <c r="A489">
        <v>0.35942676216363906</v>
      </c>
      <c r="B489">
        <v>0.37318548278644115</v>
      </c>
      <c r="C489">
        <v>0.96313168315104147</v>
      </c>
    </row>
    <row r="490" spans="1:3" x14ac:dyDescent="0.2">
      <c r="A490">
        <v>0.12688909620046615</v>
      </c>
      <c r="B490">
        <v>0.42470186818261357</v>
      </c>
      <c r="C490">
        <v>0.29877216397340239</v>
      </c>
    </row>
    <row r="491" spans="1:3" x14ac:dyDescent="0.2">
      <c r="A491">
        <v>-1.0071536898612976E-2</v>
      </c>
      <c r="B491">
        <v>0.45777536271688335</v>
      </c>
      <c r="C491">
        <v>-2.2001046187454694E-2</v>
      </c>
    </row>
    <row r="492" spans="1:3" x14ac:dyDescent="0.2">
      <c r="A492">
        <v>-0.1731010764837265</v>
      </c>
      <c r="B492">
        <v>0.50485838844081987</v>
      </c>
      <c r="C492">
        <v>-0.34287055627286583</v>
      </c>
    </row>
    <row r="493" spans="1:3" x14ac:dyDescent="0.2">
      <c r="A493">
        <v>-0.4016540586948395</v>
      </c>
      <c r="B493">
        <v>0.43246217690898897</v>
      </c>
      <c r="C493">
        <v>-0.92876112673170719</v>
      </c>
    </row>
    <row r="494" spans="1:3" x14ac:dyDescent="0.2">
      <c r="A494">
        <v>-0.71988616287708285</v>
      </c>
      <c r="B494">
        <v>0.4445228120784106</v>
      </c>
      <c r="C494">
        <v>-1.6194583119619521</v>
      </c>
    </row>
    <row r="495" spans="1:3" x14ac:dyDescent="0.2">
      <c r="A495">
        <v>-0.18250064253807069</v>
      </c>
      <c r="B495">
        <v>0.44352380122492524</v>
      </c>
      <c r="C495">
        <v>-0.41147880234170053</v>
      </c>
    </row>
    <row r="496" spans="1:3" x14ac:dyDescent="0.2">
      <c r="A496">
        <v>-0.33915740251541138</v>
      </c>
      <c r="B496">
        <v>0.36338352902001508</v>
      </c>
      <c r="C496">
        <v>-0.93333179803185484</v>
      </c>
    </row>
    <row r="497" spans="1:3" x14ac:dyDescent="0.2">
      <c r="A497">
        <v>-0.14726003110408784</v>
      </c>
      <c r="B497">
        <v>0.59455879675948375</v>
      </c>
      <c r="C497">
        <v>-0.24767950942227634</v>
      </c>
    </row>
    <row r="498" spans="1:3" x14ac:dyDescent="0.2">
      <c r="A498">
        <v>-0.16646410077810286</v>
      </c>
      <c r="B498">
        <v>0.36937236169338605</v>
      </c>
      <c r="C498">
        <v>-0.45066745117298135</v>
      </c>
    </row>
    <row r="499" spans="1:3" x14ac:dyDescent="0.2">
      <c r="A499">
        <v>0.38830884695053103</v>
      </c>
      <c r="B499">
        <v>0.41594125644026642</v>
      </c>
      <c r="C499">
        <v>0.93356655762830376</v>
      </c>
    </row>
    <row r="500" spans="1:3" x14ac:dyDescent="0.2">
      <c r="A500">
        <v>-0.32311547361314297</v>
      </c>
      <c r="B500">
        <v>0.24439119103085111</v>
      </c>
      <c r="C500">
        <v>-1.3221240595875405</v>
      </c>
    </row>
    <row r="501" spans="1:3" x14ac:dyDescent="0.2">
      <c r="A501">
        <v>-0.10874279737472534</v>
      </c>
      <c r="B501">
        <v>0.44967761271867884</v>
      </c>
      <c r="C501">
        <v>-0.24182390739286264</v>
      </c>
    </row>
    <row r="502" spans="1:3" x14ac:dyDescent="0.2">
      <c r="A502">
        <v>0.29665111899375918</v>
      </c>
      <c r="B502">
        <v>0.25722866309581499</v>
      </c>
      <c r="C502">
        <v>1.1532584099434506</v>
      </c>
    </row>
    <row r="503" spans="1:3" x14ac:dyDescent="0.2">
      <c r="A503">
        <v>0.18027039170265197</v>
      </c>
      <c r="B503">
        <v>0.48049414928762874</v>
      </c>
      <c r="C503">
        <v>0.3751770796167182</v>
      </c>
    </row>
    <row r="504" spans="1:3" x14ac:dyDescent="0.2">
      <c r="A504">
        <v>-0.13113957643508911</v>
      </c>
      <c r="B504">
        <v>0.40975389307581223</v>
      </c>
      <c r="C504">
        <v>-0.32004473575758269</v>
      </c>
    </row>
    <row r="505" spans="1:3" x14ac:dyDescent="0.2">
      <c r="A505">
        <v>-0.13776028156280518</v>
      </c>
      <c r="B505">
        <v>0.44034801164005433</v>
      </c>
      <c r="C505">
        <v>-0.312844109479963</v>
      </c>
    </row>
    <row r="506" spans="1:3" x14ac:dyDescent="0.2">
      <c r="A506">
        <v>-0.12113178968429565</v>
      </c>
      <c r="B506">
        <v>0.22657960860125265</v>
      </c>
      <c r="C506">
        <v>-0.5346102874485501</v>
      </c>
    </row>
    <row r="507" spans="1:3" x14ac:dyDescent="0.2">
      <c r="A507">
        <v>0.50353988856077192</v>
      </c>
      <c r="B507">
        <v>0.24071228046002144</v>
      </c>
      <c r="C507">
        <v>2.0918745300342168</v>
      </c>
    </row>
    <row r="508" spans="1:3" x14ac:dyDescent="0.2">
      <c r="A508">
        <v>-0.1332067996263504</v>
      </c>
      <c r="B508">
        <v>0.37176198759456508</v>
      </c>
      <c r="C508">
        <v>-0.35831204929865668</v>
      </c>
    </row>
    <row r="509" spans="1:3" x14ac:dyDescent="0.2">
      <c r="A509">
        <v>0.18456134796142579</v>
      </c>
      <c r="B509">
        <v>0.55392052313545115</v>
      </c>
      <c r="C509">
        <v>0.33319102696668756</v>
      </c>
    </row>
    <row r="510" spans="1:3" x14ac:dyDescent="0.2">
      <c r="A510">
        <v>-5.6914985179901123E-3</v>
      </c>
      <c r="B510">
        <v>0.56455544638910682</v>
      </c>
      <c r="C510">
        <v>-1.0081380942107462E-2</v>
      </c>
    </row>
    <row r="511" spans="1:3" x14ac:dyDescent="0.2">
      <c r="A511">
        <v>2.6000797748565673E-3</v>
      </c>
      <c r="B511">
        <v>0.67646756332986024</v>
      </c>
      <c r="C511">
        <v>3.8436133760174278E-3</v>
      </c>
    </row>
    <row r="512" spans="1:3" x14ac:dyDescent="0.2">
      <c r="A512">
        <v>0.24765827953815461</v>
      </c>
      <c r="B512">
        <v>0.2293152158698436</v>
      </c>
      <c r="C512">
        <v>1.0799906085548301</v>
      </c>
    </row>
    <row r="513" spans="1:3" x14ac:dyDescent="0.2">
      <c r="A513">
        <v>0.19249603152275085</v>
      </c>
      <c r="B513">
        <v>0.49652041952858283</v>
      </c>
      <c r="C513">
        <v>0.38769006057296618</v>
      </c>
    </row>
    <row r="514" spans="1:3" x14ac:dyDescent="0.2">
      <c r="A514">
        <v>0.64252123907208447</v>
      </c>
      <c r="B514">
        <v>0.31383671966285298</v>
      </c>
      <c r="C514">
        <v>2.047310588009998</v>
      </c>
    </row>
    <row r="515" spans="1:3" x14ac:dyDescent="0.2">
      <c r="A515">
        <v>-0.13079032078385353</v>
      </c>
      <c r="B515">
        <v>0.44748049780282056</v>
      </c>
      <c r="C515">
        <v>-0.292281610988744</v>
      </c>
    </row>
    <row r="516" spans="1:3" x14ac:dyDescent="0.2">
      <c r="A516">
        <v>0.19528737664222717</v>
      </c>
      <c r="B516">
        <v>0.25592851038082554</v>
      </c>
      <c r="C516">
        <v>0.76305440277691838</v>
      </c>
    </row>
    <row r="517" spans="1:3" x14ac:dyDescent="0.2">
      <c r="A517">
        <v>0.3675032205879688</v>
      </c>
      <c r="B517">
        <v>0.4005979756149749</v>
      </c>
      <c r="C517">
        <v>0.9173866144076217</v>
      </c>
    </row>
    <row r="518" spans="1:3" x14ac:dyDescent="0.2">
      <c r="A518">
        <v>0.50463006496429441</v>
      </c>
      <c r="B518">
        <v>0.40996095677671424</v>
      </c>
      <c r="C518">
        <v>1.230922253991962</v>
      </c>
    </row>
    <row r="519" spans="1:3" x14ac:dyDescent="0.2">
      <c r="A519">
        <v>0.78413709998130798</v>
      </c>
      <c r="B519">
        <v>0.83691795774042643</v>
      </c>
      <c r="C519">
        <v>0.93693425111629802</v>
      </c>
    </row>
    <row r="520" spans="1:3" x14ac:dyDescent="0.2">
      <c r="A520">
        <v>-0.355764240026474</v>
      </c>
      <c r="B520">
        <v>0.36060538720771962</v>
      </c>
      <c r="C520">
        <v>-0.98657494493154374</v>
      </c>
    </row>
    <row r="521" spans="1:3" x14ac:dyDescent="0.2">
      <c r="A521">
        <v>-0.11415414810180664</v>
      </c>
      <c r="B521">
        <v>0.29706353155771015</v>
      </c>
      <c r="C521">
        <v>-0.38427520033582468</v>
      </c>
    </row>
    <row r="522" spans="1:3" x14ac:dyDescent="0.2">
      <c r="A522">
        <v>-0.5862560242414474</v>
      </c>
      <c r="B522">
        <v>0.23720724686015437</v>
      </c>
      <c r="C522">
        <v>-2.4714928907170988</v>
      </c>
    </row>
    <row r="523" spans="1:3" x14ac:dyDescent="0.2">
      <c r="A523">
        <v>5.7048171758651732E-3</v>
      </c>
      <c r="B523">
        <v>0.50356873888823772</v>
      </c>
      <c r="C523">
        <v>1.1328775468588615E-2</v>
      </c>
    </row>
    <row r="524" spans="1:3" x14ac:dyDescent="0.2">
      <c r="A524">
        <v>-9.7632646560668945E-2</v>
      </c>
      <c r="B524">
        <v>0.5542072591502939</v>
      </c>
      <c r="C524">
        <v>-0.17616630772819275</v>
      </c>
    </row>
    <row r="525" spans="1:3" x14ac:dyDescent="0.2">
      <c r="A525">
        <v>-0.26351414397358897</v>
      </c>
      <c r="B525">
        <v>0.35656363082655268</v>
      </c>
      <c r="C525">
        <v>-0.7390382001740754</v>
      </c>
    </row>
    <row r="526" spans="1:3" x14ac:dyDescent="0.2">
      <c r="A526">
        <v>-0.50178439915180206</v>
      </c>
      <c r="B526">
        <v>0.12044748106293825</v>
      </c>
      <c r="C526">
        <v>-4.1660016027201205</v>
      </c>
    </row>
    <row r="527" spans="1:3" x14ac:dyDescent="0.2">
      <c r="A527">
        <v>1.2361356258392333</v>
      </c>
      <c r="B527">
        <v>0.33381607519772732</v>
      </c>
      <c r="C527">
        <v>3.7030440343744391</v>
      </c>
    </row>
    <row r="528" spans="1:3" x14ac:dyDescent="0.2">
      <c r="A528">
        <v>0.32981067001819608</v>
      </c>
      <c r="B528">
        <v>0.2548695835372588</v>
      </c>
      <c r="C528">
        <v>1.2940369950813759</v>
      </c>
    </row>
    <row r="529" spans="1:3" x14ac:dyDescent="0.2">
      <c r="A529">
        <v>-0.13329474627971649</v>
      </c>
      <c r="B529">
        <v>0.39110588903482507</v>
      </c>
      <c r="C529">
        <v>-0.34081498135623212</v>
      </c>
    </row>
    <row r="530" spans="1:3" x14ac:dyDescent="0.2">
      <c r="A530">
        <v>7.2915525734424586E-2</v>
      </c>
      <c r="B530">
        <v>0.43930775450560633</v>
      </c>
      <c r="C530">
        <v>0.16597823504500434</v>
      </c>
    </row>
    <row r="531" spans="1:3" x14ac:dyDescent="0.2">
      <c r="A531">
        <v>-0.49620245397090912</v>
      </c>
      <c r="B531">
        <v>0.20095546330145564</v>
      </c>
      <c r="C531">
        <v>-2.4692160432908961</v>
      </c>
    </row>
    <row r="532" spans="1:3" x14ac:dyDescent="0.2">
      <c r="A532">
        <v>0.19510284960269927</v>
      </c>
      <c r="B532">
        <v>0.50419234469094121</v>
      </c>
      <c r="C532">
        <v>0.38696115015846388</v>
      </c>
    </row>
    <row r="533" spans="1:3" x14ac:dyDescent="0.2">
      <c r="A533">
        <v>0.99313945379108193</v>
      </c>
      <c r="B533">
        <v>0.59281650339707037</v>
      </c>
      <c r="C533">
        <v>1.6752898208804994</v>
      </c>
    </row>
    <row r="534" spans="1:3" x14ac:dyDescent="0.2">
      <c r="A534">
        <v>-0.3276428818702698</v>
      </c>
      <c r="B534">
        <v>0.28581716754359343</v>
      </c>
      <c r="C534">
        <v>-1.1463373060692621</v>
      </c>
    </row>
    <row r="535" spans="1:3" x14ac:dyDescent="0.2">
      <c r="A535">
        <v>-0.74189569950103762</v>
      </c>
      <c r="B535">
        <v>0.69143988350305918</v>
      </c>
      <c r="C535">
        <v>-1.0729720937449441</v>
      </c>
    </row>
    <row r="536" spans="1:3" x14ac:dyDescent="0.2">
      <c r="A536">
        <v>-7.4200505018234247E-2</v>
      </c>
      <c r="B536">
        <v>0.75058748192734459</v>
      </c>
      <c r="C536">
        <v>-9.8856571425496698E-2</v>
      </c>
    </row>
    <row r="537" spans="1:3" x14ac:dyDescent="0.2">
      <c r="A537">
        <v>-0.61163305304944515</v>
      </c>
      <c r="B537">
        <v>0.38231379540891847</v>
      </c>
      <c r="C537">
        <v>-1.5998194687043648</v>
      </c>
    </row>
    <row r="538" spans="1:3" x14ac:dyDescent="0.2">
      <c r="A538">
        <v>0.47141352295875549</v>
      </c>
      <c r="B538">
        <v>0.13503522273426821</v>
      </c>
      <c r="C538">
        <v>3.4910411773558971</v>
      </c>
    </row>
    <row r="539" spans="1:3" x14ac:dyDescent="0.2">
      <c r="A539">
        <v>0.36660495549440386</v>
      </c>
      <c r="B539">
        <v>0.56513686774814786</v>
      </c>
      <c r="C539">
        <v>0.64870118446737157</v>
      </c>
    </row>
    <row r="540" spans="1:3" x14ac:dyDescent="0.2">
      <c r="A540">
        <v>0.44735697060823443</v>
      </c>
      <c r="B540">
        <v>0.73101313345047658</v>
      </c>
      <c r="C540">
        <v>0.61196844507656334</v>
      </c>
    </row>
    <row r="541" spans="1:3" x14ac:dyDescent="0.2">
      <c r="A541">
        <v>-0.341793891787529</v>
      </c>
      <c r="B541">
        <v>0.61432879111347594</v>
      </c>
      <c r="C541">
        <v>-0.55636964558998581</v>
      </c>
    </row>
    <row r="542" spans="1:3" x14ac:dyDescent="0.2">
      <c r="A542">
        <v>-0.73820129036903381</v>
      </c>
      <c r="B542">
        <v>0.47891385116821289</v>
      </c>
      <c r="C542">
        <v>-1.5414072668149856</v>
      </c>
    </row>
    <row r="543" spans="1:3" x14ac:dyDescent="0.2">
      <c r="A543">
        <v>-1.2780046463012696E-2</v>
      </c>
      <c r="B543">
        <v>0.54894730712349638</v>
      </c>
      <c r="C543">
        <v>-2.3281007661701811E-2</v>
      </c>
    </row>
    <row r="544" spans="1:3" x14ac:dyDescent="0.2">
      <c r="A544">
        <v>0.71419686079025269</v>
      </c>
      <c r="B544">
        <v>0.39125739535900572</v>
      </c>
      <c r="C544">
        <v>1.8253887830923365</v>
      </c>
    </row>
    <row r="545" spans="1:3" x14ac:dyDescent="0.2">
      <c r="A545">
        <v>-0.17966917753219605</v>
      </c>
      <c r="B545">
        <v>0.26659513112844674</v>
      </c>
      <c r="C545">
        <v>-0.67394020577829172</v>
      </c>
    </row>
    <row r="546" spans="1:3" x14ac:dyDescent="0.2">
      <c r="A546">
        <v>0.36815229430794716</v>
      </c>
      <c r="B546">
        <v>0.60565155432544293</v>
      </c>
      <c r="C546">
        <v>0.60786155286596177</v>
      </c>
    </row>
    <row r="547" spans="1:3" x14ac:dyDescent="0.2">
      <c r="A547">
        <v>-5.0692266225814818E-2</v>
      </c>
      <c r="B547">
        <v>0.32446206525314331</v>
      </c>
      <c r="C547">
        <v>-0.15623480108919674</v>
      </c>
    </row>
    <row r="548" spans="1:3" x14ac:dyDescent="0.2">
      <c r="A548">
        <v>-0.49431084617972376</v>
      </c>
      <c r="B548">
        <v>0.4470896974368096</v>
      </c>
      <c r="C548">
        <v>-1.10561895971577</v>
      </c>
    </row>
    <row r="549" spans="1:3" x14ac:dyDescent="0.2">
      <c r="A549">
        <v>-0.52875325083732605</v>
      </c>
      <c r="B549">
        <v>0.50482875108405245</v>
      </c>
      <c r="C549">
        <v>-1.0473913177526022</v>
      </c>
    </row>
    <row r="550" spans="1:3" x14ac:dyDescent="0.2">
      <c r="A550">
        <v>0.5469372004270554</v>
      </c>
      <c r="B550">
        <v>0.20506842591887808</v>
      </c>
      <c r="C550">
        <v>2.6670961069522003</v>
      </c>
    </row>
    <row r="551" spans="1:3" x14ac:dyDescent="0.2">
      <c r="A551">
        <v>-0.58660741448402409</v>
      </c>
      <c r="B551">
        <v>0.29142086300816405</v>
      </c>
      <c r="C551">
        <v>-2.0129218218243712</v>
      </c>
    </row>
    <row r="552" spans="1:3" x14ac:dyDescent="0.2">
      <c r="A552">
        <v>-0.70671651959419246</v>
      </c>
      <c r="B552">
        <v>0.38382409673491813</v>
      </c>
      <c r="C552">
        <v>-1.8412510460026557</v>
      </c>
    </row>
    <row r="553" spans="1:3" x14ac:dyDescent="0.2">
      <c r="A553">
        <v>4.126185476779938E-2</v>
      </c>
      <c r="B553">
        <v>0.42681174776107211</v>
      </c>
      <c r="C553">
        <v>9.6674599479154064E-2</v>
      </c>
    </row>
    <row r="554" spans="1:3" x14ac:dyDescent="0.2">
      <c r="A554">
        <v>0.44116752743721011</v>
      </c>
      <c r="B554">
        <v>0.40486356564476428</v>
      </c>
      <c r="C554">
        <v>1.0896696192818192</v>
      </c>
    </row>
    <row r="555" spans="1:3" x14ac:dyDescent="0.2">
      <c r="A555">
        <v>-0.19334257766604424</v>
      </c>
      <c r="B555">
        <v>0.57394502177024709</v>
      </c>
      <c r="C555">
        <v>-0.33686602432704815</v>
      </c>
    </row>
    <row r="556" spans="1:3" x14ac:dyDescent="0.2">
      <c r="A556">
        <v>1.1153531074523926E-2</v>
      </c>
      <c r="B556">
        <v>0.57541234557488585</v>
      </c>
      <c r="C556">
        <v>1.9383544966141805E-2</v>
      </c>
    </row>
    <row r="557" spans="1:3" x14ac:dyDescent="0.2">
      <c r="A557">
        <v>0.23551835417747496</v>
      </c>
      <c r="B557">
        <v>0.35717197116227922</v>
      </c>
      <c r="C557">
        <v>0.65939763809313146</v>
      </c>
    </row>
    <row r="558" spans="1:3" x14ac:dyDescent="0.2">
      <c r="A558">
        <v>0.30697761476039886</v>
      </c>
      <c r="B558">
        <v>0.22382959665941976</v>
      </c>
      <c r="C558">
        <v>1.3714791043808989</v>
      </c>
    </row>
    <row r="559" spans="1:3" x14ac:dyDescent="0.2">
      <c r="A559">
        <v>9.052815437316894E-2</v>
      </c>
      <c r="B559">
        <v>0.59853012738665279</v>
      </c>
      <c r="C559">
        <v>0.15125078961094202</v>
      </c>
    </row>
    <row r="560" spans="1:3" x14ac:dyDescent="0.2">
      <c r="A560">
        <v>0.80938453674316402</v>
      </c>
      <c r="B560">
        <v>0.41689757272917988</v>
      </c>
      <c r="C560">
        <v>1.9414469876727896</v>
      </c>
    </row>
    <row r="561" spans="1:3" x14ac:dyDescent="0.2">
      <c r="A561">
        <v>-0.44670478552579879</v>
      </c>
      <c r="B561">
        <v>0.50261047674442438</v>
      </c>
      <c r="C561">
        <v>-0.88876934762533122</v>
      </c>
    </row>
    <row r="562" spans="1:3" x14ac:dyDescent="0.2">
      <c r="A562">
        <v>-0.49557184875011445</v>
      </c>
      <c r="B562">
        <v>0.34721526997290608</v>
      </c>
      <c r="C562">
        <v>-1.4272755019927117</v>
      </c>
    </row>
    <row r="563" spans="1:3" x14ac:dyDescent="0.2">
      <c r="A563">
        <v>-0.26523551344871521</v>
      </c>
      <c r="B563">
        <v>0.19041223201538487</v>
      </c>
      <c r="C563">
        <v>-1.3929541744318441</v>
      </c>
    </row>
    <row r="564" spans="1:3" x14ac:dyDescent="0.2">
      <c r="A564">
        <v>6.3820122182369238E-2</v>
      </c>
      <c r="B564">
        <v>0.24739461780643593</v>
      </c>
      <c r="C564">
        <v>0.25796891924424464</v>
      </c>
    </row>
    <row r="565" spans="1:3" x14ac:dyDescent="0.2">
      <c r="A565">
        <v>0.35151275396347048</v>
      </c>
      <c r="B565">
        <v>0.36943526541618171</v>
      </c>
      <c r="C565">
        <v>0.95148673358911495</v>
      </c>
    </row>
    <row r="566" spans="1:3" x14ac:dyDescent="0.2">
      <c r="A566">
        <v>-0.48530400693416598</v>
      </c>
      <c r="B566">
        <v>0.36739147691565088</v>
      </c>
      <c r="C566">
        <v>-1.3209451972278239</v>
      </c>
    </row>
    <row r="567" spans="1:3" x14ac:dyDescent="0.2">
      <c r="A567">
        <v>-5.1376038789749147E-2</v>
      </c>
      <c r="B567">
        <v>0.50225195893322094</v>
      </c>
      <c r="C567">
        <v>-0.1022913656700741</v>
      </c>
    </row>
    <row r="568" spans="1:3" x14ac:dyDescent="0.2">
      <c r="A568">
        <v>-0.22304317653179168</v>
      </c>
      <c r="B568">
        <v>0.13605737043979407</v>
      </c>
      <c r="C568">
        <v>-1.6393318187087054</v>
      </c>
    </row>
    <row r="569" spans="1:3" x14ac:dyDescent="0.2">
      <c r="A569">
        <v>0.16015575006604194</v>
      </c>
      <c r="B569">
        <v>0.28392977414035181</v>
      </c>
      <c r="C569">
        <v>0.56406817689670663</v>
      </c>
    </row>
    <row r="570" spans="1:3" x14ac:dyDescent="0.2">
      <c r="A570">
        <v>0.33720707893371582</v>
      </c>
      <c r="B570">
        <v>0.23416163811595256</v>
      </c>
      <c r="C570">
        <v>1.4400611545377773</v>
      </c>
    </row>
    <row r="571" spans="1:3" x14ac:dyDescent="0.2">
      <c r="A571">
        <v>-0.40953570902347564</v>
      </c>
      <c r="B571">
        <v>0.42325808536657727</v>
      </c>
      <c r="C571">
        <v>-0.96757917493479917</v>
      </c>
    </row>
    <row r="572" spans="1:3" x14ac:dyDescent="0.2">
      <c r="A572">
        <v>-0.45047138929367064</v>
      </c>
      <c r="B572">
        <v>0.44050481085060667</v>
      </c>
      <c r="C572">
        <v>-1.0226253566307679</v>
      </c>
    </row>
    <row r="573" spans="1:3" x14ac:dyDescent="0.2">
      <c r="A573">
        <v>0.13756699860095978</v>
      </c>
      <c r="B573">
        <v>0.38477267648233293</v>
      </c>
      <c r="C573">
        <v>0.35752798212862769</v>
      </c>
    </row>
    <row r="574" spans="1:3" x14ac:dyDescent="0.2">
      <c r="A574">
        <v>-0.61670138835906985</v>
      </c>
      <c r="B574">
        <v>0.38424429446868658</v>
      </c>
      <c r="C574">
        <v>-1.6049721420374325</v>
      </c>
    </row>
    <row r="575" spans="1:3" x14ac:dyDescent="0.2">
      <c r="A575">
        <v>4.0456649661064145E-2</v>
      </c>
      <c r="B575">
        <v>0.23690028063141552</v>
      </c>
      <c r="C575">
        <v>0.17077501788192967</v>
      </c>
    </row>
    <row r="576" spans="1:3" x14ac:dyDescent="0.2">
      <c r="A576">
        <v>0.59916496425867083</v>
      </c>
      <c r="B576">
        <v>0.52761876265318741</v>
      </c>
      <c r="C576">
        <v>1.1356020798913702</v>
      </c>
    </row>
    <row r="577" spans="1:3" x14ac:dyDescent="0.2">
      <c r="A577">
        <v>0.29688574373722076</v>
      </c>
      <c r="B577">
        <v>0.50675597650618376</v>
      </c>
      <c r="C577">
        <v>0.58585543634648773</v>
      </c>
    </row>
    <row r="578" spans="1:3" x14ac:dyDescent="0.2">
      <c r="A578">
        <v>-0.18222015500068664</v>
      </c>
      <c r="B578">
        <v>0.5658601278861235</v>
      </c>
      <c r="C578">
        <v>-0.32202331640047543</v>
      </c>
    </row>
    <row r="579" spans="1:3" x14ac:dyDescent="0.2">
      <c r="A579">
        <v>0.22515317052602768</v>
      </c>
      <c r="B579">
        <v>0.47649620084959665</v>
      </c>
      <c r="C579">
        <v>0.4725182910683815</v>
      </c>
    </row>
    <row r="580" spans="1:3" x14ac:dyDescent="0.2">
      <c r="A580">
        <v>0.13463533520698548</v>
      </c>
      <c r="B580">
        <v>0.43024028346373411</v>
      </c>
      <c r="C580">
        <v>0.31293056550418108</v>
      </c>
    </row>
    <row r="581" spans="1:3" x14ac:dyDescent="0.2">
      <c r="A581">
        <v>0.1395724594593048</v>
      </c>
      <c r="B581">
        <v>0.49604332467061907</v>
      </c>
      <c r="C581">
        <v>0.28137151034535784</v>
      </c>
    </row>
    <row r="582" spans="1:3" x14ac:dyDescent="0.2">
      <c r="A582">
        <v>-0.29242628216743471</v>
      </c>
      <c r="B582">
        <v>0.30867562154073042</v>
      </c>
      <c r="C582">
        <v>-0.94735787914773317</v>
      </c>
    </row>
    <row r="583" spans="1:3" x14ac:dyDescent="0.2">
      <c r="A583">
        <v>-0.21556858196854592</v>
      </c>
      <c r="B583">
        <v>0.46918421891013989</v>
      </c>
      <c r="C583">
        <v>-0.45945403378930039</v>
      </c>
    </row>
    <row r="584" spans="1:3" x14ac:dyDescent="0.2">
      <c r="A584">
        <v>-0.34188884496688843</v>
      </c>
      <c r="B584">
        <v>0.57781707795495652</v>
      </c>
      <c r="C584">
        <v>-0.591690446701439</v>
      </c>
    </row>
    <row r="585" spans="1:3" x14ac:dyDescent="0.2">
      <c r="A585">
        <v>-0.3869524709880352</v>
      </c>
      <c r="B585">
        <v>0.27292214044367558</v>
      </c>
      <c r="C585">
        <v>-1.4178126785865974</v>
      </c>
    </row>
    <row r="586" spans="1:3" x14ac:dyDescent="0.2">
      <c r="A586">
        <v>-0.89307033121585844</v>
      </c>
      <c r="B586">
        <v>0.30520292257871001</v>
      </c>
      <c r="C586">
        <v>-2.9261526189531848</v>
      </c>
    </row>
    <row r="587" spans="1:3" x14ac:dyDescent="0.2">
      <c r="A587">
        <v>-0.13739149272441864</v>
      </c>
      <c r="B587">
        <v>0.12001508917022635</v>
      </c>
      <c r="C587">
        <v>-1.1447851572192396</v>
      </c>
    </row>
    <row r="588" spans="1:3" x14ac:dyDescent="0.2">
      <c r="A588">
        <v>0.41833602488040922</v>
      </c>
      <c r="B588">
        <v>0.32718117582110423</v>
      </c>
      <c r="C588">
        <v>1.2786066430336034</v>
      </c>
    </row>
    <row r="589" spans="1:3" x14ac:dyDescent="0.2">
      <c r="A589">
        <v>1.4877426624298095E-2</v>
      </c>
      <c r="B589">
        <v>0.53084656961908072</v>
      </c>
      <c r="C589">
        <v>2.8025850548443181E-2</v>
      </c>
    </row>
    <row r="590" spans="1:3" x14ac:dyDescent="0.2">
      <c r="A590">
        <v>-0.89335886240005491</v>
      </c>
      <c r="B590">
        <v>0.2088036035158875</v>
      </c>
      <c r="C590">
        <v>-4.2784647743499349</v>
      </c>
    </row>
    <row r="591" spans="1:3" x14ac:dyDescent="0.2">
      <c r="A591">
        <v>-0.21138693690299987</v>
      </c>
      <c r="B591">
        <v>0.31762615162499641</v>
      </c>
      <c r="C591">
        <v>-0.66552119786588826</v>
      </c>
    </row>
    <row r="592" spans="1:3" x14ac:dyDescent="0.2">
      <c r="A592">
        <v>-0.25867113657295704</v>
      </c>
      <c r="B592">
        <v>0.24671097650278154</v>
      </c>
      <c r="C592">
        <v>-1.0484784270230501</v>
      </c>
    </row>
    <row r="593" spans="1:3" x14ac:dyDescent="0.2">
      <c r="A593">
        <v>-0.3804477110505104</v>
      </c>
      <c r="B593">
        <v>0.27648606711628132</v>
      </c>
      <c r="C593">
        <v>-1.3760104261980988</v>
      </c>
    </row>
    <row r="594" spans="1:3" x14ac:dyDescent="0.2">
      <c r="A594">
        <v>0.16305394768714904</v>
      </c>
      <c r="B594">
        <v>0.3418898880490871</v>
      </c>
      <c r="C594">
        <v>0.47691948017994157</v>
      </c>
    </row>
    <row r="595" spans="1:3" x14ac:dyDescent="0.2">
      <c r="A595">
        <v>0.35107783302664758</v>
      </c>
      <c r="B595">
        <v>0.19337675767890941</v>
      </c>
      <c r="C595">
        <v>1.815512046228386</v>
      </c>
    </row>
    <row r="596" spans="1:3" x14ac:dyDescent="0.2">
      <c r="A596">
        <v>-9.023778885602951E-2</v>
      </c>
      <c r="B596">
        <v>0.44169253430541289</v>
      </c>
      <c r="C596">
        <v>-0.20430000927666497</v>
      </c>
    </row>
    <row r="597" spans="1:3" x14ac:dyDescent="0.2">
      <c r="A597">
        <v>-0.40059421360492709</v>
      </c>
      <c r="B597">
        <v>0.31916167527300243</v>
      </c>
      <c r="C597">
        <v>-1.2551451024383471</v>
      </c>
    </row>
    <row r="598" spans="1:3" x14ac:dyDescent="0.2">
      <c r="A598">
        <v>6.2670746445655817E-2</v>
      </c>
      <c r="B598">
        <v>0.64029174241758446</v>
      </c>
      <c r="C598">
        <v>9.7878423683907687E-2</v>
      </c>
    </row>
    <row r="599" spans="1:3" x14ac:dyDescent="0.2">
      <c r="A599">
        <v>-0.7373388409614563</v>
      </c>
      <c r="B599">
        <v>0.40729532958344311</v>
      </c>
      <c r="C599">
        <v>-1.8103297224536348</v>
      </c>
    </row>
    <row r="600" spans="1:3" x14ac:dyDescent="0.2">
      <c r="A600">
        <v>-0.45585117340087888</v>
      </c>
      <c r="B600">
        <v>0.65854714296571371</v>
      </c>
      <c r="C600">
        <v>-0.69220735109105491</v>
      </c>
    </row>
    <row r="601" spans="1:3" x14ac:dyDescent="0.2">
      <c r="A601">
        <v>0.11690457463264466</v>
      </c>
      <c r="B601">
        <v>0.78572462354245609</v>
      </c>
      <c r="C601">
        <v>0.14878568283322713</v>
      </c>
    </row>
    <row r="602" spans="1:3" x14ac:dyDescent="0.2">
      <c r="A602">
        <v>0.45426010489463808</v>
      </c>
      <c r="B602">
        <v>0.61060444716272588</v>
      </c>
      <c r="C602">
        <v>0.74395151723088893</v>
      </c>
    </row>
    <row r="603" spans="1:3" x14ac:dyDescent="0.2">
      <c r="A603">
        <v>0.41761609315872195</v>
      </c>
      <c r="B603">
        <v>0.20162973252622993</v>
      </c>
      <c r="C603">
        <v>2.0712029318612246</v>
      </c>
    </row>
    <row r="604" spans="1:3" x14ac:dyDescent="0.2">
      <c r="A604">
        <v>0.17391490936279297</v>
      </c>
      <c r="B604">
        <v>0.43692414737532409</v>
      </c>
      <c r="C604">
        <v>0.39804371172325609</v>
      </c>
    </row>
    <row r="605" spans="1:3" x14ac:dyDescent="0.2">
      <c r="A605">
        <v>-0.50359444785863161</v>
      </c>
      <c r="B605">
        <v>0.48487803048385719</v>
      </c>
      <c r="C605">
        <v>-1.0386002586178165</v>
      </c>
    </row>
    <row r="606" spans="1:3" x14ac:dyDescent="0.2">
      <c r="A606">
        <v>-0.30991088449954984</v>
      </c>
      <c r="B606">
        <v>0.46814156391459844</v>
      </c>
      <c r="C606">
        <v>-0.6620024975096761</v>
      </c>
    </row>
    <row r="607" spans="1:3" x14ac:dyDescent="0.2">
      <c r="A607">
        <v>-0.52001816630363462</v>
      </c>
      <c r="B607">
        <v>0.37410070827057218</v>
      </c>
      <c r="C607">
        <v>-1.3900486013716022</v>
      </c>
    </row>
    <row r="608" spans="1:3" x14ac:dyDescent="0.2">
      <c r="A608">
        <v>0.50107995271682737</v>
      </c>
      <c r="B608">
        <v>0.27119715621585477</v>
      </c>
      <c r="C608">
        <v>1.8476593180719096</v>
      </c>
    </row>
    <row r="609" spans="1:3" x14ac:dyDescent="0.2">
      <c r="A609">
        <v>-0.27577618099749091</v>
      </c>
      <c r="B609">
        <v>0.43688899104076384</v>
      </c>
      <c r="C609">
        <v>-0.63122712325740349</v>
      </c>
    </row>
    <row r="610" spans="1:3" x14ac:dyDescent="0.2">
      <c r="A610">
        <v>0.43017632067203521</v>
      </c>
      <c r="B610">
        <v>0.54678276056271158</v>
      </c>
      <c r="C610">
        <v>0.7867408259714096</v>
      </c>
    </row>
    <row r="611" spans="1:3" x14ac:dyDescent="0.2">
      <c r="A611">
        <v>-0.39175184965133669</v>
      </c>
      <c r="B611">
        <v>0.77009748680979673</v>
      </c>
      <c r="C611">
        <v>-0.50870423077759497</v>
      </c>
    </row>
    <row r="612" spans="1:3" x14ac:dyDescent="0.2">
      <c r="A612">
        <v>-0.64879148006439213</v>
      </c>
      <c r="B612">
        <v>0.12778341544355437</v>
      </c>
      <c r="C612">
        <v>-5.0772745259026362</v>
      </c>
    </row>
    <row r="613" spans="1:3" x14ac:dyDescent="0.2">
      <c r="A613">
        <v>0.30912263989448546</v>
      </c>
      <c r="B613">
        <v>0.1903245543960978</v>
      </c>
      <c r="C613">
        <v>1.6241868574201341</v>
      </c>
    </row>
    <row r="614" spans="1:3" x14ac:dyDescent="0.2">
      <c r="A614">
        <v>-0.39694101288914679</v>
      </c>
      <c r="B614">
        <v>0.25978376565434724</v>
      </c>
      <c r="C614">
        <v>-1.527966968564513</v>
      </c>
    </row>
    <row r="615" spans="1:3" x14ac:dyDescent="0.2">
      <c r="A615">
        <v>0.1856830596923828</v>
      </c>
      <c r="B615">
        <v>0.29113766692101362</v>
      </c>
      <c r="C615">
        <v>0.63778439133662179</v>
      </c>
    </row>
    <row r="616" spans="1:3" x14ac:dyDescent="0.2">
      <c r="A616">
        <v>-0.51550042033195498</v>
      </c>
      <c r="B616">
        <v>0.26310755192666357</v>
      </c>
      <c r="C616">
        <v>-1.9592764120873327</v>
      </c>
    </row>
    <row r="617" spans="1:3" x14ac:dyDescent="0.2">
      <c r="A617">
        <v>-0.80127154588699345</v>
      </c>
      <c r="B617">
        <v>0.40872106220459425</v>
      </c>
      <c r="C617">
        <v>-1.9604361506721166</v>
      </c>
    </row>
    <row r="618" spans="1:3" x14ac:dyDescent="0.2">
      <c r="A618">
        <v>-0.35461645573377609</v>
      </c>
      <c r="B618">
        <v>0.38325812806750958</v>
      </c>
      <c r="C618">
        <v>-0.92526793240327998</v>
      </c>
    </row>
    <row r="619" spans="1:3" x14ac:dyDescent="0.2">
      <c r="A619">
        <v>4.4446720182895659E-2</v>
      </c>
      <c r="B619">
        <v>0.29223438956104852</v>
      </c>
      <c r="C619">
        <v>0.15209270972405739</v>
      </c>
    </row>
    <row r="620" spans="1:3" x14ac:dyDescent="0.2">
      <c r="A620">
        <v>0.13480364084243773</v>
      </c>
      <c r="B620">
        <v>0.46206947455686664</v>
      </c>
      <c r="C620">
        <v>0.2917389013236959</v>
      </c>
    </row>
    <row r="621" spans="1:3" x14ac:dyDescent="0.2">
      <c r="A621">
        <v>2.258489578962326E-2</v>
      </c>
      <c r="B621">
        <v>0.45610654771663056</v>
      </c>
      <c r="C621">
        <v>4.9516710300889569E-2</v>
      </c>
    </row>
    <row r="622" spans="1:3" x14ac:dyDescent="0.2">
      <c r="A622">
        <v>8.0856651067733772E-3</v>
      </c>
      <c r="B622">
        <v>0.30188438809503287</v>
      </c>
      <c r="C622">
        <v>2.6783978985451935E-2</v>
      </c>
    </row>
    <row r="623" spans="1:3" x14ac:dyDescent="0.2">
      <c r="A623">
        <v>-0.38379343152046203</v>
      </c>
      <c r="B623">
        <v>0.39816699598256744</v>
      </c>
      <c r="C623">
        <v>-0.96390066327161195</v>
      </c>
    </row>
    <row r="624" spans="1:3" x14ac:dyDescent="0.2">
      <c r="A624">
        <v>0.7791087865829468</v>
      </c>
      <c r="B624">
        <v>0.52423673662145731</v>
      </c>
      <c r="C624">
        <v>1.486177393068751</v>
      </c>
    </row>
    <row r="625" spans="1:3" x14ac:dyDescent="0.2">
      <c r="A625">
        <v>0.45137210171669723</v>
      </c>
      <c r="B625">
        <v>0.41409855669497064</v>
      </c>
      <c r="C625">
        <v>1.0900112893877645</v>
      </c>
    </row>
    <row r="626" spans="1:3" x14ac:dyDescent="0.2">
      <c r="A626">
        <v>0.2012748122215271</v>
      </c>
      <c r="B626">
        <v>0.37398344415021734</v>
      </c>
      <c r="C626">
        <v>0.53819177123969519</v>
      </c>
    </row>
    <row r="627" spans="1:3" x14ac:dyDescent="0.2">
      <c r="A627">
        <v>-0.37639670372009276</v>
      </c>
      <c r="B627">
        <v>0.30784614495824997</v>
      </c>
      <c r="C627">
        <v>-1.2226779834164876</v>
      </c>
    </row>
    <row r="628" spans="1:3" x14ac:dyDescent="0.2">
      <c r="A628">
        <v>9.6788749098777771E-2</v>
      </c>
      <c r="B628">
        <v>0.69023076844326992</v>
      </c>
      <c r="C628">
        <v>0.14022665103306364</v>
      </c>
    </row>
    <row r="629" spans="1:3" x14ac:dyDescent="0.2">
      <c r="A629">
        <v>8.7416291236877448E-3</v>
      </c>
      <c r="B629">
        <v>0.5184294869775774</v>
      </c>
      <c r="C629">
        <v>1.6861751391980196E-2</v>
      </c>
    </row>
    <row r="630" spans="1:3" x14ac:dyDescent="0.2">
      <c r="A630">
        <v>0.46722488403320311</v>
      </c>
      <c r="B630">
        <v>0.64035782805829133</v>
      </c>
      <c r="C630">
        <v>0.72963094001666828</v>
      </c>
    </row>
    <row r="631" spans="1:3" x14ac:dyDescent="0.2">
      <c r="A631">
        <v>-3.4844210743904112E-2</v>
      </c>
      <c r="B631">
        <v>0.63195879721258652</v>
      </c>
      <c r="C631">
        <v>-5.5136839454713316E-2</v>
      </c>
    </row>
    <row r="632" spans="1:3" x14ac:dyDescent="0.2">
      <c r="A632">
        <v>0.16455853655934333</v>
      </c>
      <c r="B632">
        <v>0.40394870999588317</v>
      </c>
      <c r="C632">
        <v>0.40737482875244341</v>
      </c>
    </row>
    <row r="633" spans="1:3" x14ac:dyDescent="0.2">
      <c r="A633">
        <v>-0.66679924130439761</v>
      </c>
      <c r="B633">
        <v>0.32114954699324</v>
      </c>
      <c r="C633">
        <v>-2.0762889051138327</v>
      </c>
    </row>
    <row r="634" spans="1:3" x14ac:dyDescent="0.2">
      <c r="A634">
        <v>-0.69958499073982239</v>
      </c>
      <c r="B634">
        <v>0.49155107491810779</v>
      </c>
      <c r="C634">
        <v>-1.4232193284418571</v>
      </c>
    </row>
    <row r="635" spans="1:3" x14ac:dyDescent="0.2">
      <c r="A635">
        <v>0.21559206694364547</v>
      </c>
      <c r="B635">
        <v>0.35450776531094236</v>
      </c>
      <c r="C635">
        <v>0.60814483641718675</v>
      </c>
    </row>
    <row r="636" spans="1:3" x14ac:dyDescent="0.2">
      <c r="A636">
        <v>-0.54313363432884221</v>
      </c>
      <c r="B636">
        <v>0.5322618325381262</v>
      </c>
      <c r="C636">
        <v>-1.0204256648252854</v>
      </c>
    </row>
    <row r="637" spans="1:3" x14ac:dyDescent="0.2">
      <c r="A637">
        <v>0.8875841349363327</v>
      </c>
      <c r="B637">
        <v>0.18892195771964873</v>
      </c>
      <c r="C637">
        <v>4.6981523251705113</v>
      </c>
    </row>
    <row r="638" spans="1:3" x14ac:dyDescent="0.2">
      <c r="A638">
        <v>-0.12729754447937011</v>
      </c>
      <c r="B638">
        <v>0.32105031832668329</v>
      </c>
      <c r="C638">
        <v>-0.39650340526944772</v>
      </c>
    </row>
    <row r="639" spans="1:3" x14ac:dyDescent="0.2">
      <c r="A639">
        <v>0.59137828350067134</v>
      </c>
      <c r="B639">
        <v>0.57572017075881321</v>
      </c>
      <c r="C639">
        <v>1.0271974364233589</v>
      </c>
    </row>
    <row r="640" spans="1:3" x14ac:dyDescent="0.2">
      <c r="A640">
        <v>1.5111623961478471</v>
      </c>
      <c r="B640">
        <v>0.55758815414970231</v>
      </c>
      <c r="C640">
        <v>2.7101766508155181</v>
      </c>
    </row>
    <row r="641" spans="1:3" x14ac:dyDescent="0.2">
      <c r="A641">
        <v>-0.1961843490600586</v>
      </c>
      <c r="B641">
        <v>0.55166007843985343</v>
      </c>
      <c r="C641">
        <v>-0.35562542356678478</v>
      </c>
    </row>
    <row r="642" spans="1:3" x14ac:dyDescent="0.2">
      <c r="A642">
        <v>-0.19528479278087615</v>
      </c>
      <c r="B642">
        <v>0.36898283910507146</v>
      </c>
      <c r="C642">
        <v>-0.52925169434578201</v>
      </c>
    </row>
    <row r="643" spans="1:3" x14ac:dyDescent="0.2">
      <c r="A643">
        <v>-0.64022648930549619</v>
      </c>
      <c r="B643">
        <v>0.71728992102410927</v>
      </c>
      <c r="C643">
        <v>-0.89256306347008763</v>
      </c>
    </row>
    <row r="644" spans="1:3" x14ac:dyDescent="0.2">
      <c r="A644">
        <v>0.5650501623749733</v>
      </c>
      <c r="B644">
        <v>0.30254817710123222</v>
      </c>
      <c r="C644">
        <v>1.8676369753366859</v>
      </c>
    </row>
    <row r="645" spans="1:3" x14ac:dyDescent="0.2">
      <c r="A645">
        <v>0.16410527229309083</v>
      </c>
      <c r="B645">
        <v>0.50390678227786734</v>
      </c>
      <c r="C645">
        <v>0.32566593279667133</v>
      </c>
    </row>
    <row r="646" spans="1:3" x14ac:dyDescent="0.2">
      <c r="A646">
        <v>-0.2397454261779785</v>
      </c>
      <c r="B646">
        <v>0.35542578608417164</v>
      </c>
      <c r="C646">
        <v>-0.67453019888996513</v>
      </c>
    </row>
    <row r="647" spans="1:3" x14ac:dyDescent="0.2">
      <c r="A647">
        <v>-8.1550848484039304E-2</v>
      </c>
      <c r="B647">
        <v>0.32748910126688252</v>
      </c>
      <c r="C647">
        <v>-0.24901851135980435</v>
      </c>
    </row>
    <row r="648" spans="1:3" x14ac:dyDescent="0.2">
      <c r="A648">
        <v>-0.36644833683967593</v>
      </c>
      <c r="B648">
        <v>0.57972909674919126</v>
      </c>
      <c r="C648">
        <v>-0.63210271641447868</v>
      </c>
    </row>
    <row r="649" spans="1:3" x14ac:dyDescent="0.2">
      <c r="A649">
        <v>-0.41072106063365937</v>
      </c>
      <c r="B649">
        <v>0.46651316153954514</v>
      </c>
      <c r="C649">
        <v>-0.88040615891357565</v>
      </c>
    </row>
    <row r="650" spans="1:3" x14ac:dyDescent="0.2">
      <c r="A650">
        <v>0.70058579146862032</v>
      </c>
      <c r="B650">
        <v>0.48972462454093391</v>
      </c>
      <c r="C650">
        <v>1.4305708889467155</v>
      </c>
    </row>
    <row r="651" spans="1:3" x14ac:dyDescent="0.2">
      <c r="A651">
        <v>0.41311011314392088</v>
      </c>
      <c r="B651">
        <v>0.45067597885430993</v>
      </c>
      <c r="C651">
        <v>0.91664551146948758</v>
      </c>
    </row>
    <row r="652" spans="1:3" x14ac:dyDescent="0.2">
      <c r="A652">
        <v>-0.90715060681104664</v>
      </c>
      <c r="B652">
        <v>0.30336348262945712</v>
      </c>
      <c r="C652">
        <v>-2.9903091794310801</v>
      </c>
    </row>
    <row r="653" spans="1:3" x14ac:dyDescent="0.2">
      <c r="A653">
        <v>0.18603236973285675</v>
      </c>
      <c r="B653">
        <v>0.20458664418593492</v>
      </c>
      <c r="C653">
        <v>0.90930847647994339</v>
      </c>
    </row>
    <row r="654" spans="1:3" x14ac:dyDescent="0.2">
      <c r="A654">
        <v>-2.3502987623214722E-2</v>
      </c>
      <c r="B654">
        <v>0.37572069992437918</v>
      </c>
      <c r="C654">
        <v>-6.2554412434409762E-2</v>
      </c>
    </row>
    <row r="655" spans="1:3" x14ac:dyDescent="0.2">
      <c r="A655">
        <v>0.50197462141513827</v>
      </c>
      <c r="B655">
        <v>0.33641393006838294</v>
      </c>
      <c r="C655">
        <v>1.4921338760053775</v>
      </c>
    </row>
    <row r="656" spans="1:3" x14ac:dyDescent="0.2">
      <c r="A656">
        <v>0.46368764936923978</v>
      </c>
      <c r="B656">
        <v>0.34296091925423949</v>
      </c>
      <c r="C656">
        <v>1.3520130817747915</v>
      </c>
    </row>
    <row r="657" spans="1:3" x14ac:dyDescent="0.2">
      <c r="A657">
        <v>0.51617406010627742</v>
      </c>
      <c r="B657">
        <v>0.43151361270784699</v>
      </c>
      <c r="C657">
        <v>1.1961941521778807</v>
      </c>
    </row>
    <row r="658" spans="1:3" x14ac:dyDescent="0.2">
      <c r="A658">
        <v>0.36773248910903933</v>
      </c>
      <c r="B658">
        <v>0.62132281505272624</v>
      </c>
      <c r="C658">
        <v>0.59185415407260245</v>
      </c>
    </row>
    <row r="659" spans="1:3" x14ac:dyDescent="0.2">
      <c r="A659">
        <v>-0.1699313223361969</v>
      </c>
      <c r="B659">
        <v>0.16379019788044089</v>
      </c>
      <c r="C659">
        <v>-1.0374938460007157</v>
      </c>
    </row>
    <row r="660" spans="1:3" x14ac:dyDescent="0.2">
      <c r="A660">
        <v>0.46457791402935983</v>
      </c>
      <c r="B660">
        <v>0.57543788139680507</v>
      </c>
      <c r="C660">
        <v>0.80734676851939913</v>
      </c>
    </row>
    <row r="661" spans="1:3" x14ac:dyDescent="0.2">
      <c r="A661">
        <v>-3.046204149723053E-2</v>
      </c>
      <c r="B661">
        <v>0.36879475613726953</v>
      </c>
      <c r="C661">
        <v>-8.2598900852842438E-2</v>
      </c>
    </row>
    <row r="662" spans="1:3" x14ac:dyDescent="0.2">
      <c r="A662">
        <v>1.4720982313156128E-2</v>
      </c>
      <c r="B662">
        <v>0.4537199249610292</v>
      </c>
      <c r="C662">
        <v>3.2445086722652831E-2</v>
      </c>
    </row>
    <row r="663" spans="1:3" x14ac:dyDescent="0.2">
      <c r="A663">
        <v>-0.32033795751631261</v>
      </c>
      <c r="B663">
        <v>0.44074407008444028</v>
      </c>
      <c r="C663">
        <v>-0.72681172421659679</v>
      </c>
    </row>
    <row r="664" spans="1:3" x14ac:dyDescent="0.2">
      <c r="A664">
        <v>-7.1603319048881536E-2</v>
      </c>
      <c r="B664">
        <v>0.21848718611850251</v>
      </c>
      <c r="C664">
        <v>-0.32772319659078547</v>
      </c>
    </row>
    <row r="665" spans="1:3" x14ac:dyDescent="0.2">
      <c r="A665">
        <v>1.516684889793396E-2</v>
      </c>
      <c r="B665">
        <v>0.8168463687300086</v>
      </c>
      <c r="C665">
        <v>1.8567566042454971E-2</v>
      </c>
    </row>
    <row r="666" spans="1:3" x14ac:dyDescent="0.2">
      <c r="A666">
        <v>-3.5248957434669138E-2</v>
      </c>
      <c r="B666">
        <v>0.32363684529955833</v>
      </c>
      <c r="C666">
        <v>-0.10891515581930326</v>
      </c>
    </row>
    <row r="667" spans="1:3" x14ac:dyDescent="0.2">
      <c r="A667">
        <v>-1.1476442217826843E-2</v>
      </c>
      <c r="B667">
        <v>0.40507296099462436</v>
      </c>
      <c r="C667">
        <v>-2.8331790375855634E-2</v>
      </c>
    </row>
    <row r="668" spans="1:3" x14ac:dyDescent="0.2">
      <c r="A668">
        <v>-0.19451830983161927</v>
      </c>
      <c r="B668">
        <v>0.58234056369260667</v>
      </c>
      <c r="C668">
        <v>-0.33402843964394929</v>
      </c>
    </row>
    <row r="669" spans="1:3" x14ac:dyDescent="0.2">
      <c r="A669">
        <v>-9.1186919808387751E-2</v>
      </c>
      <c r="B669">
        <v>0.50888506070419814</v>
      </c>
      <c r="C669">
        <v>-0.17918961834368405</v>
      </c>
    </row>
    <row r="670" spans="1:3" x14ac:dyDescent="0.2">
      <c r="A670">
        <v>-0.38578886091709136</v>
      </c>
      <c r="B670">
        <v>0.45091173108853927</v>
      </c>
      <c r="C670">
        <v>-0.85557512550353088</v>
      </c>
    </row>
    <row r="671" spans="1:3" x14ac:dyDescent="0.2">
      <c r="A671">
        <v>0.40119545310735705</v>
      </c>
      <c r="B671">
        <v>0.61519678416701484</v>
      </c>
      <c r="C671">
        <v>0.65214166171330268</v>
      </c>
    </row>
    <row r="672" spans="1:3" x14ac:dyDescent="0.2">
      <c r="A672">
        <v>-0.37213726788759233</v>
      </c>
      <c r="B672">
        <v>0.23723451943473289</v>
      </c>
      <c r="C672">
        <v>-1.5686472136276668</v>
      </c>
    </row>
    <row r="673" spans="1:3" x14ac:dyDescent="0.2">
      <c r="A673">
        <v>-0.16706478595733643</v>
      </c>
      <c r="B673">
        <v>0.51936115437633701</v>
      </c>
      <c r="C673">
        <v>-0.32167362643429187</v>
      </c>
    </row>
    <row r="674" spans="1:3" x14ac:dyDescent="0.2">
      <c r="A674">
        <v>0.74273340031504631</v>
      </c>
      <c r="B674">
        <v>0.4348051735787698</v>
      </c>
      <c r="C674">
        <v>1.7081981665530754</v>
      </c>
    </row>
    <row r="675" spans="1:3" x14ac:dyDescent="0.2">
      <c r="A675">
        <v>1.1678351402282714</v>
      </c>
      <c r="B675">
        <v>0.28735720170033069</v>
      </c>
      <c r="C675">
        <v>4.0640538441982175</v>
      </c>
    </row>
    <row r="676" spans="1:3" x14ac:dyDescent="0.2">
      <c r="A676">
        <v>0.11594301462173462</v>
      </c>
      <c r="B676">
        <v>0.47733927125152575</v>
      </c>
      <c r="C676">
        <v>0.24289435545025675</v>
      </c>
    </row>
    <row r="677" spans="1:3" x14ac:dyDescent="0.2">
      <c r="A677">
        <v>0.11978956460952758</v>
      </c>
      <c r="B677">
        <v>0.66466145877576321</v>
      </c>
      <c r="C677">
        <v>0.18022643411604972</v>
      </c>
    </row>
    <row r="678" spans="1:3" x14ac:dyDescent="0.2">
      <c r="A678">
        <v>5.9184157848358156E-2</v>
      </c>
      <c r="B678">
        <v>0.67363560005381451</v>
      </c>
      <c r="C678">
        <v>8.7857823790236336E-2</v>
      </c>
    </row>
    <row r="679" spans="1:3" x14ac:dyDescent="0.2">
      <c r="A679">
        <v>-0.32396810650825503</v>
      </c>
      <c r="B679">
        <v>0.56307512214578204</v>
      </c>
      <c r="C679">
        <v>-0.57535503481963213</v>
      </c>
    </row>
    <row r="680" spans="1:3" x14ac:dyDescent="0.2">
      <c r="A680">
        <v>-0.10034417808055877</v>
      </c>
      <c r="B680">
        <v>0.29483932915629152</v>
      </c>
      <c r="C680">
        <v>-0.34033511868210525</v>
      </c>
    </row>
    <row r="681" spans="1:3" x14ac:dyDescent="0.2">
      <c r="A681">
        <v>-0.17804547250270844</v>
      </c>
      <c r="B681">
        <v>0.34654277564013708</v>
      </c>
      <c r="C681">
        <v>-0.51377632147668106</v>
      </c>
    </row>
    <row r="682" spans="1:3" x14ac:dyDescent="0.2">
      <c r="A682">
        <v>0.82034978270530701</v>
      </c>
      <c r="B682">
        <v>0.25866160601062904</v>
      </c>
      <c r="C682">
        <v>3.1715173943194213</v>
      </c>
    </row>
    <row r="683" spans="1:3" x14ac:dyDescent="0.2">
      <c r="A683">
        <v>-0.57443383187055586</v>
      </c>
      <c r="B683">
        <v>0.36238097773680583</v>
      </c>
      <c r="C683">
        <v>-1.5851655223684566</v>
      </c>
    </row>
    <row r="684" spans="1:3" x14ac:dyDescent="0.2">
      <c r="A684">
        <v>-0.29906193315982821</v>
      </c>
      <c r="B684">
        <v>0.53152052253595061</v>
      </c>
      <c r="C684">
        <v>-0.56265359563722295</v>
      </c>
    </row>
    <row r="685" spans="1:3" x14ac:dyDescent="0.2">
      <c r="A685">
        <v>0.78682170808315277</v>
      </c>
      <c r="B685">
        <v>0.45368794828004577</v>
      </c>
      <c r="C685">
        <v>1.7342794999647535</v>
      </c>
    </row>
    <row r="686" spans="1:3" x14ac:dyDescent="0.2">
      <c r="A686">
        <v>-0.398258900642395</v>
      </c>
      <c r="B686">
        <v>0.6346646293494882</v>
      </c>
      <c r="C686">
        <v>-0.62751078636696389</v>
      </c>
    </row>
    <row r="687" spans="1:3" x14ac:dyDescent="0.2">
      <c r="A687">
        <v>-3.639755845069885E-2</v>
      </c>
      <c r="B687">
        <v>0.24588230414817899</v>
      </c>
      <c r="C687">
        <v>-0.14802837714081349</v>
      </c>
    </row>
    <row r="688" spans="1:3" x14ac:dyDescent="0.2">
      <c r="A688">
        <v>0.26176981925964354</v>
      </c>
      <c r="B688">
        <v>0.71336485801465244</v>
      </c>
      <c r="C688">
        <v>0.36695081951214764</v>
      </c>
    </row>
    <row r="689" spans="1:3" x14ac:dyDescent="0.2">
      <c r="A689">
        <v>0.12605883777141572</v>
      </c>
      <c r="B689">
        <v>0.18815749237768722</v>
      </c>
      <c r="C689">
        <v>0.66996448655033458</v>
      </c>
    </row>
    <row r="690" spans="1:3" x14ac:dyDescent="0.2">
      <c r="A690">
        <v>0.23333597928285599</v>
      </c>
      <c r="B690">
        <v>0.43512604526348225</v>
      </c>
      <c r="C690">
        <v>0.53624916693176539</v>
      </c>
    </row>
    <row r="691" spans="1:3" x14ac:dyDescent="0.2">
      <c r="A691">
        <v>0.34786056280136107</v>
      </c>
      <c r="B691">
        <v>0.44804423100504798</v>
      </c>
      <c r="C691">
        <v>0.77639781684286846</v>
      </c>
    </row>
    <row r="692" spans="1:3" x14ac:dyDescent="0.2">
      <c r="A692">
        <v>0.25365352928638457</v>
      </c>
      <c r="B692">
        <v>0.35397639715536294</v>
      </c>
      <c r="C692">
        <v>0.71658317143403805</v>
      </c>
    </row>
    <row r="693" spans="1:3" x14ac:dyDescent="0.2">
      <c r="A693">
        <v>-0.1547895073890686</v>
      </c>
      <c r="B693">
        <v>0.36246329910408476</v>
      </c>
      <c r="C693">
        <v>-0.42704877368734467</v>
      </c>
    </row>
    <row r="694" spans="1:3" x14ac:dyDescent="0.2">
      <c r="A694">
        <v>-0.4171174019575119</v>
      </c>
      <c r="B694">
        <v>0.43848976160016845</v>
      </c>
      <c r="C694">
        <v>-0.95125915924544513</v>
      </c>
    </row>
    <row r="695" spans="1:3" x14ac:dyDescent="0.2">
      <c r="A695">
        <v>-0.82607234418392184</v>
      </c>
      <c r="B695">
        <v>0.4818926649860264</v>
      </c>
      <c r="C695">
        <v>-1.7142247728711035</v>
      </c>
    </row>
    <row r="696" spans="1:3" x14ac:dyDescent="0.2">
      <c r="A696">
        <v>0.55837823450565338</v>
      </c>
      <c r="B696">
        <v>0.3551378050397726</v>
      </c>
      <c r="C696">
        <v>1.5722861001608079</v>
      </c>
    </row>
    <row r="697" spans="1:3" x14ac:dyDescent="0.2">
      <c r="A697">
        <v>-5.1886081695556641E-2</v>
      </c>
      <c r="B697">
        <v>0.78932539503026367</v>
      </c>
      <c r="C697">
        <v>-6.5734717294338746E-2</v>
      </c>
    </row>
    <row r="698" spans="1:3" x14ac:dyDescent="0.2">
      <c r="A698">
        <v>-0.35212915018200874</v>
      </c>
      <c r="B698">
        <v>0.49239022029375124</v>
      </c>
      <c r="C698">
        <v>-0.71514245342227711</v>
      </c>
    </row>
    <row r="699" spans="1:3" x14ac:dyDescent="0.2">
      <c r="A699">
        <v>0.46037300378084184</v>
      </c>
      <c r="B699">
        <v>0.46076178865287032</v>
      </c>
      <c r="C699">
        <v>0.99915621285965317</v>
      </c>
    </row>
    <row r="700" spans="1:3" x14ac:dyDescent="0.2">
      <c r="A700">
        <v>-0.34715473651885986</v>
      </c>
      <c r="B700">
        <v>0.4714057611178748</v>
      </c>
      <c r="C700">
        <v>-0.73642446731162026</v>
      </c>
    </row>
    <row r="701" spans="1:3" x14ac:dyDescent="0.2">
      <c r="A701">
        <v>4.9665411561727525E-2</v>
      </c>
      <c r="B701">
        <v>0.12809410600972107</v>
      </c>
      <c r="C701">
        <v>0.38772597045143053</v>
      </c>
    </row>
    <row r="702" spans="1:3" x14ac:dyDescent="0.2">
      <c r="A702">
        <v>-0.77733013033866882</v>
      </c>
      <c r="B702">
        <v>0.35172680680938589</v>
      </c>
      <c r="C702">
        <v>-2.2100394831717605</v>
      </c>
    </row>
    <row r="703" spans="1:3" x14ac:dyDescent="0.2">
      <c r="A703">
        <v>-0.75829852707684042</v>
      </c>
      <c r="B703">
        <v>0.26007070491409051</v>
      </c>
      <c r="C703">
        <v>-2.9157398843800193</v>
      </c>
    </row>
    <row r="704" spans="1:3" x14ac:dyDescent="0.2">
      <c r="A704">
        <v>-0.41040599644184111</v>
      </c>
      <c r="B704">
        <v>0.23971778401993923</v>
      </c>
      <c r="C704">
        <v>-1.7120381707170478</v>
      </c>
    </row>
    <row r="705" spans="1:3" x14ac:dyDescent="0.2">
      <c r="A705">
        <v>-0.77822883129119869</v>
      </c>
      <c r="B705">
        <v>0.19541741888904668</v>
      </c>
      <c r="C705">
        <v>-3.9823923359312117</v>
      </c>
    </row>
    <row r="706" spans="1:3" x14ac:dyDescent="0.2">
      <c r="A706">
        <v>0.71458792090415957</v>
      </c>
      <c r="B706">
        <v>0.68660817727881063</v>
      </c>
      <c r="C706">
        <v>1.040750670544355</v>
      </c>
    </row>
    <row r="707" spans="1:3" x14ac:dyDescent="0.2">
      <c r="A707">
        <v>5.5238115787506106E-2</v>
      </c>
      <c r="B707">
        <v>0.4038406755195692</v>
      </c>
      <c r="C707">
        <v>0.13678195173489746</v>
      </c>
    </row>
    <row r="708" spans="1:3" x14ac:dyDescent="0.2">
      <c r="A708">
        <v>-0.24698503017425538</v>
      </c>
      <c r="B708">
        <v>0.42916473922021697</v>
      </c>
      <c r="C708">
        <v>-0.57550168409227154</v>
      </c>
    </row>
    <row r="709" spans="1:3" x14ac:dyDescent="0.2">
      <c r="A709">
        <v>-0.21230762600898742</v>
      </c>
      <c r="B709">
        <v>0.46309635819812006</v>
      </c>
      <c r="C709">
        <v>-0.45845237659623056</v>
      </c>
    </row>
    <row r="710" spans="1:3" x14ac:dyDescent="0.2">
      <c r="A710">
        <v>-0.49630357325077057</v>
      </c>
      <c r="B710">
        <v>0.69188309846917595</v>
      </c>
      <c r="C710">
        <v>-0.7173228748452819</v>
      </c>
    </row>
    <row r="711" spans="1:3" x14ac:dyDescent="0.2">
      <c r="A711">
        <v>0.43366706967353819</v>
      </c>
      <c r="B711">
        <v>0.40187578964735249</v>
      </c>
      <c r="C711">
        <v>1.0791072287636005</v>
      </c>
    </row>
    <row r="712" spans="1:3" x14ac:dyDescent="0.2">
      <c r="A712">
        <v>0.33797340393066405</v>
      </c>
      <c r="B712">
        <v>0.62643178324950932</v>
      </c>
      <c r="C712">
        <v>0.53952148177648962</v>
      </c>
    </row>
    <row r="713" spans="1:3" x14ac:dyDescent="0.2">
      <c r="A713">
        <v>-0.40625929050147536</v>
      </c>
      <c r="B713">
        <v>0.22615494022963026</v>
      </c>
      <c r="C713">
        <v>-1.7963759274459055</v>
      </c>
    </row>
    <row r="714" spans="1:3" x14ac:dyDescent="0.2">
      <c r="A714">
        <v>7.7107119560241702E-2</v>
      </c>
      <c r="B714">
        <v>0.61224939003058532</v>
      </c>
      <c r="C714">
        <v>0.12594070458182044</v>
      </c>
    </row>
    <row r="715" spans="1:3" x14ac:dyDescent="0.2">
      <c r="A715">
        <v>-0.23944886028766632</v>
      </c>
      <c r="B715">
        <v>0.49093261457836862</v>
      </c>
      <c r="C715">
        <v>-0.48774282493599247</v>
      </c>
    </row>
    <row r="716" spans="1:3" x14ac:dyDescent="0.2">
      <c r="A716">
        <v>-5.8346685022115707E-2</v>
      </c>
      <c r="B716">
        <v>0.35411350135350933</v>
      </c>
      <c r="C716">
        <v>-0.16476831524101807</v>
      </c>
    </row>
    <row r="717" spans="1:3" x14ac:dyDescent="0.2">
      <c r="A717">
        <v>-0.53096723258495326</v>
      </c>
      <c r="B717">
        <v>0.40481758879518226</v>
      </c>
      <c r="C717">
        <v>-1.3116209554165308</v>
      </c>
    </row>
    <row r="718" spans="1:3" x14ac:dyDescent="0.2">
      <c r="A718">
        <v>-1.4513693749904633E-2</v>
      </c>
      <c r="B718">
        <v>0.43095777145808867</v>
      </c>
      <c r="C718">
        <v>-3.3677763138600492E-2</v>
      </c>
    </row>
    <row r="719" spans="1:3" x14ac:dyDescent="0.2">
      <c r="A719">
        <v>-0.43273792490363122</v>
      </c>
      <c r="B719">
        <v>0.41199917558256066</v>
      </c>
      <c r="C719">
        <v>-1.0503368709215164</v>
      </c>
    </row>
    <row r="720" spans="1:3" x14ac:dyDescent="0.2">
      <c r="A720">
        <v>0.81328638345003124</v>
      </c>
      <c r="B720">
        <v>0.37128942429411155</v>
      </c>
      <c r="C720">
        <v>2.1904377831289863</v>
      </c>
    </row>
    <row r="721" spans="1:3" x14ac:dyDescent="0.2">
      <c r="A721">
        <v>0.79142822325229645</v>
      </c>
      <c r="B721">
        <v>0.52843215616186789</v>
      </c>
      <c r="C721">
        <v>1.4976912627736991</v>
      </c>
    </row>
    <row r="722" spans="1:3" x14ac:dyDescent="0.2">
      <c r="A722">
        <v>0.27597832977771758</v>
      </c>
      <c r="B722">
        <v>0.46771870461777443</v>
      </c>
      <c r="C722">
        <v>0.59005194159008567</v>
      </c>
    </row>
    <row r="723" spans="1:3" x14ac:dyDescent="0.2">
      <c r="A723">
        <v>-0.73817602097988133</v>
      </c>
      <c r="B723">
        <v>0.77079394455929406</v>
      </c>
      <c r="C723">
        <v>-0.95768269352704605</v>
      </c>
    </row>
    <row r="724" spans="1:3" x14ac:dyDescent="0.2">
      <c r="A724">
        <v>0.12816646993160247</v>
      </c>
      <c r="B724">
        <v>0.31773966200858894</v>
      </c>
      <c r="C724">
        <v>0.40336944126332569</v>
      </c>
    </row>
    <row r="725" spans="1:3" x14ac:dyDescent="0.2">
      <c r="A725">
        <v>-1.3004765510559082</v>
      </c>
      <c r="B725">
        <v>0.65857929696871842</v>
      </c>
      <c r="C725">
        <v>-1.974669651842516</v>
      </c>
    </row>
    <row r="726" spans="1:3" x14ac:dyDescent="0.2">
      <c r="A726">
        <v>-0.8436607360839844</v>
      </c>
      <c r="B726">
        <v>0.55584586245321788</v>
      </c>
      <c r="C726">
        <v>-1.5177961968818112</v>
      </c>
    </row>
    <row r="727" spans="1:3" x14ac:dyDescent="0.2">
      <c r="A727">
        <v>-0.50203990191221237</v>
      </c>
      <c r="B727">
        <v>0.58771036933259491</v>
      </c>
      <c r="C727">
        <v>-0.85423012441031099</v>
      </c>
    </row>
    <row r="728" spans="1:3" x14ac:dyDescent="0.2">
      <c r="A728">
        <v>0.36940697431564329</v>
      </c>
      <c r="B728">
        <v>0.52449389033997407</v>
      </c>
      <c r="C728">
        <v>0.7043113010834039</v>
      </c>
    </row>
    <row r="729" spans="1:3" x14ac:dyDescent="0.2">
      <c r="A729">
        <v>0.37198147028684614</v>
      </c>
      <c r="B729">
        <v>0.26625611792950049</v>
      </c>
      <c r="C729">
        <v>1.397081401094189</v>
      </c>
    </row>
    <row r="730" spans="1:3" x14ac:dyDescent="0.2">
      <c r="A730">
        <v>0.18907749806530774</v>
      </c>
      <c r="B730">
        <v>0.62947675845913631</v>
      </c>
      <c r="C730">
        <v>0.30037248480490497</v>
      </c>
    </row>
    <row r="731" spans="1:3" x14ac:dyDescent="0.2">
      <c r="A731">
        <v>0.23501662611961366</v>
      </c>
      <c r="B731">
        <v>0.31012208959987619</v>
      </c>
      <c r="C731">
        <v>0.75781969102180158</v>
      </c>
    </row>
    <row r="732" spans="1:3" x14ac:dyDescent="0.2">
      <c r="A732">
        <v>0.50304205417633052</v>
      </c>
      <c r="B732">
        <v>0.72096020111438053</v>
      </c>
      <c r="C732">
        <v>0.69773900611820705</v>
      </c>
    </row>
    <row r="733" spans="1:3" x14ac:dyDescent="0.2">
      <c r="A733">
        <v>-0.79757990688085556</v>
      </c>
      <c r="B733">
        <v>0.35737056032600262</v>
      </c>
      <c r="C733">
        <v>-2.2318008124488</v>
      </c>
    </row>
    <row r="734" spans="1:3" x14ac:dyDescent="0.2">
      <c r="A734">
        <v>0.66045221388339992</v>
      </c>
      <c r="B734">
        <v>0.52737654790928723</v>
      </c>
      <c r="C734">
        <v>1.2523351986387585</v>
      </c>
    </row>
    <row r="735" spans="1:3" x14ac:dyDescent="0.2">
      <c r="A735">
        <v>0.20495616476982831</v>
      </c>
      <c r="B735">
        <v>0.33037363819365234</v>
      </c>
      <c r="C735">
        <v>0.62037687356183935</v>
      </c>
    </row>
    <row r="736" spans="1:3" x14ac:dyDescent="0.2">
      <c r="A736">
        <v>0.49613521695137025</v>
      </c>
      <c r="B736">
        <v>0.29146465308652642</v>
      </c>
      <c r="C736">
        <v>1.7022140135945876</v>
      </c>
    </row>
    <row r="737" spans="1:3" x14ac:dyDescent="0.2">
      <c r="A737">
        <v>0.95195292048156266</v>
      </c>
      <c r="B737">
        <v>0.57131549704539009</v>
      </c>
      <c r="C737">
        <v>1.666247328148236</v>
      </c>
    </row>
    <row r="738" spans="1:3" x14ac:dyDescent="0.2">
      <c r="A738">
        <v>0.40030890703201294</v>
      </c>
      <c r="B738">
        <v>0.23607385667351288</v>
      </c>
      <c r="C738">
        <v>1.6956935116523091</v>
      </c>
    </row>
    <row r="739" spans="1:3" x14ac:dyDescent="0.2">
      <c r="A739">
        <v>0.14392749667167665</v>
      </c>
      <c r="B739">
        <v>0.73521437886521968</v>
      </c>
      <c r="C739">
        <v>0.19576262490108562</v>
      </c>
    </row>
    <row r="740" spans="1:3" x14ac:dyDescent="0.2">
      <c r="A740">
        <v>-0.81772056072950361</v>
      </c>
      <c r="B740">
        <v>0.56926116116837422</v>
      </c>
      <c r="C740">
        <v>-1.4364594258480263</v>
      </c>
    </row>
    <row r="741" spans="1:3" x14ac:dyDescent="0.2">
      <c r="A741">
        <v>-0.23132516369223594</v>
      </c>
      <c r="B741">
        <v>0.33215726406331997</v>
      </c>
      <c r="C741">
        <v>-0.69643265019228318</v>
      </c>
    </row>
    <row r="742" spans="1:3" x14ac:dyDescent="0.2">
      <c r="A742">
        <v>-0.31177569776773451</v>
      </c>
      <c r="B742">
        <v>0.58332057953407201</v>
      </c>
      <c r="C742">
        <v>-0.53448431052572443</v>
      </c>
    </row>
    <row r="743" spans="1:3" x14ac:dyDescent="0.2">
      <c r="A743">
        <v>0.44683811962604525</v>
      </c>
      <c r="B743">
        <v>0.24412961970963298</v>
      </c>
      <c r="C743">
        <v>1.8303314450639505</v>
      </c>
    </row>
    <row r="744" spans="1:3" x14ac:dyDescent="0.2">
      <c r="A744">
        <v>0.27057139575481415</v>
      </c>
      <c r="B744">
        <v>0.46263456194217056</v>
      </c>
      <c r="C744">
        <v>0.58484907530241037</v>
      </c>
    </row>
    <row r="745" spans="1:3" x14ac:dyDescent="0.2">
      <c r="A745">
        <v>-5.6941403821110723E-2</v>
      </c>
      <c r="B745">
        <v>0.26691459754598129</v>
      </c>
      <c r="C745">
        <v>-0.21333192093887426</v>
      </c>
    </row>
    <row r="746" spans="1:3" x14ac:dyDescent="0.2">
      <c r="A746">
        <v>0.15027435421943663</v>
      </c>
      <c r="B746">
        <v>0.53791714455016204</v>
      </c>
      <c r="C746">
        <v>0.27936338475529515</v>
      </c>
    </row>
    <row r="747" spans="1:3" x14ac:dyDescent="0.2">
      <c r="A747">
        <v>0.26927023530006411</v>
      </c>
      <c r="B747">
        <v>0.56208276150042591</v>
      </c>
      <c r="C747">
        <v>0.47905798530677779</v>
      </c>
    </row>
    <row r="748" spans="1:3" x14ac:dyDescent="0.2">
      <c r="A748">
        <v>0.35689109861850737</v>
      </c>
      <c r="B748">
        <v>0.41532260039019103</v>
      </c>
      <c r="C748">
        <v>0.85931056552957175</v>
      </c>
    </row>
    <row r="749" spans="1:3" x14ac:dyDescent="0.2">
      <c r="A749">
        <v>-0.42366653084754946</v>
      </c>
      <c r="B749">
        <v>0.24689817507832851</v>
      </c>
      <c r="C749">
        <v>-1.71595651005983</v>
      </c>
    </row>
    <row r="750" spans="1:3" x14ac:dyDescent="0.2">
      <c r="A750">
        <v>0.59801825284957888</v>
      </c>
      <c r="B750">
        <v>0.32607815287505226</v>
      </c>
      <c r="C750">
        <v>1.8339721553769031</v>
      </c>
    </row>
    <row r="751" spans="1:3" x14ac:dyDescent="0.2">
      <c r="A751">
        <v>0.42213556170463562</v>
      </c>
      <c r="B751">
        <v>0.54520031143407188</v>
      </c>
      <c r="C751">
        <v>0.77427608321475105</v>
      </c>
    </row>
    <row r="752" spans="1:3" x14ac:dyDescent="0.2">
      <c r="A752">
        <v>-0.21567291021347046</v>
      </c>
      <c r="B752">
        <v>0.3524954469462826</v>
      </c>
      <c r="C752">
        <v>-0.61184594604519027</v>
      </c>
    </row>
    <row r="753" spans="1:3" x14ac:dyDescent="0.2">
      <c r="A753">
        <v>-0.3257434844970703</v>
      </c>
      <c r="B753">
        <v>0.40793609530904712</v>
      </c>
      <c r="C753">
        <v>-0.79851596424751592</v>
      </c>
    </row>
    <row r="754" spans="1:3" x14ac:dyDescent="0.2">
      <c r="A754">
        <v>-0.44193152487277987</v>
      </c>
      <c r="B754">
        <v>0.46049690267152238</v>
      </c>
      <c r="C754">
        <v>-0.95968403328874197</v>
      </c>
    </row>
    <row r="755" spans="1:3" x14ac:dyDescent="0.2">
      <c r="A755">
        <v>-0.20724113844335079</v>
      </c>
      <c r="B755">
        <v>0.37670941777351186</v>
      </c>
      <c r="C755">
        <v>-0.55013527314559973</v>
      </c>
    </row>
    <row r="756" spans="1:3" x14ac:dyDescent="0.2">
      <c r="A756">
        <v>0.40654356926679613</v>
      </c>
      <c r="B756">
        <v>0.4236858623559106</v>
      </c>
      <c r="C756">
        <v>0.95954008709708993</v>
      </c>
    </row>
    <row r="757" spans="1:3" x14ac:dyDescent="0.2">
      <c r="A757">
        <v>-0.19531351029872895</v>
      </c>
      <c r="B757">
        <v>0.37398749165795531</v>
      </c>
      <c r="C757">
        <v>-0.52224610356049139</v>
      </c>
    </row>
    <row r="758" spans="1:3" x14ac:dyDescent="0.2">
      <c r="A758">
        <v>0.37792524099349978</v>
      </c>
      <c r="B758">
        <v>0.38936656642712014</v>
      </c>
      <c r="C758">
        <v>0.97061554221614998</v>
      </c>
    </row>
    <row r="759" spans="1:3" x14ac:dyDescent="0.2">
      <c r="A759">
        <v>0.47211051583290098</v>
      </c>
      <c r="B759">
        <v>0.27901024058082713</v>
      </c>
      <c r="C759">
        <v>1.6920902790166019</v>
      </c>
    </row>
    <row r="760" spans="1:3" x14ac:dyDescent="0.2">
      <c r="A760">
        <v>0.43918774090707302</v>
      </c>
      <c r="B760">
        <v>0.15140489842784449</v>
      </c>
      <c r="C760">
        <v>2.9007498797430129</v>
      </c>
    </row>
    <row r="761" spans="1:3" x14ac:dyDescent="0.2">
      <c r="A761">
        <v>-9.1409236192703247E-2</v>
      </c>
      <c r="B761">
        <v>0.56663683303168777</v>
      </c>
      <c r="C761">
        <v>-0.16131890986266226</v>
      </c>
    </row>
    <row r="762" spans="1:3" x14ac:dyDescent="0.2">
      <c r="A762">
        <v>0.68126435908488925</v>
      </c>
      <c r="B762">
        <v>0.28701661878572726</v>
      </c>
      <c r="C762">
        <v>2.3736059673725314</v>
      </c>
    </row>
    <row r="763" spans="1:3" x14ac:dyDescent="0.2">
      <c r="A763">
        <v>0.59906486272811887</v>
      </c>
      <c r="B763">
        <v>0.33530900376294964</v>
      </c>
      <c r="C763">
        <v>1.7866053580584262</v>
      </c>
    </row>
    <row r="764" spans="1:3" x14ac:dyDescent="0.2">
      <c r="A764">
        <v>7.5187051296234125E-2</v>
      </c>
      <c r="B764">
        <v>0.66183366459562498</v>
      </c>
      <c r="C764">
        <v>0.11360415058694967</v>
      </c>
    </row>
    <row r="765" spans="1:3" x14ac:dyDescent="0.2">
      <c r="A765">
        <v>0.22030187994241715</v>
      </c>
      <c r="B765">
        <v>0.41500220065607446</v>
      </c>
      <c r="C765">
        <v>0.5308450885179482</v>
      </c>
    </row>
    <row r="766" spans="1:3" x14ac:dyDescent="0.2">
      <c r="A766">
        <v>0.29122968912124636</v>
      </c>
      <c r="B766">
        <v>0.8063732886902869</v>
      </c>
      <c r="C766">
        <v>0.36115989108997176</v>
      </c>
    </row>
    <row r="767" spans="1:3" x14ac:dyDescent="0.2">
      <c r="A767">
        <v>0.45357291400432587</v>
      </c>
      <c r="B767">
        <v>0.24097111240171057</v>
      </c>
      <c r="C767">
        <v>1.8822709057681477</v>
      </c>
    </row>
    <row r="768" spans="1:3" x14ac:dyDescent="0.2">
      <c r="A768">
        <v>-0.10274641662836075</v>
      </c>
      <c r="B768">
        <v>0.52399303989610724</v>
      </c>
      <c r="C768">
        <v>-0.19608355227148133</v>
      </c>
    </row>
    <row r="769" spans="1:3" x14ac:dyDescent="0.2">
      <c r="A769">
        <v>-0.21842413246631623</v>
      </c>
      <c r="B769">
        <v>0.204283010892474</v>
      </c>
      <c r="C769">
        <v>-1.0692231894960933</v>
      </c>
    </row>
    <row r="770" spans="1:3" x14ac:dyDescent="0.2">
      <c r="A770">
        <v>-0.52110607922077179</v>
      </c>
      <c r="B770">
        <v>0.35491832945777818</v>
      </c>
      <c r="C770">
        <v>-1.468242229182372</v>
      </c>
    </row>
    <row r="771" spans="1:3" x14ac:dyDescent="0.2">
      <c r="A771">
        <v>-0.43060570955276489</v>
      </c>
      <c r="B771">
        <v>0.37330151407021472</v>
      </c>
      <c r="C771">
        <v>-1.1535064641387223</v>
      </c>
    </row>
    <row r="772" spans="1:3" x14ac:dyDescent="0.2">
      <c r="A772">
        <v>-3.6247003078460696E-2</v>
      </c>
      <c r="B772">
        <v>0.49008148794499723</v>
      </c>
      <c r="C772">
        <v>-7.396117578415605E-2</v>
      </c>
    </row>
    <row r="773" spans="1:3" x14ac:dyDescent="0.2">
      <c r="A773">
        <v>0.29354289174079895</v>
      </c>
      <c r="B773">
        <v>0.54593720374112897</v>
      </c>
      <c r="C773">
        <v>0.5376861839223368</v>
      </c>
    </row>
    <row r="774" spans="1:3" x14ac:dyDescent="0.2">
      <c r="A774">
        <v>0.39873915910720825</v>
      </c>
      <c r="B774">
        <v>0.35379259614039577</v>
      </c>
      <c r="C774">
        <v>1.1270421242760442</v>
      </c>
    </row>
    <row r="775" spans="1:3" x14ac:dyDescent="0.2">
      <c r="A775">
        <v>0.20775864720344545</v>
      </c>
      <c r="B775">
        <v>0.42887785907535381</v>
      </c>
      <c r="C775">
        <v>0.48442381159840259</v>
      </c>
    </row>
    <row r="776" spans="1:3" x14ac:dyDescent="0.2">
      <c r="A776">
        <v>-0.76815935969352722</v>
      </c>
      <c r="B776">
        <v>0.38780585954670849</v>
      </c>
      <c r="C776">
        <v>-1.9807832728247052</v>
      </c>
    </row>
    <row r="777" spans="1:3" x14ac:dyDescent="0.2">
      <c r="A777">
        <v>0.33929892778396609</v>
      </c>
      <c r="B777">
        <v>0.61219794921115778</v>
      </c>
      <c r="C777">
        <v>0.55423074876543887</v>
      </c>
    </row>
    <row r="778" spans="1:3" x14ac:dyDescent="0.2">
      <c r="A778">
        <v>-0.16435672640800475</v>
      </c>
      <c r="B778">
        <v>0.45477321841570117</v>
      </c>
      <c r="C778">
        <v>-0.36140370574277925</v>
      </c>
    </row>
    <row r="779" spans="1:3" x14ac:dyDescent="0.2">
      <c r="A779">
        <v>-0.27961991913616657</v>
      </c>
      <c r="B779">
        <v>0.24069452047624398</v>
      </c>
      <c r="C779">
        <v>-1.161721166659315</v>
      </c>
    </row>
    <row r="780" spans="1:3" x14ac:dyDescent="0.2">
      <c r="A780">
        <v>-3.3638048171997073E-2</v>
      </c>
      <c r="B780">
        <v>0.34994979961764672</v>
      </c>
      <c r="C780">
        <v>-9.612249588012288E-2</v>
      </c>
    </row>
    <row r="781" spans="1:3" x14ac:dyDescent="0.2">
      <c r="A781">
        <v>-0.60071164350956674</v>
      </c>
      <c r="B781">
        <v>0.50788132829351051</v>
      </c>
      <c r="C781">
        <v>-1.1827795393226359</v>
      </c>
    </row>
    <row r="782" spans="1:3" x14ac:dyDescent="0.2">
      <c r="A782">
        <v>0.3919046401977539</v>
      </c>
      <c r="B782">
        <v>0.4774207515388641</v>
      </c>
      <c r="C782">
        <v>0.82087893945651247</v>
      </c>
    </row>
    <row r="783" spans="1:3" x14ac:dyDescent="0.2">
      <c r="A783">
        <v>-0.3310142457485199</v>
      </c>
      <c r="B783">
        <v>0.57778964154999157</v>
      </c>
      <c r="C783">
        <v>-0.57289750792439542</v>
      </c>
    </row>
    <row r="784" spans="1:3" x14ac:dyDescent="0.2">
      <c r="A784">
        <v>0.16604452952742577</v>
      </c>
      <c r="B784">
        <v>0.36276527177310697</v>
      </c>
      <c r="C784">
        <v>0.45771892308169732</v>
      </c>
    </row>
    <row r="785" spans="1:3" x14ac:dyDescent="0.2">
      <c r="A785">
        <v>0.23691771179437637</v>
      </c>
      <c r="B785">
        <v>0.36159291329385401</v>
      </c>
      <c r="C785">
        <v>0.65520562788751768</v>
      </c>
    </row>
    <row r="786" spans="1:3" x14ac:dyDescent="0.2">
      <c r="A786">
        <v>0.26668204367160797</v>
      </c>
      <c r="B786">
        <v>0.65625822155302904</v>
      </c>
      <c r="C786">
        <v>0.40636754697031813</v>
      </c>
    </row>
    <row r="787" spans="1:3" x14ac:dyDescent="0.2">
      <c r="A787">
        <v>-0.34932498931884765</v>
      </c>
      <c r="B787">
        <v>0.48760508519580287</v>
      </c>
      <c r="C787">
        <v>-0.71640965183653194</v>
      </c>
    </row>
    <row r="788" spans="1:3" x14ac:dyDescent="0.2">
      <c r="A788">
        <v>0.43104169368743894</v>
      </c>
      <c r="B788">
        <v>0.59946950939740906</v>
      </c>
      <c r="C788">
        <v>0.71903856147867318</v>
      </c>
    </row>
    <row r="789" spans="1:3" x14ac:dyDescent="0.2">
      <c r="A789">
        <v>2.6069760322570801E-2</v>
      </c>
      <c r="B789">
        <v>0.59320705591184608</v>
      </c>
      <c r="C789">
        <v>4.3947151441915612E-2</v>
      </c>
    </row>
    <row r="790" spans="1:3" x14ac:dyDescent="0.2">
      <c r="A790">
        <v>-2.4618501961231231E-2</v>
      </c>
      <c r="B790">
        <v>0.45973811680486432</v>
      </c>
      <c r="C790">
        <v>-5.354896855698512E-2</v>
      </c>
    </row>
    <row r="791" spans="1:3" x14ac:dyDescent="0.2">
      <c r="A791">
        <v>0.27964247316122054</v>
      </c>
      <c r="B791">
        <v>0.61515780798954001</v>
      </c>
      <c r="C791">
        <v>0.4545865622272578</v>
      </c>
    </row>
    <row r="792" spans="1:3" x14ac:dyDescent="0.2">
      <c r="A792">
        <v>-0.4212830476462841</v>
      </c>
      <c r="B792">
        <v>0.45386887490847561</v>
      </c>
      <c r="C792">
        <v>-0.92820431392489178</v>
      </c>
    </row>
    <row r="793" spans="1:3" x14ac:dyDescent="0.2">
      <c r="A793">
        <v>0.63316094279289248</v>
      </c>
      <c r="B793">
        <v>0.56905606731370828</v>
      </c>
      <c r="C793">
        <v>1.1126512467950624</v>
      </c>
    </row>
    <row r="794" spans="1:3" x14ac:dyDescent="0.2">
      <c r="A794">
        <v>-4.8661608994007108E-2</v>
      </c>
      <c r="B794">
        <v>0.63348280218902209</v>
      </c>
      <c r="C794">
        <v>-7.681599062493126E-2</v>
      </c>
    </row>
    <row r="795" spans="1:3" x14ac:dyDescent="0.2">
      <c r="A795">
        <v>6.4476048946380621E-2</v>
      </c>
      <c r="B795">
        <v>0.55574144543814197</v>
      </c>
      <c r="C795">
        <v>0.1160180682503322</v>
      </c>
    </row>
    <row r="796" spans="1:3" x14ac:dyDescent="0.2">
      <c r="A796">
        <v>-0.34051828980445864</v>
      </c>
      <c r="B796">
        <v>0.36732700994916834</v>
      </c>
      <c r="C796">
        <v>-0.92701674688060764</v>
      </c>
    </row>
    <row r="797" spans="1:3" x14ac:dyDescent="0.2">
      <c r="A797">
        <v>-0.60028916299343105</v>
      </c>
      <c r="B797">
        <v>0.15454454491265246</v>
      </c>
      <c r="C797">
        <v>-3.8842468579703699</v>
      </c>
    </row>
    <row r="798" spans="1:3" x14ac:dyDescent="0.2">
      <c r="A798">
        <v>0.47462991625070572</v>
      </c>
      <c r="B798">
        <v>0.26899254341438433</v>
      </c>
      <c r="C798">
        <v>1.7644723910414721</v>
      </c>
    </row>
    <row r="799" spans="1:3" x14ac:dyDescent="0.2">
      <c r="A799">
        <v>0.26565077900886536</v>
      </c>
      <c r="B799">
        <v>0.1272873304234374</v>
      </c>
      <c r="C799">
        <v>2.0870166584933822</v>
      </c>
    </row>
    <row r="800" spans="1:3" x14ac:dyDescent="0.2">
      <c r="A800">
        <v>0.9295000433921814</v>
      </c>
      <c r="B800">
        <v>0.25463262431010919</v>
      </c>
      <c r="C800">
        <v>3.6503572388280148</v>
      </c>
    </row>
    <row r="801" spans="1:3" x14ac:dyDescent="0.2">
      <c r="A801">
        <v>-4.3984368443489075E-2</v>
      </c>
      <c r="B801">
        <v>0.36997175745089611</v>
      </c>
      <c r="C801">
        <v>-0.1188857461621968</v>
      </c>
    </row>
    <row r="802" spans="1:3" x14ac:dyDescent="0.2">
      <c r="A802">
        <v>-0.24173304140567781</v>
      </c>
      <c r="B802">
        <v>0.45119082315009301</v>
      </c>
      <c r="C802">
        <v>-0.53576675101227167</v>
      </c>
    </row>
    <row r="803" spans="1:3" x14ac:dyDescent="0.2">
      <c r="A803">
        <v>0.61615642905235291</v>
      </c>
      <c r="B803">
        <v>0.46620900651900354</v>
      </c>
      <c r="C803">
        <v>1.3216313293750948</v>
      </c>
    </row>
    <row r="804" spans="1:3" x14ac:dyDescent="0.2">
      <c r="A804">
        <v>1.1671675622463227</v>
      </c>
      <c r="B804">
        <v>0.60308352082234262</v>
      </c>
      <c r="C804">
        <v>1.935333203359322</v>
      </c>
    </row>
    <row r="805" spans="1:3" x14ac:dyDescent="0.2">
      <c r="A805">
        <v>-0.1436443105340004</v>
      </c>
      <c r="B805">
        <v>0.47020856168381953</v>
      </c>
      <c r="C805">
        <v>-0.30549063168822216</v>
      </c>
    </row>
    <row r="806" spans="1:3" x14ac:dyDescent="0.2">
      <c r="A806">
        <v>-0.25400207787752149</v>
      </c>
      <c r="B806">
        <v>0.40584405966604581</v>
      </c>
      <c r="C806">
        <v>-0.62586126820860821</v>
      </c>
    </row>
    <row r="807" spans="1:3" x14ac:dyDescent="0.2">
      <c r="A807">
        <v>0.30577644603326914</v>
      </c>
      <c r="B807">
        <v>0.27399538784851207</v>
      </c>
      <c r="C807">
        <v>1.1159912158898395</v>
      </c>
    </row>
    <row r="808" spans="1:3" x14ac:dyDescent="0.2">
      <c r="A808">
        <v>-1.053511095046997</v>
      </c>
      <c r="B808">
        <v>0.62989029779167649</v>
      </c>
      <c r="C808">
        <v>-1.6725310720620508</v>
      </c>
    </row>
    <row r="809" spans="1:3" x14ac:dyDescent="0.2">
      <c r="A809">
        <v>0.47509762644767761</v>
      </c>
      <c r="B809">
        <v>0.2858745594365894</v>
      </c>
      <c r="C809">
        <v>1.6619094311295661</v>
      </c>
    </row>
    <row r="810" spans="1:3" x14ac:dyDescent="0.2">
      <c r="A810">
        <v>-5.1258057355880737E-3</v>
      </c>
      <c r="B810">
        <v>0.75542844501965167</v>
      </c>
      <c r="C810">
        <v>-6.7852961711744007E-3</v>
      </c>
    </row>
    <row r="811" spans="1:3" x14ac:dyDescent="0.2">
      <c r="A811">
        <v>-0.39733223915100097</v>
      </c>
      <c r="B811">
        <v>0.54036420783385308</v>
      </c>
      <c r="C811">
        <v>-0.73530451016320741</v>
      </c>
    </row>
    <row r="812" spans="1:3" x14ac:dyDescent="0.2">
      <c r="A812">
        <v>9.4147962331771848E-2</v>
      </c>
      <c r="B812">
        <v>0.5286664076162515</v>
      </c>
      <c r="C812">
        <v>0.17808576632716938</v>
      </c>
    </row>
    <row r="813" spans="1:3" x14ac:dyDescent="0.2">
      <c r="A813">
        <v>0.11771937608718872</v>
      </c>
      <c r="B813">
        <v>0.38152238037572134</v>
      </c>
      <c r="C813">
        <v>0.30855169222644097</v>
      </c>
    </row>
    <row r="814" spans="1:3" x14ac:dyDescent="0.2">
      <c r="A814">
        <v>-5.1570028066635132E-2</v>
      </c>
      <c r="B814">
        <v>0.23539804833010697</v>
      </c>
      <c r="C814">
        <v>-0.21907585229558346</v>
      </c>
    </row>
    <row r="815" spans="1:3" x14ac:dyDescent="0.2">
      <c r="A815">
        <v>0.20033915489912033</v>
      </c>
      <c r="B815">
        <v>0.43114719671559232</v>
      </c>
      <c r="C815">
        <v>0.46466533106389352</v>
      </c>
    </row>
    <row r="816" spans="1:3" x14ac:dyDescent="0.2">
      <c r="A816">
        <v>-6.2448966689407824E-2</v>
      </c>
      <c r="B816">
        <v>0.14684218751393982</v>
      </c>
      <c r="C816">
        <v>-0.42527946325697108</v>
      </c>
    </row>
    <row r="817" spans="1:3" x14ac:dyDescent="0.2">
      <c r="A817">
        <v>-0.31059811264276505</v>
      </c>
      <c r="B817">
        <v>0.22110731778152209</v>
      </c>
      <c r="C817">
        <v>-1.4047391816749797</v>
      </c>
    </row>
    <row r="818" spans="1:3" x14ac:dyDescent="0.2">
      <c r="A818">
        <v>8.2705013453960412E-3</v>
      </c>
      <c r="B818">
        <v>0.33731671189264895</v>
      </c>
      <c r="C818">
        <v>2.4518504579838691E-2</v>
      </c>
    </row>
    <row r="819" spans="1:3" x14ac:dyDescent="0.2">
      <c r="A819">
        <v>-3.7514022737741473E-2</v>
      </c>
      <c r="B819">
        <v>0.45176577636288473</v>
      </c>
      <c r="C819">
        <v>-8.3038655649754253E-2</v>
      </c>
    </row>
    <row r="820" spans="1:3" x14ac:dyDescent="0.2">
      <c r="A820">
        <v>2.6082384586334228E-2</v>
      </c>
      <c r="B820">
        <v>0.57295409514544759</v>
      </c>
      <c r="C820">
        <v>4.5522642751533296E-2</v>
      </c>
    </row>
    <row r="821" spans="1:3" x14ac:dyDescent="0.2">
      <c r="A821">
        <v>-3.7368410825729372E-2</v>
      </c>
      <c r="B821">
        <v>0.63345583142845752</v>
      </c>
      <c r="C821">
        <v>-5.8991343944948371E-2</v>
      </c>
    </row>
    <row r="822" spans="1:3" x14ac:dyDescent="0.2">
      <c r="A822">
        <v>-0.44249772131443021</v>
      </c>
      <c r="B822">
        <v>0.79611456818661219</v>
      </c>
      <c r="C822">
        <v>-0.55582166059635163</v>
      </c>
    </row>
    <row r="823" spans="1:3" x14ac:dyDescent="0.2">
      <c r="A823">
        <v>0.60621006190776827</v>
      </c>
      <c r="B823">
        <v>0.37677110070298581</v>
      </c>
      <c r="C823">
        <v>1.608961145843435</v>
      </c>
    </row>
    <row r="824" spans="1:3" x14ac:dyDescent="0.2">
      <c r="A824">
        <v>-0.40807260572910309</v>
      </c>
      <c r="B824">
        <v>0.29597107191348238</v>
      </c>
      <c r="C824">
        <v>-1.3787584140938949</v>
      </c>
    </row>
    <row r="825" spans="1:3" x14ac:dyDescent="0.2">
      <c r="A825">
        <v>-0.15776063650846481</v>
      </c>
      <c r="B825">
        <v>0.55529613134205735</v>
      </c>
      <c r="C825">
        <v>-0.28410181091516679</v>
      </c>
    </row>
    <row r="826" spans="1:3" x14ac:dyDescent="0.2">
      <c r="A826">
        <v>-0.79733983278274534</v>
      </c>
      <c r="B826">
        <v>0.6122607792497875</v>
      </c>
      <c r="C826">
        <v>-1.302287946256721</v>
      </c>
    </row>
    <row r="827" spans="1:3" x14ac:dyDescent="0.2">
      <c r="A827">
        <v>0.15261759292334318</v>
      </c>
      <c r="B827">
        <v>0.34253073913436888</v>
      </c>
      <c r="C827">
        <v>0.44555882286370196</v>
      </c>
    </row>
    <row r="828" spans="1:3" x14ac:dyDescent="0.2">
      <c r="A828">
        <v>-0.22387414872646333</v>
      </c>
      <c r="B828">
        <v>0.22364160238739567</v>
      </c>
      <c r="C828">
        <v>-1.0010398169955197</v>
      </c>
    </row>
    <row r="829" spans="1:3" x14ac:dyDescent="0.2">
      <c r="A829">
        <v>0.36211006641387938</v>
      </c>
      <c r="B829">
        <v>0.41236580853242921</v>
      </c>
      <c r="C829">
        <v>0.87812825147311502</v>
      </c>
    </row>
    <row r="830" spans="1:3" x14ac:dyDescent="0.2">
      <c r="A830">
        <v>0.66479164958000181</v>
      </c>
      <c r="B830">
        <v>0.5313670063656587</v>
      </c>
      <c r="C830">
        <v>1.2510969661569979</v>
      </c>
    </row>
    <row r="831" spans="1:3" x14ac:dyDescent="0.2">
      <c r="A831">
        <v>-0.79706925973296161</v>
      </c>
      <c r="B831">
        <v>0.46200899931791256</v>
      </c>
      <c r="C831">
        <v>-1.7252245322271116</v>
      </c>
    </row>
    <row r="832" spans="1:3" x14ac:dyDescent="0.2">
      <c r="A832">
        <v>-0.49345098733901976</v>
      </c>
      <c r="B832">
        <v>0.57224912091828284</v>
      </c>
      <c r="C832">
        <v>-0.86230099671832361</v>
      </c>
    </row>
    <row r="833" spans="1:3" x14ac:dyDescent="0.2">
      <c r="A833">
        <v>0.36421247497200965</v>
      </c>
      <c r="B833">
        <v>0.6123986195936022</v>
      </c>
      <c r="C833">
        <v>0.59473105150646333</v>
      </c>
    </row>
    <row r="834" spans="1:3" x14ac:dyDescent="0.2">
      <c r="A834">
        <v>-4.997514933347702E-2</v>
      </c>
      <c r="B834">
        <v>0.29447186138585407</v>
      </c>
      <c r="C834">
        <v>-0.16971111975956607</v>
      </c>
    </row>
    <row r="835" spans="1:3" x14ac:dyDescent="0.2">
      <c r="A835">
        <v>-8.6182034015655523E-2</v>
      </c>
      <c r="B835">
        <v>0.19299380212324879</v>
      </c>
      <c r="C835">
        <v>-0.44655337667589118</v>
      </c>
    </row>
    <row r="836" spans="1:3" x14ac:dyDescent="0.2">
      <c r="A836">
        <v>0.58410500586032865</v>
      </c>
      <c r="B836">
        <v>0.57993849536535691</v>
      </c>
      <c r="C836">
        <v>1.0071844006360482</v>
      </c>
    </row>
    <row r="837" spans="1:3" x14ac:dyDescent="0.2">
      <c r="A837">
        <v>-0.17536533921957015</v>
      </c>
      <c r="B837">
        <v>0.26022372232320717</v>
      </c>
      <c r="C837">
        <v>-0.67390220097520592</v>
      </c>
    </row>
    <row r="838" spans="1:3" x14ac:dyDescent="0.2">
      <c r="A838">
        <v>0.69105871990323064</v>
      </c>
      <c r="B838">
        <v>0.29574365935170521</v>
      </c>
      <c r="C838">
        <v>2.3366814403327836</v>
      </c>
    </row>
    <row r="839" spans="1:3" x14ac:dyDescent="0.2">
      <c r="A839">
        <v>-0.79496760368347164</v>
      </c>
      <c r="B839">
        <v>0.42871637997077677</v>
      </c>
      <c r="C839">
        <v>-1.854297248305885</v>
      </c>
    </row>
    <row r="840" spans="1:3" x14ac:dyDescent="0.2">
      <c r="A840">
        <v>4.7818017005920407E-2</v>
      </c>
      <c r="B840">
        <v>0.57825561033330974</v>
      </c>
      <c r="C840">
        <v>8.2693563454330932E-2</v>
      </c>
    </row>
    <row r="841" spans="1:3" x14ac:dyDescent="0.2">
      <c r="A841">
        <v>0.44557305276393888</v>
      </c>
      <c r="B841">
        <v>0.62184278531319914</v>
      </c>
      <c r="C841">
        <v>0.71653649971916977</v>
      </c>
    </row>
    <row r="842" spans="1:3" x14ac:dyDescent="0.2">
      <c r="A842">
        <v>-0.3442087169736624</v>
      </c>
      <c r="B842">
        <v>0.50322353052432323</v>
      </c>
      <c r="C842">
        <v>-0.68400759522318311</v>
      </c>
    </row>
    <row r="843" spans="1:3" x14ac:dyDescent="0.2">
      <c r="A843">
        <v>0.11195264756679535</v>
      </c>
      <c r="B843">
        <v>0.3383923617746214</v>
      </c>
      <c r="C843">
        <v>0.33083680429335127</v>
      </c>
    </row>
    <row r="844" spans="1:3" x14ac:dyDescent="0.2">
      <c r="A844">
        <v>0.42313591167330744</v>
      </c>
      <c r="B844">
        <v>0.1871724431534369</v>
      </c>
      <c r="C844">
        <v>2.2606741919078153</v>
      </c>
    </row>
    <row r="845" spans="1:3" x14ac:dyDescent="0.2">
      <c r="A845">
        <v>0.47476319661363958</v>
      </c>
      <c r="B845">
        <v>0.7037076168998927</v>
      </c>
      <c r="C845">
        <v>0.674659738237817</v>
      </c>
    </row>
    <row r="846" spans="1:3" x14ac:dyDescent="0.2">
      <c r="A846">
        <v>7.9746496677398679E-2</v>
      </c>
      <c r="B846">
        <v>0.57529943253519478</v>
      </c>
      <c r="C846">
        <v>0.13861737413154857</v>
      </c>
    </row>
    <row r="847" spans="1:3" x14ac:dyDescent="0.2">
      <c r="A847">
        <v>0.56820201575756069</v>
      </c>
      <c r="B847">
        <v>0.4087088123715435</v>
      </c>
      <c r="C847">
        <v>1.3902367616214433</v>
      </c>
    </row>
    <row r="848" spans="1:3" x14ac:dyDescent="0.2">
      <c r="A848">
        <v>0.23432587087154388</v>
      </c>
      <c r="B848">
        <v>0.25339665062497041</v>
      </c>
      <c r="C848">
        <v>0.92473941661663295</v>
      </c>
    </row>
    <row r="849" spans="1:3" x14ac:dyDescent="0.2">
      <c r="A849">
        <v>-0.40175211429595947</v>
      </c>
      <c r="B849">
        <v>0.34032502873210413</v>
      </c>
      <c r="C849">
        <v>-1.1804953511433016</v>
      </c>
    </row>
    <row r="850" spans="1:3" x14ac:dyDescent="0.2">
      <c r="A850">
        <v>-0.41084340512752532</v>
      </c>
      <c r="B850">
        <v>0.35088302902756002</v>
      </c>
      <c r="C850">
        <v>-1.170884229613897</v>
      </c>
    </row>
    <row r="851" spans="1:3" x14ac:dyDescent="0.2">
      <c r="A851">
        <v>0.30512753427028655</v>
      </c>
      <c r="B851">
        <v>0.41176453958109605</v>
      </c>
      <c r="C851">
        <v>0.74102431108007638</v>
      </c>
    </row>
    <row r="852" spans="1:3" x14ac:dyDescent="0.2">
      <c r="A852">
        <v>0.27192232608795164</v>
      </c>
      <c r="B852">
        <v>0.4152419448875283</v>
      </c>
      <c r="C852">
        <v>0.65485274172291053</v>
      </c>
    </row>
    <row r="853" spans="1:3" x14ac:dyDescent="0.2">
      <c r="A853">
        <v>0.28453598171472549</v>
      </c>
      <c r="B853">
        <v>0.2159231960354932</v>
      </c>
      <c r="C853">
        <v>1.3177647744152221</v>
      </c>
    </row>
    <row r="854" spans="1:3" x14ac:dyDescent="0.2">
      <c r="A854">
        <v>-0.17037300169467925</v>
      </c>
      <c r="B854">
        <v>0.22276817348449698</v>
      </c>
      <c r="C854">
        <v>-0.76479956283582828</v>
      </c>
    </row>
    <row r="855" spans="1:3" x14ac:dyDescent="0.2">
      <c r="A855">
        <v>-0.25341117233037946</v>
      </c>
      <c r="B855">
        <v>0.50855594172725438</v>
      </c>
      <c r="C855">
        <v>-0.4982955689588372</v>
      </c>
    </row>
    <row r="856" spans="1:3" x14ac:dyDescent="0.2">
      <c r="A856">
        <v>0.16415247321128845</v>
      </c>
      <c r="B856">
        <v>0.54897694402699038</v>
      </c>
      <c r="C856">
        <v>0.29901524098108195</v>
      </c>
    </row>
    <row r="857" spans="1:3" x14ac:dyDescent="0.2">
      <c r="A857">
        <v>-0.27838406413793565</v>
      </c>
      <c r="B857">
        <v>0.37436819121532527</v>
      </c>
      <c r="C857">
        <v>-0.74361035651615381</v>
      </c>
    </row>
    <row r="858" spans="1:3" x14ac:dyDescent="0.2">
      <c r="A858">
        <v>0.30952164679765704</v>
      </c>
      <c r="B858">
        <v>0.42417370271982802</v>
      </c>
      <c r="C858">
        <v>0.72970494119033102</v>
      </c>
    </row>
    <row r="859" spans="1:3" x14ac:dyDescent="0.2">
      <c r="A859">
        <v>-0.15067059993743898</v>
      </c>
      <c r="B859">
        <v>0.37915082255619698</v>
      </c>
      <c r="C859">
        <v>-0.39738961641078041</v>
      </c>
    </row>
    <row r="860" spans="1:3" x14ac:dyDescent="0.2">
      <c r="A860">
        <v>0.59425946325063705</v>
      </c>
      <c r="B860">
        <v>0.54396988398957169</v>
      </c>
      <c r="C860">
        <v>1.0924491975405561</v>
      </c>
    </row>
    <row r="861" spans="1:3" x14ac:dyDescent="0.2">
      <c r="A861">
        <v>0.30187456160783765</v>
      </c>
      <c r="B861">
        <v>0.14376777487954151</v>
      </c>
      <c r="C861">
        <v>2.0997373149912688</v>
      </c>
    </row>
    <row r="862" spans="1:3" x14ac:dyDescent="0.2">
      <c r="A862">
        <v>-0.19351841211318971</v>
      </c>
      <c r="B862">
        <v>0.47718986778807715</v>
      </c>
      <c r="C862">
        <v>-0.40553755470586056</v>
      </c>
    </row>
    <row r="863" spans="1:3" x14ac:dyDescent="0.2">
      <c r="A863">
        <v>-0.45701675266027453</v>
      </c>
      <c r="B863">
        <v>0.41372665339676884</v>
      </c>
      <c r="C863">
        <v>-1.1046345428994877</v>
      </c>
    </row>
    <row r="864" spans="1:3" x14ac:dyDescent="0.2">
      <c r="A864">
        <v>0.60647234916687009</v>
      </c>
      <c r="B864">
        <v>0.68421320298971866</v>
      </c>
      <c r="C864">
        <v>0.88637919659668307</v>
      </c>
    </row>
    <row r="865" spans="1:3" x14ac:dyDescent="0.2">
      <c r="A865">
        <v>0.23313605673611165</v>
      </c>
      <c r="B865">
        <v>0.40222220980023782</v>
      </c>
      <c r="C865">
        <v>0.57962004846002368</v>
      </c>
    </row>
    <row r="866" spans="1:3" x14ac:dyDescent="0.2">
      <c r="A866">
        <v>-0.4967970449477434</v>
      </c>
      <c r="B866">
        <v>0.39076300681569232</v>
      </c>
      <c r="C866">
        <v>-1.2713512699068343</v>
      </c>
    </row>
    <row r="867" spans="1:3" x14ac:dyDescent="0.2">
      <c r="A867">
        <v>-0.58782605091109874</v>
      </c>
      <c r="B867">
        <v>0.50689022063227351</v>
      </c>
      <c r="C867">
        <v>-1.1596713193201267</v>
      </c>
    </row>
    <row r="868" spans="1:3" x14ac:dyDescent="0.2">
      <c r="A868">
        <v>0.72539389505982399</v>
      </c>
      <c r="B868">
        <v>0.29637637869074862</v>
      </c>
      <c r="C868">
        <v>2.4475428786338265</v>
      </c>
    </row>
    <row r="869" spans="1:3" x14ac:dyDescent="0.2">
      <c r="A869">
        <v>0.38861832618713377</v>
      </c>
      <c r="B869">
        <v>0.52461904940815141</v>
      </c>
      <c r="C869">
        <v>0.74076289571557352</v>
      </c>
    </row>
    <row r="870" spans="1:3" x14ac:dyDescent="0.2">
      <c r="A870">
        <v>-0.69710504189133649</v>
      </c>
      <c r="B870">
        <v>0.60899467369593929</v>
      </c>
      <c r="C870">
        <v>-1.1446816729293583</v>
      </c>
    </row>
    <row r="871" spans="1:3" x14ac:dyDescent="0.2">
      <c r="A871">
        <v>-0.71164132356643672</v>
      </c>
      <c r="B871">
        <v>0.36145106216631145</v>
      </c>
      <c r="C871">
        <v>-1.9688455729008072</v>
      </c>
    </row>
    <row r="872" spans="1:3" x14ac:dyDescent="0.2">
      <c r="A872">
        <v>0.23590089082717897</v>
      </c>
      <c r="B872">
        <v>0.42798467292454545</v>
      </c>
      <c r="C872">
        <v>0.55119004429574225</v>
      </c>
    </row>
    <row r="873" spans="1:3" x14ac:dyDescent="0.2">
      <c r="A873">
        <v>-0.30217329114675523</v>
      </c>
      <c r="B873">
        <v>0.33438190398628675</v>
      </c>
      <c r="C873">
        <v>-0.90367716537419918</v>
      </c>
    </row>
    <row r="874" spans="1:3" x14ac:dyDescent="0.2">
      <c r="A874">
        <v>0.11883206069469451</v>
      </c>
      <c r="B874">
        <v>0.74453611247604079</v>
      </c>
      <c r="C874">
        <v>0.15960550294800985</v>
      </c>
    </row>
    <row r="875" spans="1:3" x14ac:dyDescent="0.2">
      <c r="A875">
        <v>1.0243003726005555</v>
      </c>
      <c r="B875">
        <v>0.54235654659018195</v>
      </c>
      <c r="C875">
        <v>1.8886106916941896</v>
      </c>
    </row>
    <row r="876" spans="1:3" x14ac:dyDescent="0.2">
      <c r="A876">
        <v>-0.15086189508438111</v>
      </c>
      <c r="B876">
        <v>0.34999933589144244</v>
      </c>
      <c r="C876">
        <v>-0.43103480382366555</v>
      </c>
    </row>
    <row r="877" spans="1:3" x14ac:dyDescent="0.2">
      <c r="A877">
        <v>-0.14870261400938034</v>
      </c>
      <c r="B877">
        <v>0.63053741859682244</v>
      </c>
      <c r="C877">
        <v>-0.23583471753397017</v>
      </c>
    </row>
    <row r="878" spans="1:3" x14ac:dyDescent="0.2">
      <c r="A878">
        <v>-0.10520716905593872</v>
      </c>
      <c r="B878">
        <v>0.22458070303139804</v>
      </c>
      <c r="C878">
        <v>-0.46846041372143171</v>
      </c>
    </row>
    <row r="879" spans="1:3" x14ac:dyDescent="0.2">
      <c r="A879">
        <v>-0.19239478409290314</v>
      </c>
      <c r="B879">
        <v>0.15156068530803091</v>
      </c>
      <c r="C879">
        <v>-1.2694240838373176</v>
      </c>
    </row>
    <row r="880" spans="1:3" x14ac:dyDescent="0.2">
      <c r="A880">
        <v>-0.4789775788784027</v>
      </c>
      <c r="B880">
        <v>0.34370829945176079</v>
      </c>
      <c r="C880">
        <v>-1.3935583738955564</v>
      </c>
    </row>
    <row r="881" spans="1:3" x14ac:dyDescent="0.2">
      <c r="A881">
        <v>0.33131096363067625</v>
      </c>
      <c r="B881">
        <v>0.34575102665359941</v>
      </c>
      <c r="C881">
        <v>0.95823566118462933</v>
      </c>
    </row>
    <row r="882" spans="1:3" x14ac:dyDescent="0.2">
      <c r="A882">
        <v>-2.4837860465049745E-2</v>
      </c>
      <c r="B882">
        <v>0.87929292437147177</v>
      </c>
      <c r="C882">
        <v>-2.8247538194173596E-2</v>
      </c>
    </row>
    <row r="883" spans="1:3" x14ac:dyDescent="0.2">
      <c r="A883">
        <v>-0.23885789066553115</v>
      </c>
      <c r="B883">
        <v>0.56056452028592563</v>
      </c>
      <c r="C883">
        <v>-0.42610240573858926</v>
      </c>
    </row>
    <row r="884" spans="1:3" x14ac:dyDescent="0.2">
      <c r="A884">
        <v>-0.30102861523628233</v>
      </c>
      <c r="B884">
        <v>0.42076782629873644</v>
      </c>
      <c r="C884">
        <v>-0.71542688490293038</v>
      </c>
    </row>
    <row r="885" spans="1:3" x14ac:dyDescent="0.2">
      <c r="A885">
        <v>-0.10338374376296997</v>
      </c>
      <c r="B885">
        <v>0.37550994891157125</v>
      </c>
      <c r="C885">
        <v>-0.27531559167108988</v>
      </c>
    </row>
    <row r="886" spans="1:3" x14ac:dyDescent="0.2">
      <c r="A886">
        <v>-0.78115295171737675</v>
      </c>
      <c r="B886">
        <v>0.20593340258136578</v>
      </c>
      <c r="C886">
        <v>-3.7932309276963343</v>
      </c>
    </row>
    <row r="887" spans="1:3" x14ac:dyDescent="0.2">
      <c r="A887">
        <v>-0.44680193886160852</v>
      </c>
      <c r="B887">
        <v>0.42751538796735916</v>
      </c>
      <c r="C887">
        <v>-1.0451131150762738</v>
      </c>
    </row>
    <row r="888" spans="1:3" x14ac:dyDescent="0.2">
      <c r="A888">
        <v>-0.22445991486310959</v>
      </c>
      <c r="B888">
        <v>0.31087905528976811</v>
      </c>
      <c r="C888">
        <v>-0.72201684559898105</v>
      </c>
    </row>
    <row r="889" spans="1:3" x14ac:dyDescent="0.2">
      <c r="A889">
        <v>-0.76225807368755338</v>
      </c>
      <c r="B889">
        <v>0.40578872372793384</v>
      </c>
      <c r="C889">
        <v>-1.8784604625894408</v>
      </c>
    </row>
    <row r="890" spans="1:3" x14ac:dyDescent="0.2">
      <c r="A890">
        <v>0.40781522244215013</v>
      </c>
      <c r="B890">
        <v>0.37249434533249037</v>
      </c>
      <c r="C890">
        <v>1.0948225860398824</v>
      </c>
    </row>
    <row r="891" spans="1:3" x14ac:dyDescent="0.2">
      <c r="A891">
        <v>-0.12150980085134507</v>
      </c>
      <c r="B891">
        <v>0.26856714808059373</v>
      </c>
      <c r="C891">
        <v>-0.45243732049789448</v>
      </c>
    </row>
    <row r="892" spans="1:3" x14ac:dyDescent="0.2">
      <c r="A892">
        <v>-0.31598325073719025</v>
      </c>
      <c r="B892">
        <v>0.30691689862784699</v>
      </c>
      <c r="C892">
        <v>-1.0295400877236698</v>
      </c>
    </row>
    <row r="893" spans="1:3" x14ac:dyDescent="0.2">
      <c r="A893">
        <v>-0.62612935304641726</v>
      </c>
      <c r="B893">
        <v>0.51243711551174853</v>
      </c>
      <c r="C893">
        <v>-1.2218657355081106</v>
      </c>
    </row>
    <row r="894" spans="1:3" x14ac:dyDescent="0.2">
      <c r="A894">
        <v>0.15181558430194855</v>
      </c>
      <c r="B894">
        <v>0.40391471910856636</v>
      </c>
      <c r="C894">
        <v>0.37586049014753226</v>
      </c>
    </row>
    <row r="895" spans="1:3" x14ac:dyDescent="0.2">
      <c r="A895">
        <v>0.24806602597236632</v>
      </c>
      <c r="B895">
        <v>0.37263775495656976</v>
      </c>
      <c r="C895">
        <v>0.66570287812430051</v>
      </c>
    </row>
    <row r="896" spans="1:3" x14ac:dyDescent="0.2">
      <c r="A896">
        <v>-0.87494221031665798</v>
      </c>
      <c r="B896">
        <v>0.535198263505403</v>
      </c>
      <c r="C896">
        <v>-1.6348001665514096</v>
      </c>
    </row>
    <row r="897" spans="1:3" x14ac:dyDescent="0.2">
      <c r="A897">
        <v>0.16571059823036194</v>
      </c>
      <c r="B897">
        <v>0.67293383944297391</v>
      </c>
      <c r="C897">
        <v>0.24625095145687745</v>
      </c>
    </row>
    <row r="898" spans="1:3" x14ac:dyDescent="0.2">
      <c r="A898">
        <v>0.32599693015217779</v>
      </c>
      <c r="B898">
        <v>0.5186147518957287</v>
      </c>
      <c r="C898">
        <v>0.62859170311013801</v>
      </c>
    </row>
    <row r="899" spans="1:3" x14ac:dyDescent="0.2">
      <c r="A899">
        <v>8.9813779294490817E-2</v>
      </c>
      <c r="B899">
        <v>0.60429406292927512</v>
      </c>
      <c r="C899">
        <v>0.14862595018578292</v>
      </c>
    </row>
    <row r="900" spans="1:3" x14ac:dyDescent="0.2">
      <c r="A900">
        <v>0.7798125296831131</v>
      </c>
      <c r="B900">
        <v>0.18838496950131883</v>
      </c>
      <c r="C900">
        <v>4.1394625683109707</v>
      </c>
    </row>
    <row r="901" spans="1:3" x14ac:dyDescent="0.2">
      <c r="A901">
        <v>-0.16725632548332214</v>
      </c>
      <c r="B901">
        <v>0.61318029496178061</v>
      </c>
      <c r="C901">
        <v>-0.27276859164847622</v>
      </c>
    </row>
    <row r="902" spans="1:3" x14ac:dyDescent="0.2">
      <c r="A902">
        <v>0.77038071751594539</v>
      </c>
      <c r="B902">
        <v>0.43728236702808759</v>
      </c>
      <c r="C902">
        <v>1.761746586654527</v>
      </c>
    </row>
    <row r="903" spans="1:3" x14ac:dyDescent="0.2">
      <c r="A903">
        <v>-0.10180574133992196</v>
      </c>
      <c r="B903">
        <v>0.22298342258129519</v>
      </c>
      <c r="C903">
        <v>-0.45656192806353424</v>
      </c>
    </row>
    <row r="904" spans="1:3" x14ac:dyDescent="0.2">
      <c r="A904">
        <v>-0.27946424633264544</v>
      </c>
      <c r="B904">
        <v>0.71811952301778592</v>
      </c>
      <c r="C904">
        <v>-0.38916118748344325</v>
      </c>
    </row>
    <row r="905" spans="1:3" x14ac:dyDescent="0.2">
      <c r="A905">
        <v>3.4964030981063841E-2</v>
      </c>
      <c r="B905">
        <v>0.20189166801456124</v>
      </c>
      <c r="C905">
        <v>0.17318213933693438</v>
      </c>
    </row>
    <row r="906" spans="1:3" x14ac:dyDescent="0.2">
      <c r="A906">
        <v>0.89502707682549953</v>
      </c>
      <c r="B906">
        <v>0.23650809384331492</v>
      </c>
      <c r="C906">
        <v>3.7843401563180716</v>
      </c>
    </row>
    <row r="907" spans="1:3" x14ac:dyDescent="0.2">
      <c r="A907">
        <v>0.77010933309793472</v>
      </c>
      <c r="B907">
        <v>0.52254075548166312</v>
      </c>
      <c r="C907">
        <v>1.4737785043925808</v>
      </c>
    </row>
    <row r="908" spans="1:3" x14ac:dyDescent="0.2">
      <c r="A908">
        <v>-8.672031164169311E-2</v>
      </c>
      <c r="B908">
        <v>0.47013998334162144</v>
      </c>
      <c r="C908">
        <v>-0.184456363454369</v>
      </c>
    </row>
    <row r="909" spans="1:3" x14ac:dyDescent="0.2">
      <c r="A909">
        <v>-4.1893139481544495E-2</v>
      </c>
      <c r="B909">
        <v>0.28221872614389171</v>
      </c>
      <c r="C909">
        <v>-0.14844209685853699</v>
      </c>
    </row>
    <row r="910" spans="1:3" x14ac:dyDescent="0.2">
      <c r="A910">
        <v>0.28596198558807373</v>
      </c>
      <c r="B910">
        <v>0.299499827619785</v>
      </c>
      <c r="C910">
        <v>0.95479849808495532</v>
      </c>
    </row>
    <row r="911" spans="1:3" x14ac:dyDescent="0.2">
      <c r="A911">
        <v>7.9204463958740229E-2</v>
      </c>
      <c r="B911">
        <v>0.40683876850696277</v>
      </c>
      <c r="C911">
        <v>0.1946826853532389</v>
      </c>
    </row>
    <row r="912" spans="1:3" x14ac:dyDescent="0.2">
      <c r="A912">
        <v>0.99036799669265752</v>
      </c>
      <c r="B912">
        <v>0.17066755175768844</v>
      </c>
      <c r="C912">
        <v>5.8029073862779086</v>
      </c>
    </row>
    <row r="913" spans="1:3" x14ac:dyDescent="0.2">
      <c r="A913">
        <v>-0.6756297707557678</v>
      </c>
      <c r="B913">
        <v>0.22541172748459526</v>
      </c>
      <c r="C913">
        <v>-2.9973141960945249</v>
      </c>
    </row>
    <row r="914" spans="1:3" x14ac:dyDescent="0.2">
      <c r="A914">
        <v>-7.9325541853904717E-3</v>
      </c>
      <c r="B914">
        <v>0.41199260102528801</v>
      </c>
      <c r="C914">
        <v>-1.9254118073114553E-2</v>
      </c>
    </row>
    <row r="915" spans="1:3" x14ac:dyDescent="0.2">
      <c r="A915">
        <v>0.53700353503227238</v>
      </c>
      <c r="B915">
        <v>0.18473359128355474</v>
      </c>
      <c r="C915">
        <v>2.9069078953161522</v>
      </c>
    </row>
    <row r="916" spans="1:3" x14ac:dyDescent="0.2">
      <c r="A916">
        <v>-0.3503126189112663</v>
      </c>
      <c r="B916">
        <v>0.29375655803965861</v>
      </c>
      <c r="C916">
        <v>-1.1925269728411385</v>
      </c>
    </row>
    <row r="917" spans="1:3" x14ac:dyDescent="0.2">
      <c r="A917">
        <v>7.9498261213302619E-3</v>
      </c>
      <c r="B917">
        <v>0.40134806341980078</v>
      </c>
      <c r="C917">
        <v>1.9807809843634221E-2</v>
      </c>
    </row>
    <row r="918" spans="1:3" x14ac:dyDescent="0.2">
      <c r="A918">
        <v>9.2439897358417511E-2</v>
      </c>
      <c r="B918">
        <v>0.52363551772479378</v>
      </c>
      <c r="C918">
        <v>0.17653481138955321</v>
      </c>
    </row>
    <row r="919" spans="1:3" x14ac:dyDescent="0.2">
      <c r="A919">
        <v>-4.9409925937652591E-3</v>
      </c>
      <c r="B919">
        <v>0.35857089943025205</v>
      </c>
      <c r="C919">
        <v>-1.3779680954634646E-2</v>
      </c>
    </row>
    <row r="920" spans="1:3" x14ac:dyDescent="0.2">
      <c r="A920">
        <v>0.39552184343338015</v>
      </c>
      <c r="B920">
        <v>0.322516832914372</v>
      </c>
      <c r="C920">
        <v>1.2263603107450547</v>
      </c>
    </row>
    <row r="921" spans="1:3" x14ac:dyDescent="0.2">
      <c r="A921">
        <v>0.20483741099014879</v>
      </c>
      <c r="B921">
        <v>0.29582482284127409</v>
      </c>
      <c r="C921">
        <v>0.69242806949995228</v>
      </c>
    </row>
    <row r="922" spans="1:3" x14ac:dyDescent="0.2">
      <c r="A922">
        <v>-0.57671284824609759</v>
      </c>
      <c r="B922">
        <v>0.62216171902948569</v>
      </c>
      <c r="C922">
        <v>-0.92695006877908837</v>
      </c>
    </row>
    <row r="923" spans="1:3" x14ac:dyDescent="0.2">
      <c r="A923">
        <v>1.4885088801383973E-2</v>
      </c>
      <c r="B923">
        <v>0.37791575239724373</v>
      </c>
      <c r="C923">
        <v>3.9387320340480557E-2</v>
      </c>
    </row>
    <row r="924" spans="1:3" x14ac:dyDescent="0.2">
      <c r="A924">
        <v>-0.28765065670013429</v>
      </c>
      <c r="B924">
        <v>0.51493861333953117</v>
      </c>
      <c r="C924">
        <v>-0.55861154951001557</v>
      </c>
    </row>
    <row r="925" spans="1:3" x14ac:dyDescent="0.2">
      <c r="A925">
        <v>-4.5478516817092897E-2</v>
      </c>
      <c r="B925">
        <v>0.44301953812798517</v>
      </c>
      <c r="C925">
        <v>-0.10265578129864439</v>
      </c>
    </row>
    <row r="926" spans="1:3" x14ac:dyDescent="0.2">
      <c r="A926">
        <v>-0.4442863643169403</v>
      </c>
      <c r="B926">
        <v>0.70030401996933789</v>
      </c>
      <c r="C926">
        <v>-0.63441926884325606</v>
      </c>
    </row>
    <row r="927" spans="1:3" x14ac:dyDescent="0.2">
      <c r="A927">
        <v>-0.33976439237594602</v>
      </c>
      <c r="B927">
        <v>0.58904294416459058</v>
      </c>
      <c r="C927">
        <v>-0.5768075074013771</v>
      </c>
    </row>
    <row r="928" spans="1:3" x14ac:dyDescent="0.2">
      <c r="A928">
        <v>-0.370818255841732</v>
      </c>
      <c r="B928">
        <v>0.47570786174594143</v>
      </c>
      <c r="C928">
        <v>-0.77950836145687408</v>
      </c>
    </row>
    <row r="929" spans="1:3" x14ac:dyDescent="0.2">
      <c r="A929">
        <v>-8.6117750406265264E-2</v>
      </c>
      <c r="B929">
        <v>0.62419419987451752</v>
      </c>
      <c r="C929">
        <v>-0.13796627784041829</v>
      </c>
    </row>
    <row r="930" spans="1:3" x14ac:dyDescent="0.2">
      <c r="A930">
        <v>-0.26111423969268799</v>
      </c>
      <c r="B930">
        <v>0.56357370338791635</v>
      </c>
      <c r="C930">
        <v>-0.46331870724805463</v>
      </c>
    </row>
    <row r="931" spans="1:3" x14ac:dyDescent="0.2">
      <c r="A931">
        <v>0.15238825492560865</v>
      </c>
      <c r="B931">
        <v>0.5091996099613838</v>
      </c>
      <c r="C931">
        <v>0.29927017213773066</v>
      </c>
    </row>
    <row r="932" spans="1:3" x14ac:dyDescent="0.2">
      <c r="A932">
        <v>3.6952544748783109E-2</v>
      </c>
      <c r="B932">
        <v>0.38791184223843017</v>
      </c>
      <c r="C932">
        <v>9.5260161524200679E-2</v>
      </c>
    </row>
    <row r="933" spans="1:3" x14ac:dyDescent="0.2">
      <c r="A933">
        <v>0.49745178148150443</v>
      </c>
      <c r="B933">
        <v>0.53573074836331436</v>
      </c>
      <c r="C933">
        <v>0.92854812422330768</v>
      </c>
    </row>
    <row r="934" spans="1:3" x14ac:dyDescent="0.2">
      <c r="A934">
        <v>-0.14201110899448394</v>
      </c>
      <c r="B934">
        <v>0.46443965595119391</v>
      </c>
      <c r="C934">
        <v>-0.30576869820394342</v>
      </c>
    </row>
    <row r="935" spans="1:3" x14ac:dyDescent="0.2">
      <c r="A935">
        <v>-0.53780947923660283</v>
      </c>
      <c r="B935">
        <v>0.60190568658937182</v>
      </c>
      <c r="C935">
        <v>-0.89351121150563861</v>
      </c>
    </row>
    <row r="936" spans="1:3" x14ac:dyDescent="0.2">
      <c r="A936">
        <v>-0.33766006529331205</v>
      </c>
      <c r="B936">
        <v>0.3290468143708144</v>
      </c>
      <c r="C936">
        <v>-1.0261763692773245</v>
      </c>
    </row>
    <row r="937" spans="1:3" x14ac:dyDescent="0.2">
      <c r="A937">
        <v>0.31814149618148801</v>
      </c>
      <c r="B937">
        <v>0.42770036410403511</v>
      </c>
      <c r="C937">
        <v>0.74384200454901261</v>
      </c>
    </row>
    <row r="938" spans="1:3" x14ac:dyDescent="0.2">
      <c r="A938">
        <v>-0.18635852634906769</v>
      </c>
      <c r="B938">
        <v>0.43174086702511455</v>
      </c>
      <c r="C938">
        <v>-0.43164439732833337</v>
      </c>
    </row>
    <row r="939" spans="1:3" x14ac:dyDescent="0.2">
      <c r="A939">
        <v>-3.95437479019165E-3</v>
      </c>
      <c r="B939">
        <v>0.50696337637388378</v>
      </c>
      <c r="C939">
        <v>-7.8001192482103719E-3</v>
      </c>
    </row>
    <row r="940" spans="1:3" x14ac:dyDescent="0.2">
      <c r="A940">
        <v>-0.20732427537441253</v>
      </c>
      <c r="B940">
        <v>0.27681579508228399</v>
      </c>
      <c r="C940">
        <v>-0.74896114693449856</v>
      </c>
    </row>
    <row r="941" spans="1:3" x14ac:dyDescent="0.2">
      <c r="A941">
        <v>-0.77326267063617704</v>
      </c>
      <c r="B941">
        <v>0.22093881986677374</v>
      </c>
      <c r="C941">
        <v>-3.4998949985450949</v>
      </c>
    </row>
    <row r="942" spans="1:3" x14ac:dyDescent="0.2">
      <c r="A942">
        <v>-0.79709508419036867</v>
      </c>
      <c r="B942">
        <v>0.50744465288461382</v>
      </c>
      <c r="C942">
        <v>-1.5708020168489538</v>
      </c>
    </row>
    <row r="943" spans="1:3" x14ac:dyDescent="0.2">
      <c r="A943">
        <v>-0.95059993639588358</v>
      </c>
      <c r="B943">
        <v>0.49678803627033341</v>
      </c>
      <c r="C943">
        <v>-1.9134920066364134</v>
      </c>
    </row>
    <row r="944" spans="1:3" x14ac:dyDescent="0.2">
      <c r="A944">
        <v>-4.978387504816055E-2</v>
      </c>
      <c r="B944">
        <v>0.26806257925137278</v>
      </c>
      <c r="C944">
        <v>-0.18571736192046506</v>
      </c>
    </row>
    <row r="945" spans="1:3" x14ac:dyDescent="0.2">
      <c r="A945">
        <v>0.52621409893035886</v>
      </c>
      <c r="B945">
        <v>0.69580263879800575</v>
      </c>
      <c r="C945">
        <v>0.75626919127439651</v>
      </c>
    </row>
    <row r="946" spans="1:3" x14ac:dyDescent="0.2">
      <c r="A946">
        <v>5.9777849912643434E-2</v>
      </c>
      <c r="B946">
        <v>0.46752187014674063</v>
      </c>
      <c r="C946">
        <v>0.12786107715962255</v>
      </c>
    </row>
    <row r="947" spans="1:3" x14ac:dyDescent="0.2">
      <c r="A947">
        <v>-0.77793309688568113</v>
      </c>
      <c r="B947">
        <v>0.51563256206493224</v>
      </c>
      <c r="C947">
        <v>-1.5086966070768006</v>
      </c>
    </row>
    <row r="948" spans="1:3" x14ac:dyDescent="0.2">
      <c r="A948">
        <v>-0.14526250660419465</v>
      </c>
      <c r="B948">
        <v>0.34688232928916685</v>
      </c>
      <c r="C948">
        <v>-0.41876594550626828</v>
      </c>
    </row>
    <row r="949" spans="1:3" x14ac:dyDescent="0.2">
      <c r="A949">
        <v>0.21868569254875184</v>
      </c>
      <c r="B949">
        <v>0.2697379383603119</v>
      </c>
      <c r="C949">
        <v>0.81073390668773759</v>
      </c>
    </row>
    <row r="950" spans="1:3" x14ac:dyDescent="0.2">
      <c r="A950">
        <v>-5.3335082397097722E-2</v>
      </c>
      <c r="B950">
        <v>0.66274421417442309</v>
      </c>
      <c r="C950">
        <v>-8.0476119227290352E-2</v>
      </c>
    </row>
    <row r="951" spans="1:3" x14ac:dyDescent="0.2">
      <c r="A951">
        <v>0.49714076817035674</v>
      </c>
      <c r="B951">
        <v>0.62352377526347902</v>
      </c>
      <c r="C951">
        <v>0.79730843937792539</v>
      </c>
    </row>
    <row r="952" spans="1:3" x14ac:dyDescent="0.2">
      <c r="A952">
        <v>0.21525855362415314</v>
      </c>
      <c r="B952">
        <v>0.59320446941614013</v>
      </c>
      <c r="C952">
        <v>0.36287412641381611</v>
      </c>
    </row>
    <row r="953" spans="1:3" x14ac:dyDescent="0.2">
      <c r="A953">
        <v>0.39688850343227389</v>
      </c>
      <c r="B953">
        <v>0.44170610433823987</v>
      </c>
      <c r="C953">
        <v>0.89853524670411489</v>
      </c>
    </row>
    <row r="954" spans="1:3" x14ac:dyDescent="0.2">
      <c r="A954">
        <v>-0.46319640129804612</v>
      </c>
      <c r="B954">
        <v>0.33527970531085577</v>
      </c>
      <c r="C954">
        <v>-1.3815223348177068</v>
      </c>
    </row>
    <row r="955" spans="1:3" x14ac:dyDescent="0.2">
      <c r="A955">
        <v>-9.5366361737251285E-2</v>
      </c>
      <c r="B955">
        <v>0.40101158575734169</v>
      </c>
      <c r="C955">
        <v>-0.23781447999100691</v>
      </c>
    </row>
    <row r="956" spans="1:3" x14ac:dyDescent="0.2">
      <c r="A956">
        <v>-0.47512717843055724</v>
      </c>
      <c r="B956">
        <v>0.24621967437424652</v>
      </c>
      <c r="C956">
        <v>-1.9296881113910425</v>
      </c>
    </row>
    <row r="957" spans="1:3" x14ac:dyDescent="0.2">
      <c r="A957">
        <v>-8.8951814174652102E-2</v>
      </c>
      <c r="B957">
        <v>0.56591947105263951</v>
      </c>
      <c r="C957">
        <v>-0.15718104558091475</v>
      </c>
    </row>
    <row r="958" spans="1:3" x14ac:dyDescent="0.2">
      <c r="A958">
        <v>-0.64291660636663439</v>
      </c>
      <c r="B958">
        <v>0.40213174445972355</v>
      </c>
      <c r="C958">
        <v>-1.5987710873967753</v>
      </c>
    </row>
    <row r="959" spans="1:3" x14ac:dyDescent="0.2">
      <c r="A959">
        <v>-0.23146972656250001</v>
      </c>
      <c r="B959">
        <v>0.3898879773618239</v>
      </c>
      <c r="C959">
        <v>-0.59368264733049569</v>
      </c>
    </row>
    <row r="960" spans="1:3" x14ac:dyDescent="0.2">
      <c r="A960">
        <v>0.32585213780403138</v>
      </c>
      <c r="B960">
        <v>0.44513544793148352</v>
      </c>
      <c r="C960">
        <v>0.73202918194505917</v>
      </c>
    </row>
    <row r="961" spans="1:3" x14ac:dyDescent="0.2">
      <c r="A961">
        <v>0.85790165960788722</v>
      </c>
      <c r="B961">
        <v>0.59289755462244254</v>
      </c>
      <c r="C961">
        <v>1.4469644088078579</v>
      </c>
    </row>
    <row r="962" spans="1:3" x14ac:dyDescent="0.2">
      <c r="A962">
        <v>-4.4956079125404357E-2</v>
      </c>
      <c r="B962">
        <v>0.47791646683232791</v>
      </c>
      <c r="C962">
        <v>-9.4066813439966146E-2</v>
      </c>
    </row>
    <row r="963" spans="1:3" x14ac:dyDescent="0.2">
      <c r="A963">
        <v>-0.50430246442556381</v>
      </c>
      <c r="B963">
        <v>0.44195025984386571</v>
      </c>
      <c r="C963">
        <v>-1.1410842129694101</v>
      </c>
    </row>
    <row r="964" spans="1:3" x14ac:dyDescent="0.2">
      <c r="A964">
        <v>9.5630779862403877E-3</v>
      </c>
      <c r="B964">
        <v>0.3949627699870083</v>
      </c>
      <c r="C964">
        <v>2.4212606131344863E-2</v>
      </c>
    </row>
    <row r="965" spans="1:3" x14ac:dyDescent="0.2">
      <c r="A965">
        <v>-0.69999228715896611</v>
      </c>
      <c r="B965">
        <v>0.37680347189941343</v>
      </c>
      <c r="C965">
        <v>-1.8577118826172254</v>
      </c>
    </row>
    <row r="966" spans="1:3" x14ac:dyDescent="0.2">
      <c r="A966">
        <v>-0.75147968530654907</v>
      </c>
      <c r="B966">
        <v>0.36255392003439529</v>
      </c>
      <c r="C966">
        <v>-2.0727390983257239</v>
      </c>
    </row>
    <row r="967" spans="1:3" x14ac:dyDescent="0.2">
      <c r="A967">
        <v>0.15514492690563203</v>
      </c>
      <c r="B967">
        <v>0.1922657687523327</v>
      </c>
      <c r="C967">
        <v>0.80692953255491928</v>
      </c>
    </row>
    <row r="968" spans="1:3" x14ac:dyDescent="0.2">
      <c r="A968">
        <v>-0.58259274363517766</v>
      </c>
      <c r="B968">
        <v>0.25097161474146024</v>
      </c>
      <c r="C968">
        <v>-2.3213491463380778</v>
      </c>
    </row>
    <row r="969" spans="1:3" x14ac:dyDescent="0.2">
      <c r="A969">
        <v>-0.27422906011343001</v>
      </c>
      <c r="B969">
        <v>0.3063469595821412</v>
      </c>
      <c r="C969">
        <v>-0.89515841935392415</v>
      </c>
    </row>
    <row r="970" spans="1:3" x14ac:dyDescent="0.2">
      <c r="A970">
        <v>9.6434757113456726E-2</v>
      </c>
      <c r="B970">
        <v>0.27414626932905856</v>
      </c>
      <c r="C970">
        <v>0.35176388629861605</v>
      </c>
    </row>
    <row r="971" spans="1:3" x14ac:dyDescent="0.2">
      <c r="A971">
        <v>7.7758100628852841E-2</v>
      </c>
      <c r="B971">
        <v>0.47819391375483988</v>
      </c>
      <c r="C971">
        <v>0.16260788435864076</v>
      </c>
    </row>
    <row r="972" spans="1:3" x14ac:dyDescent="0.2">
      <c r="A972">
        <v>0.18729552030563354</v>
      </c>
      <c r="B972">
        <v>0.52603207249413209</v>
      </c>
      <c r="C972">
        <v>0.35605342354428937</v>
      </c>
    </row>
    <row r="973" spans="1:3" x14ac:dyDescent="0.2">
      <c r="A973">
        <v>0.26671300530433656</v>
      </c>
      <c r="B973">
        <v>0.56584111896613598</v>
      </c>
      <c r="C973">
        <v>0.47135670484968517</v>
      </c>
    </row>
    <row r="974" spans="1:3" x14ac:dyDescent="0.2">
      <c r="A974">
        <v>0.1910138450562954</v>
      </c>
      <c r="B974">
        <v>0.22756795047955428</v>
      </c>
      <c r="C974">
        <v>0.83937059086647148</v>
      </c>
    </row>
    <row r="975" spans="1:3" x14ac:dyDescent="0.2">
      <c r="A975">
        <v>-0.14450836479663848</v>
      </c>
      <c r="B975">
        <v>0.5177294427342688</v>
      </c>
      <c r="C975">
        <v>-0.27911946447057528</v>
      </c>
    </row>
    <row r="976" spans="1:3" x14ac:dyDescent="0.2">
      <c r="A976">
        <v>-0.41447203159332274</v>
      </c>
      <c r="B976">
        <v>0.19463316503358896</v>
      </c>
      <c r="C976">
        <v>-2.1295036306982671</v>
      </c>
    </row>
    <row r="977" spans="1:3" x14ac:dyDescent="0.2">
      <c r="A977">
        <v>-0.49179875254631045</v>
      </c>
      <c r="B977">
        <v>0.45765797325795954</v>
      </c>
      <c r="C977">
        <v>-1.0745988954268855</v>
      </c>
    </row>
    <row r="978" spans="1:3" x14ac:dyDescent="0.2">
      <c r="A978">
        <v>-0.47345248460769651</v>
      </c>
      <c r="B978">
        <v>0.60608875294461062</v>
      </c>
      <c r="C978">
        <v>-0.78116032067495644</v>
      </c>
    </row>
    <row r="979" spans="1:3" x14ac:dyDescent="0.2">
      <c r="A979">
        <v>-0.56083495616912837</v>
      </c>
      <c r="B979">
        <v>0.51731666129078313</v>
      </c>
      <c r="C979">
        <v>-1.0841231263840614</v>
      </c>
    </row>
    <row r="980" spans="1:3" x14ac:dyDescent="0.2">
      <c r="A980">
        <v>-0.52061677575111387</v>
      </c>
      <c r="B980">
        <v>0.31464242594538755</v>
      </c>
      <c r="C980">
        <v>-1.6546299316973778</v>
      </c>
    </row>
    <row r="981" spans="1:3" x14ac:dyDescent="0.2">
      <c r="A981">
        <v>0.61873698532581334</v>
      </c>
      <c r="B981">
        <v>0.34847670913328482</v>
      </c>
      <c r="C981">
        <v>1.7755476022047711</v>
      </c>
    </row>
    <row r="982" spans="1:3" x14ac:dyDescent="0.2">
      <c r="A982">
        <v>-0.90532971918582916</v>
      </c>
      <c r="B982">
        <v>0.53201542403074975</v>
      </c>
      <c r="C982">
        <v>-1.7016982559015101</v>
      </c>
    </row>
    <row r="983" spans="1:3" x14ac:dyDescent="0.2">
      <c r="A983">
        <v>0.44492282867431643</v>
      </c>
      <c r="B983">
        <v>0.64423809148554234</v>
      </c>
      <c r="C983">
        <v>0.69061863083626929</v>
      </c>
    </row>
    <row r="984" spans="1:3" x14ac:dyDescent="0.2">
      <c r="A984">
        <v>-0.44816883802413943</v>
      </c>
      <c r="B984">
        <v>0.43294842670325173</v>
      </c>
      <c r="C984">
        <v>-1.0351552526401024</v>
      </c>
    </row>
    <row r="985" spans="1:3" x14ac:dyDescent="0.2">
      <c r="A985">
        <v>-0.65016470521222802</v>
      </c>
      <c r="B985">
        <v>0.40137206802069053</v>
      </c>
      <c r="C985">
        <v>-1.6198553836055984</v>
      </c>
    </row>
    <row r="986" spans="1:3" x14ac:dyDescent="0.2">
      <c r="A986">
        <v>0.30844520069658754</v>
      </c>
      <c r="B986">
        <v>0.28987904449137963</v>
      </c>
      <c r="C986">
        <v>1.0640479419193063</v>
      </c>
    </row>
    <row r="987" spans="1:3" x14ac:dyDescent="0.2">
      <c r="A987">
        <v>-0.15148557243519462</v>
      </c>
      <c r="B987">
        <v>0.18431269452854926</v>
      </c>
      <c r="C987">
        <v>-0.82189440517202217</v>
      </c>
    </row>
    <row r="988" spans="1:3" x14ac:dyDescent="0.2">
      <c r="A988">
        <v>-0.23766145706176758</v>
      </c>
      <c r="B988">
        <v>0.33859612301151232</v>
      </c>
      <c r="C988">
        <v>-0.70190247587001187</v>
      </c>
    </row>
    <row r="989" spans="1:3" x14ac:dyDescent="0.2">
      <c r="A989">
        <v>-0.44205615147948263</v>
      </c>
      <c r="B989">
        <v>0.51655885422621706</v>
      </c>
      <c r="C989">
        <v>-0.85577112436038627</v>
      </c>
    </row>
    <row r="990" spans="1:3" x14ac:dyDescent="0.2">
      <c r="A990">
        <v>9.1258382797241216E-2</v>
      </c>
      <c r="B990">
        <v>0.51412704785691155</v>
      </c>
      <c r="C990">
        <v>0.17750161789317034</v>
      </c>
    </row>
    <row r="991" spans="1:3" x14ac:dyDescent="0.2">
      <c r="A991">
        <v>0.30466133989393712</v>
      </c>
      <c r="B991">
        <v>0.32213496351926663</v>
      </c>
      <c r="C991">
        <v>0.94575682367901548</v>
      </c>
    </row>
    <row r="992" spans="1:3" x14ac:dyDescent="0.2">
      <c r="A992">
        <v>-0.53151206970214848</v>
      </c>
      <c r="B992">
        <v>0.59312829933103306</v>
      </c>
      <c r="C992">
        <v>-0.89611652369583583</v>
      </c>
    </row>
    <row r="993" spans="1:3" x14ac:dyDescent="0.2">
      <c r="A993">
        <v>-0.69690504670143127</v>
      </c>
      <c r="B993">
        <v>0.28087468613257166</v>
      </c>
      <c r="C993">
        <v>-2.4811956402952422</v>
      </c>
    </row>
    <row r="994" spans="1:3" x14ac:dyDescent="0.2">
      <c r="A994">
        <v>-0.63917256593704219</v>
      </c>
      <c r="B994">
        <v>0.42924516257562889</v>
      </c>
      <c r="C994">
        <v>-1.4890617802231518</v>
      </c>
    </row>
    <row r="995" spans="1:3" x14ac:dyDescent="0.2">
      <c r="A995">
        <v>0.3256892442703247</v>
      </c>
      <c r="B995">
        <v>0.237134452393648</v>
      </c>
      <c r="C995">
        <v>1.3734370564158849</v>
      </c>
    </row>
    <row r="996" spans="1:3" x14ac:dyDescent="0.2">
      <c r="A996">
        <v>-0.68876015394926071</v>
      </c>
      <c r="B996">
        <v>0.52593221136401735</v>
      </c>
      <c r="C996">
        <v>-1.3095987259706823</v>
      </c>
    </row>
    <row r="997" spans="1:3" x14ac:dyDescent="0.2">
      <c r="A997">
        <v>-0.59197350144386296</v>
      </c>
      <c r="B997">
        <v>0.47936164086970429</v>
      </c>
      <c r="C997">
        <v>-1.2349204670816951</v>
      </c>
    </row>
    <row r="998" spans="1:3" x14ac:dyDescent="0.2">
      <c r="A998">
        <v>-8.8875606656074524E-2</v>
      </c>
      <c r="B998">
        <v>0.56048911326173789</v>
      </c>
      <c r="C998">
        <v>-0.15856794459194301</v>
      </c>
    </row>
    <row r="999" spans="1:3" x14ac:dyDescent="0.2">
      <c r="A999">
        <v>-0.21894955337047578</v>
      </c>
      <c r="B999">
        <v>0.34788558428974226</v>
      </c>
      <c r="C999">
        <v>-0.62937230876494166</v>
      </c>
    </row>
    <row r="1000" spans="1:3" x14ac:dyDescent="0.2">
      <c r="A1000">
        <v>-0.41259168982505801</v>
      </c>
      <c r="B1000">
        <v>0.49190885544246638</v>
      </c>
      <c r="C1000">
        <v>-0.83875637785365043</v>
      </c>
    </row>
    <row r="1001" spans="1:3" x14ac:dyDescent="0.2">
      <c r="A1001">
        <v>7.7558481693267817E-2</v>
      </c>
      <c r="B1001">
        <v>0.4944089266886767</v>
      </c>
      <c r="C1001">
        <v>0.15687111924276692</v>
      </c>
    </row>
    <row r="1002" spans="1:3" x14ac:dyDescent="0.2">
      <c r="A1002">
        <v>0.28304476737976075</v>
      </c>
      <c r="B1002">
        <v>0.55165137191169455</v>
      </c>
      <c r="C1002">
        <v>0.51308631101359625</v>
      </c>
    </row>
    <row r="1003" spans="1:3" x14ac:dyDescent="0.2">
      <c r="A1003">
        <v>0.23937458395957947</v>
      </c>
      <c r="B1003">
        <v>0.52252563136588026</v>
      </c>
      <c r="C1003">
        <v>0.45811070230919604</v>
      </c>
    </row>
    <row r="1004" spans="1:3" x14ac:dyDescent="0.2">
      <c r="A1004">
        <v>-3.525245189666748E-2</v>
      </c>
      <c r="B1004">
        <v>0.37486277502279519</v>
      </c>
      <c r="C1004">
        <v>-9.4040951104104153E-2</v>
      </c>
    </row>
    <row r="1005" spans="1:3" x14ac:dyDescent="0.2">
      <c r="A1005">
        <v>1.033195646572858</v>
      </c>
      <c r="B1005">
        <v>0.72703942217948103</v>
      </c>
      <c r="C1005">
        <v>1.4210998950725364</v>
      </c>
    </row>
    <row r="1006" spans="1:3" x14ac:dyDescent="0.2">
      <c r="A1006">
        <v>-0.28629272878170015</v>
      </c>
      <c r="B1006">
        <v>0.46503340245306468</v>
      </c>
      <c r="C1006">
        <v>-0.61563906435859816</v>
      </c>
    </row>
    <row r="1007" spans="1:3" x14ac:dyDescent="0.2">
      <c r="A1007">
        <v>0.60282002985477445</v>
      </c>
      <c r="B1007">
        <v>0.22730927127295042</v>
      </c>
      <c r="C1007">
        <v>2.6519817096721714</v>
      </c>
    </row>
    <row r="1008" spans="1:3" x14ac:dyDescent="0.2">
      <c r="A1008">
        <v>-3.879995942115784E-2</v>
      </c>
      <c r="B1008">
        <v>0.68595290144965315</v>
      </c>
      <c r="C1008">
        <v>-5.6563591084985938E-2</v>
      </c>
    </row>
    <row r="1009" spans="1:3" x14ac:dyDescent="0.2">
      <c r="A1009">
        <v>-0.6899844884872437</v>
      </c>
      <c r="B1009">
        <v>0.29671389572757473</v>
      </c>
      <c r="C1009">
        <v>-2.3254202058697881</v>
      </c>
    </row>
    <row r="1010" spans="1:3" x14ac:dyDescent="0.2">
      <c r="A1010">
        <v>-0.59444046020507813</v>
      </c>
      <c r="B1010">
        <v>0.50013891331988802</v>
      </c>
      <c r="C1010">
        <v>-1.1885507093603713</v>
      </c>
    </row>
    <row r="1011" spans="1:3" x14ac:dyDescent="0.2">
      <c r="A1011">
        <v>0.26799078583717345</v>
      </c>
      <c r="B1011">
        <v>0.44939969677841546</v>
      </c>
      <c r="C1011">
        <v>0.59633058891294954</v>
      </c>
    </row>
    <row r="1012" spans="1:3" x14ac:dyDescent="0.2">
      <c r="A1012">
        <v>0.35939530562609434</v>
      </c>
      <c r="B1012">
        <v>0.32491866600155339</v>
      </c>
      <c r="C1012">
        <v>1.1061085226306331</v>
      </c>
    </row>
    <row r="1013" spans="1:3" x14ac:dyDescent="0.2">
      <c r="A1013">
        <v>0.53587797097861767</v>
      </c>
      <c r="B1013">
        <v>0.16695827269939992</v>
      </c>
      <c r="C1013">
        <v>3.2096521023755398</v>
      </c>
    </row>
    <row r="1014" spans="1:3" x14ac:dyDescent="0.2">
      <c r="A1014">
        <v>-7.872231379151344E-2</v>
      </c>
      <c r="B1014">
        <v>0.15048202092779944</v>
      </c>
      <c r="C1014">
        <v>-0.52313434725390906</v>
      </c>
    </row>
    <row r="1015" spans="1:3" x14ac:dyDescent="0.2">
      <c r="A1015">
        <v>0.45395021438598632</v>
      </c>
      <c r="B1015">
        <v>0.60807966584498407</v>
      </c>
      <c r="C1015">
        <v>0.74653082463328169</v>
      </c>
    </row>
    <row r="1016" spans="1:3" x14ac:dyDescent="0.2">
      <c r="A1016">
        <v>-0.85334368199110033</v>
      </c>
      <c r="B1016">
        <v>0.34978382952796205</v>
      </c>
      <c r="C1016">
        <v>-2.4396315951560683</v>
      </c>
    </row>
    <row r="1017" spans="1:3" x14ac:dyDescent="0.2">
      <c r="A1017">
        <v>-0.26716229319572449</v>
      </c>
      <c r="B1017">
        <v>0.55449004882301889</v>
      </c>
      <c r="C1017">
        <v>-0.48181620889827159</v>
      </c>
    </row>
    <row r="1018" spans="1:3" x14ac:dyDescent="0.2">
      <c r="A1018">
        <v>-0.65390617847442623</v>
      </c>
      <c r="B1018">
        <v>0.27969635014128169</v>
      </c>
      <c r="C1018">
        <v>-2.3379145925362335</v>
      </c>
    </row>
    <row r="1019" spans="1:3" x14ac:dyDescent="0.2">
      <c r="A1019">
        <v>0.48404671549797057</v>
      </c>
      <c r="B1019">
        <v>0.35846141437273987</v>
      </c>
      <c r="C1019">
        <v>1.3503453819290101</v>
      </c>
    </row>
    <row r="1020" spans="1:3" x14ac:dyDescent="0.2">
      <c r="A1020">
        <v>0.57551695108413692</v>
      </c>
      <c r="B1020">
        <v>0.30603602319362522</v>
      </c>
      <c r="C1020">
        <v>1.8805529658840667</v>
      </c>
    </row>
    <row r="1021" spans="1:3" x14ac:dyDescent="0.2">
      <c r="A1021">
        <v>-0.38590196371078489</v>
      </c>
      <c r="B1021">
        <v>0.23232725095005913</v>
      </c>
      <c r="C1021">
        <v>-1.6610275468448514</v>
      </c>
    </row>
    <row r="1022" spans="1:3" x14ac:dyDescent="0.2">
      <c r="A1022">
        <v>-0.33182607144117354</v>
      </c>
      <c r="B1022">
        <v>0.22704103716896196</v>
      </c>
      <c r="C1022">
        <v>-1.4615246458473121</v>
      </c>
    </row>
    <row r="1023" spans="1:3" x14ac:dyDescent="0.2">
      <c r="A1023">
        <v>0.42973114252090455</v>
      </c>
      <c r="B1023">
        <v>0.492880099132119</v>
      </c>
      <c r="C1023">
        <v>0.87187764991443273</v>
      </c>
    </row>
    <row r="1024" spans="1:3" x14ac:dyDescent="0.2">
      <c r="A1024">
        <v>0.11719520241022111</v>
      </c>
      <c r="B1024">
        <v>0.39048550241582353</v>
      </c>
      <c r="C1024">
        <v>0.30012689763171102</v>
      </c>
    </row>
    <row r="1025" spans="1:3" x14ac:dyDescent="0.2">
      <c r="A1025">
        <v>-4.5961797237396244E-3</v>
      </c>
      <c r="B1025">
        <v>0.49972576547202213</v>
      </c>
      <c r="C1025">
        <v>-9.1974039389348793E-3</v>
      </c>
    </row>
    <row r="1026" spans="1:3" x14ac:dyDescent="0.2">
      <c r="A1026">
        <v>0.85575458705425267</v>
      </c>
      <c r="B1026">
        <v>0.29682406697166647</v>
      </c>
      <c r="C1026">
        <v>2.8830363918433179</v>
      </c>
    </row>
    <row r="1027" spans="1:3" x14ac:dyDescent="0.2">
      <c r="A1027">
        <v>0.51798656284809108</v>
      </c>
      <c r="B1027">
        <v>0.39795031757351312</v>
      </c>
      <c r="C1027">
        <v>1.3016362595373572</v>
      </c>
    </row>
    <row r="1028" spans="1:3" x14ac:dyDescent="0.2">
      <c r="A1028">
        <v>7.9276758432388308E-2</v>
      </c>
      <c r="B1028">
        <v>0.34950312142532497</v>
      </c>
      <c r="C1028">
        <v>0.22682703979605695</v>
      </c>
    </row>
    <row r="1029" spans="1:3" x14ac:dyDescent="0.2">
      <c r="A1029">
        <v>0.23103194832801818</v>
      </c>
      <c r="B1029">
        <v>0.40529760714950408</v>
      </c>
      <c r="C1029">
        <v>0.57003037830123759</v>
      </c>
    </row>
    <row r="1030" spans="1:3" x14ac:dyDescent="0.2">
      <c r="A1030">
        <v>-0.33092640936374662</v>
      </c>
      <c r="B1030">
        <v>0.59750914399281296</v>
      </c>
      <c r="C1030">
        <v>-0.55384325527196809</v>
      </c>
    </row>
    <row r="1031" spans="1:3" x14ac:dyDescent="0.2">
      <c r="A1031">
        <v>0.34603669643402102</v>
      </c>
      <c r="B1031">
        <v>0.63051294607285491</v>
      </c>
      <c r="C1031">
        <v>0.54881775003877076</v>
      </c>
    </row>
    <row r="1032" spans="1:3" x14ac:dyDescent="0.2">
      <c r="A1032">
        <v>4.0377974510192871E-2</v>
      </c>
      <c r="B1032">
        <v>0.40143742686198758</v>
      </c>
      <c r="C1032">
        <v>0.10058348277544794</v>
      </c>
    </row>
    <row r="1033" spans="1:3" x14ac:dyDescent="0.2">
      <c r="A1033">
        <v>5.3346629440784457E-2</v>
      </c>
      <c r="B1033">
        <v>0.3107523961669294</v>
      </c>
      <c r="C1033">
        <v>0.17166924567213251</v>
      </c>
    </row>
    <row r="1034" spans="1:3" x14ac:dyDescent="0.2">
      <c r="A1034">
        <v>-4.4331087172031401E-2</v>
      </c>
      <c r="B1034">
        <v>0.50868253340185077</v>
      </c>
      <c r="C1034">
        <v>-8.7148829104793685E-2</v>
      </c>
    </row>
    <row r="1035" spans="1:3" x14ac:dyDescent="0.2">
      <c r="A1035">
        <v>-0.10794396996498108</v>
      </c>
      <c r="B1035">
        <v>0.4715476580546612</v>
      </c>
      <c r="C1035">
        <v>-0.22891423193637908</v>
      </c>
    </row>
    <row r="1036" spans="1:3" x14ac:dyDescent="0.2">
      <c r="A1036">
        <v>0.15774526298046113</v>
      </c>
      <c r="B1036">
        <v>0.65842588936164637</v>
      </c>
      <c r="C1036">
        <v>0.23957937488362963</v>
      </c>
    </row>
    <row r="1037" spans="1:3" x14ac:dyDescent="0.2">
      <c r="A1037">
        <v>-0.21326869130134582</v>
      </c>
      <c r="B1037">
        <v>0.29541291976683054</v>
      </c>
      <c r="C1037">
        <v>-0.72193420473850234</v>
      </c>
    </row>
    <row r="1038" spans="1:3" x14ac:dyDescent="0.2">
      <c r="A1038">
        <v>-0.10522918701171875</v>
      </c>
      <c r="B1038">
        <v>0.33922195334930089</v>
      </c>
      <c r="C1038">
        <v>-0.31020747912315394</v>
      </c>
    </row>
    <row r="1039" spans="1:3" x14ac:dyDescent="0.2">
      <c r="A1039">
        <v>0.31295524239540101</v>
      </c>
      <c r="B1039">
        <v>0.38598360204630261</v>
      </c>
      <c r="C1039">
        <v>0.81079932084228512</v>
      </c>
    </row>
    <row r="1040" spans="1:3" x14ac:dyDescent="0.2">
      <c r="A1040">
        <v>-0.24387520551681519</v>
      </c>
      <c r="B1040">
        <v>0.34608992059540278</v>
      </c>
      <c r="C1040">
        <v>-0.70465850348157943</v>
      </c>
    </row>
    <row r="1041" spans="1:3" x14ac:dyDescent="0.2">
      <c r="A1041">
        <v>-0.56917580366134646</v>
      </c>
      <c r="B1041">
        <v>0.37223603218562634</v>
      </c>
      <c r="C1041">
        <v>-1.5290722940478538</v>
      </c>
    </row>
    <row r="1042" spans="1:3" x14ac:dyDescent="0.2">
      <c r="A1042">
        <v>0.72840143442153926</v>
      </c>
      <c r="B1042">
        <v>0.27761438220815665</v>
      </c>
      <c r="C1042">
        <v>2.6237885394402234</v>
      </c>
    </row>
    <row r="1043" spans="1:3" x14ac:dyDescent="0.2">
      <c r="A1043">
        <v>-0.33843362033367158</v>
      </c>
      <c r="B1043">
        <v>0.57542579109440961</v>
      </c>
      <c r="C1043">
        <v>-0.58814468446052859</v>
      </c>
    </row>
    <row r="1044" spans="1:3" x14ac:dyDescent="0.2">
      <c r="A1044">
        <v>-0.14107192233204841</v>
      </c>
      <c r="B1044">
        <v>0.51994608614825033</v>
      </c>
      <c r="C1044">
        <v>-0.271320288949776</v>
      </c>
    </row>
    <row r="1045" spans="1:3" x14ac:dyDescent="0.2">
      <c r="A1045">
        <v>0.42315396070480349</v>
      </c>
      <c r="B1045">
        <v>0.41002847812475568</v>
      </c>
      <c r="C1045">
        <v>1.0320111486891752</v>
      </c>
    </row>
    <row r="1046" spans="1:3" x14ac:dyDescent="0.2">
      <c r="A1046">
        <v>0.1041526272892952</v>
      </c>
      <c r="B1046">
        <v>0.36664524155919903</v>
      </c>
      <c r="C1046">
        <v>0.28406921864408968</v>
      </c>
    </row>
    <row r="1047" spans="1:3" x14ac:dyDescent="0.2">
      <c r="A1047">
        <v>-0.40170859992504121</v>
      </c>
      <c r="B1047">
        <v>0.20690173471754994</v>
      </c>
      <c r="C1047">
        <v>-1.9415429284506973</v>
      </c>
    </row>
    <row r="1048" spans="1:3" x14ac:dyDescent="0.2">
      <c r="A1048">
        <v>-0.28140545487403867</v>
      </c>
      <c r="B1048">
        <v>0.43041794380028586</v>
      </c>
      <c r="C1048">
        <v>-0.65379582549330462</v>
      </c>
    </row>
    <row r="1049" spans="1:3" x14ac:dyDescent="0.2">
      <c r="A1049">
        <v>-0.41610346287488936</v>
      </c>
      <c r="B1049">
        <v>0.13842543062813797</v>
      </c>
      <c r="C1049">
        <v>-3.0059755710112075</v>
      </c>
    </row>
    <row r="1050" spans="1:3" x14ac:dyDescent="0.2">
      <c r="A1050">
        <v>-6.305492520332337E-2</v>
      </c>
      <c r="B1050">
        <v>0.37344317941774857</v>
      </c>
      <c r="C1050">
        <v>-0.16884744099928412</v>
      </c>
    </row>
    <row r="1051" spans="1:3" x14ac:dyDescent="0.2">
      <c r="A1051">
        <v>0.55183200836181645</v>
      </c>
      <c r="B1051">
        <v>0.60022685404999365</v>
      </c>
      <c r="C1051">
        <v>0.91937240834588463</v>
      </c>
    </row>
    <row r="1052" spans="1:3" x14ac:dyDescent="0.2">
      <c r="A1052">
        <v>0.45438724309206008</v>
      </c>
      <c r="B1052">
        <v>0.22914730664081565</v>
      </c>
      <c r="C1052">
        <v>1.9829482168180317</v>
      </c>
    </row>
    <row r="1053" spans="1:3" x14ac:dyDescent="0.2">
      <c r="A1053">
        <v>0.31560945063829421</v>
      </c>
      <c r="B1053">
        <v>0.5587814203358632</v>
      </c>
      <c r="C1053">
        <v>0.56481736713542274</v>
      </c>
    </row>
    <row r="1054" spans="1:3" x14ac:dyDescent="0.2">
      <c r="A1054">
        <v>-0.49232434034347533</v>
      </c>
      <c r="B1054">
        <v>0.71339474204833975</v>
      </c>
      <c r="C1054">
        <v>-0.6901148989826944</v>
      </c>
    </row>
    <row r="1055" spans="1:3" x14ac:dyDescent="0.2">
      <c r="A1055">
        <v>-0.69434978961944582</v>
      </c>
      <c r="B1055">
        <v>0.7864449532526091</v>
      </c>
      <c r="C1055">
        <v>-0.88289687249912074</v>
      </c>
    </row>
    <row r="1056" spans="1:3" x14ac:dyDescent="0.2">
      <c r="A1056">
        <v>0.24130110442638397</v>
      </c>
      <c r="B1056">
        <v>0.4164776545862558</v>
      </c>
      <c r="C1056">
        <v>0.57938547667365581</v>
      </c>
    </row>
    <row r="1057" spans="1:3" x14ac:dyDescent="0.2">
      <c r="A1057">
        <v>6.210013926029205E-2</v>
      </c>
      <c r="B1057">
        <v>0.35755177732921545</v>
      </c>
      <c r="C1057">
        <v>0.17368152865623546</v>
      </c>
    </row>
    <row r="1058" spans="1:3" x14ac:dyDescent="0.2">
      <c r="A1058">
        <v>-6.6546362638473508E-2</v>
      </c>
      <c r="B1058">
        <v>0.45036638913838234</v>
      </c>
      <c r="C1058">
        <v>-0.14776049954746082</v>
      </c>
    </row>
    <row r="1059" spans="1:3" x14ac:dyDescent="0.2">
      <c r="A1059">
        <v>-3.5689486563205718E-2</v>
      </c>
      <c r="B1059">
        <v>0.45849562441430675</v>
      </c>
      <c r="C1059">
        <v>-7.7840408201924102E-2</v>
      </c>
    </row>
    <row r="1060" spans="1:3" x14ac:dyDescent="0.2">
      <c r="A1060">
        <v>-0.12965510189533233</v>
      </c>
      <c r="B1060">
        <v>0.24896690084140419</v>
      </c>
      <c r="C1060">
        <v>-0.52077244588397986</v>
      </c>
    </row>
    <row r="1061" spans="1:3" x14ac:dyDescent="0.2">
      <c r="A1061">
        <v>-0.91725063174962995</v>
      </c>
      <c r="B1061">
        <v>0.53815559010865632</v>
      </c>
      <c r="C1061">
        <v>-1.7044339009178227</v>
      </c>
    </row>
    <row r="1062" spans="1:3" x14ac:dyDescent="0.2">
      <c r="A1062">
        <v>0.41890749931335447</v>
      </c>
      <c r="B1062">
        <v>0.71329993753925103</v>
      </c>
      <c r="C1062">
        <v>0.58728099817098767</v>
      </c>
    </row>
    <row r="1063" spans="1:3" x14ac:dyDescent="0.2">
      <c r="A1063">
        <v>-0.33236277848482132</v>
      </c>
      <c r="B1063">
        <v>0.50590161224777985</v>
      </c>
      <c r="C1063">
        <v>-0.6569711786607968</v>
      </c>
    </row>
    <row r="1064" spans="1:3" x14ac:dyDescent="0.2">
      <c r="A1064">
        <v>0.26607688665390017</v>
      </c>
      <c r="B1064">
        <v>0.72786523371416478</v>
      </c>
      <c r="C1064">
        <v>0.3655579004593445</v>
      </c>
    </row>
    <row r="1065" spans="1:3" x14ac:dyDescent="0.2">
      <c r="A1065">
        <v>0.53577314484864469</v>
      </c>
      <c r="B1065">
        <v>0.28103083096992199</v>
      </c>
      <c r="C1065">
        <v>1.906456821835278</v>
      </c>
    </row>
    <row r="1066" spans="1:3" x14ac:dyDescent="0.2">
      <c r="A1066">
        <v>0.50150787830352783</v>
      </c>
      <c r="B1066">
        <v>0.35342142111156633</v>
      </c>
      <c r="C1066">
        <v>1.4190081538527182</v>
      </c>
    </row>
    <row r="1067" spans="1:3" x14ac:dyDescent="0.2">
      <c r="A1067">
        <v>-0.5761572062969208</v>
      </c>
      <c r="B1067">
        <v>0.3912832268396384</v>
      </c>
      <c r="C1067">
        <v>-1.4724812278576158</v>
      </c>
    </row>
    <row r="1068" spans="1:3" x14ac:dyDescent="0.2">
      <c r="A1068">
        <v>0.16840729117393494</v>
      </c>
      <c r="B1068">
        <v>0.66214463713528915</v>
      </c>
      <c r="C1068">
        <v>0.2543361098604292</v>
      </c>
    </row>
    <row r="1069" spans="1:3" x14ac:dyDescent="0.2">
      <c r="A1069">
        <v>0.5604354321956635</v>
      </c>
      <c r="B1069">
        <v>0.45954116774764769</v>
      </c>
      <c r="C1069">
        <v>1.2195543544934822</v>
      </c>
    </row>
    <row r="1070" spans="1:3" x14ac:dyDescent="0.2">
      <c r="A1070">
        <v>4.8110023140907288E-2</v>
      </c>
      <c r="B1070">
        <v>0.54380180991787652</v>
      </c>
      <c r="C1070">
        <v>8.8469773846785713E-2</v>
      </c>
    </row>
    <row r="1071" spans="1:3" x14ac:dyDescent="0.2">
      <c r="A1071">
        <v>-0.18752560615539551</v>
      </c>
      <c r="B1071">
        <v>0.72313860150994713</v>
      </c>
      <c r="C1071">
        <v>-0.25932180326680571</v>
      </c>
    </row>
    <row r="1072" spans="1:3" x14ac:dyDescent="0.2">
      <c r="A1072">
        <v>-0.37683907151222229</v>
      </c>
      <c r="B1072">
        <v>0.76882418998003677</v>
      </c>
      <c r="C1072">
        <v>-0.49014986315923187</v>
      </c>
    </row>
    <row r="1073" spans="1:3" x14ac:dyDescent="0.2">
      <c r="A1073">
        <v>0.43219425007700918</v>
      </c>
      <c r="B1073">
        <v>0.4103083939939563</v>
      </c>
      <c r="C1073">
        <v>1.0533400154698644</v>
      </c>
    </row>
    <row r="1074" spans="1:3" x14ac:dyDescent="0.2">
      <c r="A1074">
        <v>-0.12146273851394654</v>
      </c>
      <c r="B1074">
        <v>0.4532971644639569</v>
      </c>
      <c r="C1074">
        <v>-0.26795388993350833</v>
      </c>
    </row>
    <row r="1075" spans="1:3" x14ac:dyDescent="0.2">
      <c r="A1075">
        <v>0.87520826254040007</v>
      </c>
      <c r="B1075">
        <v>0.28393847973912312</v>
      </c>
      <c r="C1075">
        <v>3.0823869429199013</v>
      </c>
    </row>
    <row r="1076" spans="1:3" x14ac:dyDescent="0.2">
      <c r="A1076">
        <v>-0.30935466438531878</v>
      </c>
      <c r="B1076">
        <v>0.31587761597473962</v>
      </c>
      <c r="C1076">
        <v>-0.97934975047442907</v>
      </c>
    </row>
    <row r="1077" spans="1:3" x14ac:dyDescent="0.2">
      <c r="A1077">
        <v>-0.91186479330062864</v>
      </c>
      <c r="B1077">
        <v>0.60770102909459878</v>
      </c>
      <c r="C1077">
        <v>-1.5005154667241509</v>
      </c>
    </row>
    <row r="1078" spans="1:3" x14ac:dyDescent="0.2">
      <c r="A1078">
        <v>0.45431247204542158</v>
      </c>
      <c r="B1078">
        <v>0.2755050948853498</v>
      </c>
      <c r="C1078">
        <v>1.649016589818354</v>
      </c>
    </row>
    <row r="1079" spans="1:3" x14ac:dyDescent="0.2">
      <c r="A1079">
        <v>0.20480740517377855</v>
      </c>
      <c r="B1079">
        <v>0.27781351657551862</v>
      </c>
      <c r="C1079">
        <v>0.73721180919613505</v>
      </c>
    </row>
    <row r="1080" spans="1:3" x14ac:dyDescent="0.2">
      <c r="A1080">
        <v>0.69043086171150203</v>
      </c>
      <c r="B1080">
        <v>0.38139794111470082</v>
      </c>
      <c r="C1080">
        <v>1.8102637358072766</v>
      </c>
    </row>
    <row r="1081" spans="1:3" x14ac:dyDescent="0.2">
      <c r="A1081">
        <v>9.3813976645469671E-2</v>
      </c>
      <c r="B1081">
        <v>0.63066602825504536</v>
      </c>
      <c r="C1081">
        <v>0.14875381333768417</v>
      </c>
    </row>
    <row r="1082" spans="1:3" x14ac:dyDescent="0.2">
      <c r="A1082">
        <v>-0.1707342267036438</v>
      </c>
      <c r="B1082">
        <v>0.68014236071023471</v>
      </c>
      <c r="C1082">
        <v>-0.25102719160935011</v>
      </c>
    </row>
    <row r="1083" spans="1:3" x14ac:dyDescent="0.2">
      <c r="A1083">
        <v>-0.13482834696769713</v>
      </c>
      <c r="B1083">
        <v>0.62306521341774457</v>
      </c>
      <c r="C1083">
        <v>-0.21639524092207535</v>
      </c>
    </row>
    <row r="1084" spans="1:3" x14ac:dyDescent="0.2">
      <c r="A1084">
        <v>1.9048529863357543E-2</v>
      </c>
      <c r="B1084">
        <v>0.30395403223135592</v>
      </c>
      <c r="C1084">
        <v>6.2669113890414435E-2</v>
      </c>
    </row>
    <row r="1085" spans="1:3" x14ac:dyDescent="0.2">
      <c r="A1085">
        <v>0.38351494409143927</v>
      </c>
      <c r="B1085">
        <v>0.15631075605461345</v>
      </c>
      <c r="C1085">
        <v>2.4535416101336169</v>
      </c>
    </row>
    <row r="1086" spans="1:3" x14ac:dyDescent="0.2">
      <c r="A1086">
        <v>0.41060953140258788</v>
      </c>
      <c r="B1086">
        <v>0.71832170834802678</v>
      </c>
      <c r="C1086">
        <v>0.57162344758714656</v>
      </c>
    </row>
    <row r="1087" spans="1:3" x14ac:dyDescent="0.2">
      <c r="A1087">
        <v>0.59450677484273906</v>
      </c>
      <c r="B1087">
        <v>0.47443346241929746</v>
      </c>
      <c r="C1087">
        <v>1.2530877813954078</v>
      </c>
    </row>
    <row r="1088" spans="1:3" x14ac:dyDescent="0.2">
      <c r="A1088">
        <v>8.5582445561885837E-2</v>
      </c>
      <c r="B1088">
        <v>0.34407040261736926</v>
      </c>
      <c r="C1088">
        <v>0.24873527310356769</v>
      </c>
    </row>
    <row r="1089" spans="1:3" x14ac:dyDescent="0.2">
      <c r="A1089">
        <v>-0.52368578910827634</v>
      </c>
      <c r="B1089">
        <v>0.40567983634540128</v>
      </c>
      <c r="C1089">
        <v>-1.2908844418444381</v>
      </c>
    </row>
    <row r="1090" spans="1:3" x14ac:dyDescent="0.2">
      <c r="A1090">
        <v>-0.35018467307090761</v>
      </c>
      <c r="B1090">
        <v>0.42675472976434065</v>
      </c>
      <c r="C1090">
        <v>-0.82057596236668318</v>
      </c>
    </row>
    <row r="1091" spans="1:3" x14ac:dyDescent="0.2">
      <c r="A1091">
        <v>-0.40236235707998275</v>
      </c>
      <c r="B1091">
        <v>0.52528290374550024</v>
      </c>
      <c r="C1091">
        <v>-0.76599172409945304</v>
      </c>
    </row>
    <row r="1092" spans="1:3" x14ac:dyDescent="0.2">
      <c r="A1092">
        <v>-0.3497460514307022</v>
      </c>
      <c r="B1092">
        <v>0.70659885673927858</v>
      </c>
      <c r="C1092">
        <v>-0.49497115385193974</v>
      </c>
    </row>
    <row r="1093" spans="1:3" x14ac:dyDescent="0.2">
      <c r="A1093">
        <v>-8.4535381197929388E-2</v>
      </c>
      <c r="B1093">
        <v>0.47971537560718397</v>
      </c>
      <c r="C1093">
        <v>-0.17621987014890134</v>
      </c>
    </row>
    <row r="1094" spans="1:3" x14ac:dyDescent="0.2">
      <c r="A1094">
        <v>-0.68897673338651655</v>
      </c>
      <c r="B1094">
        <v>0.37388859799908775</v>
      </c>
      <c r="C1094">
        <v>-1.8427326670929869</v>
      </c>
    </row>
    <row r="1095" spans="1:3" x14ac:dyDescent="0.2">
      <c r="A1095">
        <v>-0.10805080384016037</v>
      </c>
      <c r="B1095">
        <v>0.38177859747660542</v>
      </c>
      <c r="C1095">
        <v>-0.28301954209672925</v>
      </c>
    </row>
    <row r="1096" spans="1:3" x14ac:dyDescent="0.2">
      <c r="A1096">
        <v>0.19359695911407471</v>
      </c>
      <c r="B1096">
        <v>0.31133147230740377</v>
      </c>
      <c r="C1096">
        <v>0.62183549153977002</v>
      </c>
    </row>
    <row r="1097" spans="1:3" x14ac:dyDescent="0.2">
      <c r="A1097">
        <v>-8.8471008092164988E-2</v>
      </c>
      <c r="B1097">
        <v>0.55752941087151919</v>
      </c>
      <c r="C1097">
        <v>-0.15868401983290678</v>
      </c>
    </row>
    <row r="1098" spans="1:3" x14ac:dyDescent="0.2">
      <c r="A1098">
        <v>-0.44110852479934692</v>
      </c>
      <c r="B1098">
        <v>0.46376102209944642</v>
      </c>
      <c r="C1098">
        <v>-0.95115480555577603</v>
      </c>
    </row>
    <row r="1099" spans="1:3" x14ac:dyDescent="0.2">
      <c r="A1099">
        <v>1.1469241265207528</v>
      </c>
      <c r="B1099">
        <v>0.54687071416168564</v>
      </c>
      <c r="C1099">
        <v>2.097249124555713</v>
      </c>
    </row>
    <row r="1100" spans="1:3" x14ac:dyDescent="0.2">
      <c r="A1100">
        <v>0.6260700941085815</v>
      </c>
      <c r="B1100">
        <v>0.29587443240833317</v>
      </c>
      <c r="C1100">
        <v>2.1159993075864993</v>
      </c>
    </row>
    <row r="1101" spans="1:3" x14ac:dyDescent="0.2">
      <c r="A1101">
        <v>0.27783801555633547</v>
      </c>
      <c r="B1101">
        <v>0.55440453101568454</v>
      </c>
      <c r="C1101">
        <v>0.50114672592471143</v>
      </c>
    </row>
    <row r="1102" spans="1:3" x14ac:dyDescent="0.2">
      <c r="A1102">
        <v>0.31887584030628202</v>
      </c>
      <c r="B1102">
        <v>0.59911122680069251</v>
      </c>
      <c r="C1102">
        <v>0.53224814699118139</v>
      </c>
    </row>
    <row r="1103" spans="1:3" x14ac:dyDescent="0.2">
      <c r="A1103">
        <v>0.57767019271850584</v>
      </c>
      <c r="B1103">
        <v>0.34694867683695102</v>
      </c>
      <c r="C1103">
        <v>1.6650018613271227</v>
      </c>
    </row>
    <row r="1104" spans="1:3" x14ac:dyDescent="0.2">
      <c r="A1104">
        <v>0.64469926357269292</v>
      </c>
      <c r="B1104">
        <v>0.66302896923484533</v>
      </c>
      <c r="C1104">
        <v>0.97235459306807448</v>
      </c>
    </row>
    <row r="1105" spans="1:3" x14ac:dyDescent="0.2">
      <c r="A1105">
        <v>-0.48731189072132108</v>
      </c>
      <c r="B1105">
        <v>0.38293570550641043</v>
      </c>
      <c r="C1105">
        <v>-1.2725684330660134</v>
      </c>
    </row>
    <row r="1106" spans="1:3" x14ac:dyDescent="0.2">
      <c r="A1106">
        <v>-0.34239898920059203</v>
      </c>
      <c r="B1106">
        <v>0.30192779566501815</v>
      </c>
      <c r="C1106">
        <v>-1.1340426224966571</v>
      </c>
    </row>
    <row r="1107" spans="1:3" x14ac:dyDescent="0.2">
      <c r="A1107">
        <v>-0.61515644788742063</v>
      </c>
      <c r="B1107">
        <v>0.59524216492479476</v>
      </c>
      <c r="C1107">
        <v>-1.0334557666376707</v>
      </c>
    </row>
    <row r="1108" spans="1:3" x14ac:dyDescent="0.2">
      <c r="A1108">
        <v>-0.5143744751811028</v>
      </c>
      <c r="B1108">
        <v>0.64196410351929178</v>
      </c>
      <c r="C1108">
        <v>-0.8012511484073116</v>
      </c>
    </row>
    <row r="1109" spans="1:3" x14ac:dyDescent="0.2">
      <c r="A1109">
        <v>7.0005711913108823E-2</v>
      </c>
      <c r="B1109">
        <v>0.45333427120169967</v>
      </c>
      <c r="C1109">
        <v>0.15442404503753379</v>
      </c>
    </row>
    <row r="1110" spans="1:3" x14ac:dyDescent="0.2">
      <c r="A1110">
        <v>-9.4424086809158328E-2</v>
      </c>
      <c r="B1110">
        <v>0.57336434265028569</v>
      </c>
      <c r="C1110">
        <v>-0.16468426755088741</v>
      </c>
    </row>
    <row r="1111" spans="1:3" x14ac:dyDescent="0.2">
      <c r="A1111">
        <v>0.28366179317235946</v>
      </c>
      <c r="B1111">
        <v>0.12808537696462169</v>
      </c>
      <c r="C1111">
        <v>2.2146305838699241</v>
      </c>
    </row>
    <row r="1112" spans="1:3" x14ac:dyDescent="0.2">
      <c r="A1112">
        <v>0.50699213445186619</v>
      </c>
      <c r="B1112">
        <v>0.62521023466188852</v>
      </c>
      <c r="C1112">
        <v>0.81091464333760588</v>
      </c>
    </row>
    <row r="1113" spans="1:3" x14ac:dyDescent="0.2">
      <c r="A1113">
        <v>-3.9964478649199012E-2</v>
      </c>
      <c r="B1113">
        <v>0.15814299511564159</v>
      </c>
      <c r="C1113">
        <v>-0.25271102662482842</v>
      </c>
    </row>
    <row r="1114" spans="1:3" x14ac:dyDescent="0.2">
      <c r="A1114">
        <v>-0.11795125901699066</v>
      </c>
      <c r="B1114">
        <v>0.37480719048098693</v>
      </c>
      <c r="C1114">
        <v>-0.31469849568687513</v>
      </c>
    </row>
    <row r="1115" spans="1:3" x14ac:dyDescent="0.2">
      <c r="A1115">
        <v>0.956080150604248</v>
      </c>
      <c r="B1115">
        <v>0.34376851736158731</v>
      </c>
      <c r="C1115">
        <v>2.7811742562760937</v>
      </c>
    </row>
    <row r="1116" spans="1:3" x14ac:dyDescent="0.2">
      <c r="A1116">
        <v>0.16201392710208892</v>
      </c>
      <c r="B1116">
        <v>0.4424256371592527</v>
      </c>
      <c r="C1116">
        <v>0.36619470820532812</v>
      </c>
    </row>
    <row r="1117" spans="1:3" x14ac:dyDescent="0.2">
      <c r="A1117">
        <v>-0.19211981892585756</v>
      </c>
      <c r="B1117">
        <v>0.32803976513757765</v>
      </c>
      <c r="C1117">
        <v>-0.58566015265034654</v>
      </c>
    </row>
    <row r="1118" spans="1:3" x14ac:dyDescent="0.2">
      <c r="A1118">
        <v>-0.88944233655929561</v>
      </c>
      <c r="B1118">
        <v>0.25170093268950716</v>
      </c>
      <c r="C1118">
        <v>-3.5337268203788996</v>
      </c>
    </row>
    <row r="1119" spans="1:3" x14ac:dyDescent="0.2">
      <c r="A1119">
        <v>-0.347733361274004</v>
      </c>
      <c r="B1119">
        <v>0.71398236325107378</v>
      </c>
      <c r="C1119">
        <v>-0.48703354476519845</v>
      </c>
    </row>
    <row r="1120" spans="1:3" x14ac:dyDescent="0.2">
      <c r="A1120">
        <v>-0.11681841053068638</v>
      </c>
      <c r="B1120">
        <v>0.33378415629028013</v>
      </c>
      <c r="C1120">
        <v>-0.34998189197780133</v>
      </c>
    </row>
    <row r="1121" spans="1:3" x14ac:dyDescent="0.2">
      <c r="A1121">
        <v>-0.45835611522197722</v>
      </c>
      <c r="B1121">
        <v>0.39190887222893589</v>
      </c>
      <c r="C1121">
        <v>-1.1695476874895188</v>
      </c>
    </row>
    <row r="1122" spans="1:3" x14ac:dyDescent="0.2">
      <c r="A1122">
        <v>0.13685613870620728</v>
      </c>
      <c r="B1122">
        <v>0.30071893407239575</v>
      </c>
      <c r="C1122">
        <v>0.45509651438595555</v>
      </c>
    </row>
    <row r="1123" spans="1:3" x14ac:dyDescent="0.2">
      <c r="A1123">
        <v>0.1782360553741455</v>
      </c>
      <c r="B1123">
        <v>0.41717366389661165</v>
      </c>
      <c r="C1123">
        <v>0.42724666200001982</v>
      </c>
    </row>
    <row r="1124" spans="1:3" x14ac:dyDescent="0.2">
      <c r="A1124">
        <v>0.19244798421859741</v>
      </c>
      <c r="B1124">
        <v>0.51286065849566542</v>
      </c>
      <c r="C1124">
        <v>0.37524419358484273</v>
      </c>
    </row>
    <row r="1125" spans="1:3" x14ac:dyDescent="0.2">
      <c r="A1125">
        <v>0.63330954909324644</v>
      </c>
      <c r="B1125">
        <v>0.49368916840928584</v>
      </c>
      <c r="C1125">
        <v>1.2828102976895988</v>
      </c>
    </row>
    <row r="1126" spans="1:3" x14ac:dyDescent="0.2">
      <c r="A1126">
        <v>0.29356936216354368</v>
      </c>
      <c r="B1126">
        <v>0.41153565674554465</v>
      </c>
      <c r="C1126">
        <v>0.71335097542971748</v>
      </c>
    </row>
    <row r="1127" spans="1:3" x14ac:dyDescent="0.2">
      <c r="A1127">
        <v>-6.5163874626159662E-2</v>
      </c>
      <c r="B1127">
        <v>0.33044112107912332</v>
      </c>
      <c r="C1127">
        <v>-0.19720267990059365</v>
      </c>
    </row>
    <row r="1128" spans="1:3" x14ac:dyDescent="0.2">
      <c r="A1128">
        <v>0.18128658533096315</v>
      </c>
      <c r="B1128">
        <v>0.42464666616523705</v>
      </c>
      <c r="C1128">
        <v>0.42691159445114196</v>
      </c>
    </row>
    <row r="1129" spans="1:3" x14ac:dyDescent="0.2">
      <c r="A1129">
        <v>-0.23450348544865846</v>
      </c>
      <c r="B1129">
        <v>0.5123253927803445</v>
      </c>
      <c r="C1129">
        <v>-0.45772372159035263</v>
      </c>
    </row>
    <row r="1130" spans="1:3" x14ac:dyDescent="0.2">
      <c r="A1130">
        <v>0.49368001222610475</v>
      </c>
      <c r="B1130">
        <v>0.70253277720442509</v>
      </c>
      <c r="C1130">
        <v>0.70271456114915509</v>
      </c>
    </row>
    <row r="1131" spans="1:3" x14ac:dyDescent="0.2">
      <c r="A1131">
        <v>0.17102037668228148</v>
      </c>
      <c r="B1131">
        <v>0.31337555706653014</v>
      </c>
      <c r="C1131">
        <v>0.54573617126741503</v>
      </c>
    </row>
    <row r="1132" spans="1:3" x14ac:dyDescent="0.2">
      <c r="A1132">
        <v>0.20816659927368164</v>
      </c>
      <c r="B1132">
        <v>0.24437395577370852</v>
      </c>
      <c r="C1132">
        <v>0.85183627123687822</v>
      </c>
    </row>
    <row r="1133" spans="1:3" x14ac:dyDescent="0.2">
      <c r="A1133">
        <v>0.25855884552001951</v>
      </c>
      <c r="B1133">
        <v>0.39073375625570073</v>
      </c>
      <c r="C1133">
        <v>0.66172640930162063</v>
      </c>
    </row>
    <row r="1134" spans="1:3" x14ac:dyDescent="0.2">
      <c r="A1134">
        <v>0.31195579469203949</v>
      </c>
      <c r="B1134">
        <v>0.44803222583432228</v>
      </c>
      <c r="C1134">
        <v>0.69627981360295621</v>
      </c>
    </row>
    <row r="1135" spans="1:3" x14ac:dyDescent="0.2">
      <c r="A1135">
        <v>-1.2394672632217408E-2</v>
      </c>
      <c r="B1135">
        <v>0.76958042338677213</v>
      </c>
      <c r="C1135">
        <v>-1.6105753545121237E-2</v>
      </c>
    </row>
    <row r="1136" spans="1:3" x14ac:dyDescent="0.2">
      <c r="A1136">
        <v>-5.0304814055562017E-2</v>
      </c>
      <c r="B1136">
        <v>0.30877384047880774</v>
      </c>
      <c r="C1136">
        <v>-0.16291799194373338</v>
      </c>
    </row>
    <row r="1137" spans="1:3" x14ac:dyDescent="0.2">
      <c r="A1137">
        <v>0.40135220289230344</v>
      </c>
      <c r="B1137">
        <v>0.5750963720160186</v>
      </c>
      <c r="C1137">
        <v>0.69788686283196422</v>
      </c>
    </row>
    <row r="1138" spans="1:3" x14ac:dyDescent="0.2">
      <c r="A1138">
        <v>0.55502146482467651</v>
      </c>
      <c r="B1138">
        <v>0.39015362191707742</v>
      </c>
      <c r="C1138">
        <v>1.4225716067878509</v>
      </c>
    </row>
    <row r="1139" spans="1:3" x14ac:dyDescent="0.2">
      <c r="A1139">
        <v>-0.41175367906689642</v>
      </c>
      <c r="B1139">
        <v>0.40596416372139804</v>
      </c>
      <c r="C1139">
        <v>-1.0142611487980293</v>
      </c>
    </row>
    <row r="1140" spans="1:3" x14ac:dyDescent="0.2">
      <c r="A1140">
        <v>-0.11853032112121582</v>
      </c>
      <c r="B1140">
        <v>0.20569927436833807</v>
      </c>
      <c r="C1140">
        <v>-0.57623110963905477</v>
      </c>
    </row>
    <row r="1141" spans="1:3" x14ac:dyDescent="0.2">
      <c r="A1141">
        <v>0.12557351887226104</v>
      </c>
      <c r="B1141">
        <v>0.2874964453422168</v>
      </c>
      <c r="C1141">
        <v>0.43678285734206768</v>
      </c>
    </row>
    <row r="1142" spans="1:3" x14ac:dyDescent="0.2">
      <c r="A1142">
        <v>0.13091550171375274</v>
      </c>
      <c r="B1142">
        <v>0.5663703129139307</v>
      </c>
      <c r="C1142">
        <v>0.23114824122790403</v>
      </c>
    </row>
    <row r="1143" spans="1:3" x14ac:dyDescent="0.2">
      <c r="A1143">
        <v>-0.80474604368209834</v>
      </c>
      <c r="B1143">
        <v>0.67775931548592727</v>
      </c>
      <c r="C1143">
        <v>-1.1873625714832508</v>
      </c>
    </row>
    <row r="1144" spans="1:3" x14ac:dyDescent="0.2">
      <c r="A1144">
        <v>-0.14772357642650605</v>
      </c>
      <c r="B1144">
        <v>0.52105444535570977</v>
      </c>
      <c r="C1144">
        <v>-0.28350890726142669</v>
      </c>
    </row>
    <row r="1145" spans="1:3" x14ac:dyDescent="0.2">
      <c r="A1145">
        <v>-0.2826186239719391</v>
      </c>
      <c r="B1145">
        <v>0.37378590383165128</v>
      </c>
      <c r="C1145">
        <v>-0.75609759778214414</v>
      </c>
    </row>
    <row r="1146" spans="1:3" x14ac:dyDescent="0.2">
      <c r="A1146">
        <v>-0.111980140209198</v>
      </c>
      <c r="B1146">
        <v>0.5505037006786434</v>
      </c>
      <c r="C1146">
        <v>-0.20341396446772739</v>
      </c>
    </row>
    <row r="1147" spans="1:3" x14ac:dyDescent="0.2">
      <c r="A1147">
        <v>-6.567778587341308E-2</v>
      </c>
      <c r="B1147">
        <v>0.24957821679410597</v>
      </c>
      <c r="C1147">
        <v>-0.26315512113621337</v>
      </c>
    </row>
    <row r="1148" spans="1:3" x14ac:dyDescent="0.2">
      <c r="A1148">
        <v>0.49895289838314055</v>
      </c>
      <c r="B1148">
        <v>0.43921946565898717</v>
      </c>
      <c r="C1148">
        <v>1.1359990560403139</v>
      </c>
    </row>
    <row r="1149" spans="1:3" x14ac:dyDescent="0.2">
      <c r="A1149">
        <v>0.87723324894905086</v>
      </c>
      <c r="B1149">
        <v>0.36084354221040738</v>
      </c>
      <c r="C1149">
        <v>2.4310626250241647</v>
      </c>
    </row>
    <row r="1150" spans="1:3" x14ac:dyDescent="0.2">
      <c r="A1150">
        <v>-0.81699802875518801</v>
      </c>
      <c r="B1150">
        <v>0.23478707905669738</v>
      </c>
      <c r="C1150">
        <v>-3.4797401630346783</v>
      </c>
    </row>
    <row r="1151" spans="1:3" x14ac:dyDescent="0.2">
      <c r="A1151">
        <v>0.17453300952911377</v>
      </c>
      <c r="B1151">
        <v>0.5966602900080088</v>
      </c>
      <c r="C1151">
        <v>0.29251654995637644</v>
      </c>
    </row>
    <row r="1152" spans="1:3" x14ac:dyDescent="0.2">
      <c r="A1152">
        <v>0.45982206612825394</v>
      </c>
      <c r="B1152">
        <v>0.37152168275527214</v>
      </c>
      <c r="C1152">
        <v>1.2376722206847528</v>
      </c>
    </row>
    <row r="1153" spans="1:3" x14ac:dyDescent="0.2">
      <c r="A1153">
        <v>0.59991248250007634</v>
      </c>
      <c r="B1153">
        <v>0.7325017133314482</v>
      </c>
      <c r="C1153">
        <v>0.81899123453465994</v>
      </c>
    </row>
    <row r="1154" spans="1:3" x14ac:dyDescent="0.2">
      <c r="A1154">
        <v>-0.61634446308016777</v>
      </c>
      <c r="B1154">
        <v>0.33412688077738639</v>
      </c>
      <c r="C1154">
        <v>-1.844641956511156</v>
      </c>
    </row>
    <row r="1155" spans="1:3" x14ac:dyDescent="0.2">
      <c r="A1155">
        <v>-0.50076360795646901</v>
      </c>
      <c r="B1155">
        <v>0.40401134855252396</v>
      </c>
      <c r="C1155">
        <v>-1.2394790635228077</v>
      </c>
    </row>
    <row r="1156" spans="1:3" x14ac:dyDescent="0.2">
      <c r="A1156">
        <v>-1.2489513278007507</v>
      </c>
      <c r="B1156">
        <v>0.4324842043028721</v>
      </c>
      <c r="C1156">
        <v>-2.8878542045574922</v>
      </c>
    </row>
    <row r="1157" spans="1:3" x14ac:dyDescent="0.2">
      <c r="A1157">
        <v>-0.14603785276412964</v>
      </c>
      <c r="B1157">
        <v>0.5262481818948489</v>
      </c>
      <c r="C1157">
        <v>-0.27750756731984277</v>
      </c>
    </row>
    <row r="1158" spans="1:3" x14ac:dyDescent="0.2">
      <c r="A1158">
        <v>-0.10170136969536543</v>
      </c>
      <c r="B1158">
        <v>0.3542124099173698</v>
      </c>
      <c r="C1158">
        <v>-0.28711972491051396</v>
      </c>
    </row>
    <row r="1159" spans="1:3" x14ac:dyDescent="0.2">
      <c r="A1159">
        <v>-0.41966387629508972</v>
      </c>
      <c r="B1159">
        <v>0.39581230203530654</v>
      </c>
      <c r="C1159">
        <v>-1.0602598103624774</v>
      </c>
    </row>
    <row r="1160" spans="1:3" x14ac:dyDescent="0.2">
      <c r="A1160">
        <v>-0.13316549062728883</v>
      </c>
      <c r="B1160">
        <v>0.53444006273716416</v>
      </c>
      <c r="C1160">
        <v>-0.24916824151481917</v>
      </c>
    </row>
    <row r="1161" spans="1:3" x14ac:dyDescent="0.2">
      <c r="A1161">
        <v>0.27783461511135099</v>
      </c>
      <c r="B1161">
        <v>0.59007714705789283</v>
      </c>
      <c r="C1161">
        <v>0.47084456074366909</v>
      </c>
    </row>
    <row r="1162" spans="1:3" x14ac:dyDescent="0.2">
      <c r="A1162">
        <v>-0.28381932973861695</v>
      </c>
      <c r="B1162">
        <v>0.40256920425600334</v>
      </c>
      <c r="C1162">
        <v>-0.70501997355498036</v>
      </c>
    </row>
    <row r="1163" spans="1:3" x14ac:dyDescent="0.2">
      <c r="A1163">
        <v>1.6836710274219513E-2</v>
      </c>
      <c r="B1163">
        <v>0.34680728873484934</v>
      </c>
      <c r="C1163">
        <v>4.8547740549628349E-2</v>
      </c>
    </row>
    <row r="1164" spans="1:3" x14ac:dyDescent="0.2">
      <c r="A1164">
        <v>0.12723862528800964</v>
      </c>
      <c r="B1164">
        <v>0.63519059222352403</v>
      </c>
      <c r="C1164">
        <v>0.20031566406328996</v>
      </c>
    </row>
    <row r="1165" spans="1:3" x14ac:dyDescent="0.2">
      <c r="A1165">
        <v>-0.57942131459712987</v>
      </c>
      <c r="B1165">
        <v>0.49817926823320863</v>
      </c>
      <c r="C1165">
        <v>-1.1630779350815741</v>
      </c>
    </row>
    <row r="1166" spans="1:3" x14ac:dyDescent="0.2">
      <c r="A1166">
        <v>-0.30813531279563905</v>
      </c>
      <c r="B1166">
        <v>0.45376142766414784</v>
      </c>
      <c r="C1166">
        <v>-0.67906898649769287</v>
      </c>
    </row>
    <row r="1167" spans="1:3" x14ac:dyDescent="0.2">
      <c r="A1167">
        <v>0.28318144157528879</v>
      </c>
      <c r="B1167">
        <v>0.24324479288136441</v>
      </c>
      <c r="C1167">
        <v>1.1641829542201232</v>
      </c>
    </row>
    <row r="1168" spans="1:3" x14ac:dyDescent="0.2">
      <c r="A1168">
        <v>-4.593867063522339E-3</v>
      </c>
      <c r="B1168">
        <v>0.56731771343484727</v>
      </c>
      <c r="C1168">
        <v>-8.0975209388555684E-3</v>
      </c>
    </row>
    <row r="1169" spans="1:3" x14ac:dyDescent="0.2">
      <c r="A1169">
        <v>0.11937597990036011</v>
      </c>
      <c r="B1169">
        <v>0.33825238276603292</v>
      </c>
      <c r="C1169">
        <v>0.3529198491498336</v>
      </c>
    </row>
    <row r="1170" spans="1:3" x14ac:dyDescent="0.2">
      <c r="A1170">
        <v>0.28997045755386353</v>
      </c>
      <c r="B1170">
        <v>0.24827077515596865</v>
      </c>
      <c r="C1170">
        <v>1.1679604954376861</v>
      </c>
    </row>
    <row r="1171" spans="1:3" x14ac:dyDescent="0.2">
      <c r="A1171">
        <v>0.34663841128349304</v>
      </c>
      <c r="B1171">
        <v>0.46321327915779553</v>
      </c>
      <c r="C1171">
        <v>0.74833435672168891</v>
      </c>
    </row>
    <row r="1172" spans="1:3" x14ac:dyDescent="0.2">
      <c r="A1172">
        <v>0.51924507700023237</v>
      </c>
      <c r="B1172">
        <v>0.26771482430442189</v>
      </c>
      <c r="C1172">
        <v>1.9395454784744839</v>
      </c>
    </row>
    <row r="1173" spans="1:3" x14ac:dyDescent="0.2">
      <c r="A1173">
        <v>0.35471461191773412</v>
      </c>
      <c r="B1173">
        <v>0.23003364844298232</v>
      </c>
      <c r="C1173">
        <v>1.5420118505213207</v>
      </c>
    </row>
    <row r="1174" spans="1:3" x14ac:dyDescent="0.2">
      <c r="A1174">
        <v>-0.11460966020822524</v>
      </c>
      <c r="B1174">
        <v>0.56091810239884943</v>
      </c>
      <c r="C1174">
        <v>-0.20432512289776358</v>
      </c>
    </row>
    <row r="1175" spans="1:3" x14ac:dyDescent="0.2">
      <c r="A1175">
        <v>6.6394627094268799E-2</v>
      </c>
      <c r="B1175">
        <v>0.87846649605142313</v>
      </c>
      <c r="C1175">
        <v>7.5580147214154236E-2</v>
      </c>
    </row>
    <row r="1176" spans="1:3" x14ac:dyDescent="0.2">
      <c r="A1176">
        <v>0.10349440425634385</v>
      </c>
      <c r="B1176">
        <v>0.12375920001695453</v>
      </c>
      <c r="C1176">
        <v>0.8362562479570449</v>
      </c>
    </row>
    <row r="1177" spans="1:3" x14ac:dyDescent="0.2">
      <c r="A1177">
        <v>0.36379300802946091</v>
      </c>
      <c r="B1177">
        <v>0.68006759020523366</v>
      </c>
      <c r="C1177">
        <v>0.5349365464095619</v>
      </c>
    </row>
    <row r="1178" spans="1:3" x14ac:dyDescent="0.2">
      <c r="A1178">
        <v>0.39285048097372055</v>
      </c>
      <c r="B1178">
        <v>0.44952239114247072</v>
      </c>
      <c r="C1178">
        <v>0.87392861560306856</v>
      </c>
    </row>
    <row r="1179" spans="1:3" x14ac:dyDescent="0.2">
      <c r="A1179">
        <v>-7.484064698219299E-2</v>
      </c>
      <c r="B1179">
        <v>0.55330580300587828</v>
      </c>
      <c r="C1179">
        <v>-0.13526091101090057</v>
      </c>
    </row>
    <row r="1180" spans="1:3" x14ac:dyDescent="0.2">
      <c r="A1180">
        <v>0.59941666722297671</v>
      </c>
      <c r="B1180">
        <v>0.53612177770070135</v>
      </c>
      <c r="C1180">
        <v>1.118060657400884</v>
      </c>
    </row>
    <row r="1181" spans="1:3" x14ac:dyDescent="0.2">
      <c r="A1181">
        <v>0.43050446510314944</v>
      </c>
      <c r="B1181">
        <v>0.11821102791205995</v>
      </c>
      <c r="C1181">
        <v>3.6418299773470553</v>
      </c>
    </row>
    <row r="1182" spans="1:3" x14ac:dyDescent="0.2">
      <c r="A1182">
        <v>0.66416566371917729</v>
      </c>
      <c r="B1182">
        <v>0.51023901073443667</v>
      </c>
      <c r="C1182">
        <v>1.301675586825827</v>
      </c>
    </row>
    <row r="1183" spans="1:3" x14ac:dyDescent="0.2">
      <c r="A1183">
        <v>3.7874519824981689E-2</v>
      </c>
      <c r="B1183">
        <v>0.38422118921071086</v>
      </c>
      <c r="C1183">
        <v>9.8574781632386532E-2</v>
      </c>
    </row>
    <row r="1184" spans="1:3" x14ac:dyDescent="0.2">
      <c r="A1184">
        <v>-0.60544873327016835</v>
      </c>
      <c r="B1184">
        <v>0.27733485714876999</v>
      </c>
      <c r="C1184">
        <v>-2.1830964181519712</v>
      </c>
    </row>
    <row r="1185" spans="1:3" x14ac:dyDescent="0.2">
      <c r="A1185">
        <v>0.20767676047980785</v>
      </c>
      <c r="B1185">
        <v>0.22592549677087342</v>
      </c>
      <c r="C1185">
        <v>0.91922675150926914</v>
      </c>
    </row>
    <row r="1186" spans="1:3" x14ac:dyDescent="0.2">
      <c r="A1186">
        <v>-0.65430819392204287</v>
      </c>
      <c r="B1186">
        <v>0.5986157092562655</v>
      </c>
      <c r="C1186">
        <v>-1.093035454640793</v>
      </c>
    </row>
    <row r="1187" spans="1:3" x14ac:dyDescent="0.2">
      <c r="A1187">
        <v>-0.86009584218263624</v>
      </c>
      <c r="B1187">
        <v>0.41190835700914352</v>
      </c>
      <c r="C1187">
        <v>-2.0880757273966739</v>
      </c>
    </row>
    <row r="1188" spans="1:3" x14ac:dyDescent="0.2">
      <c r="A1188">
        <v>-0.40793866515159605</v>
      </c>
      <c r="B1188">
        <v>0.42288382638589495</v>
      </c>
      <c r="C1188">
        <v>-0.96465894342182534</v>
      </c>
    </row>
    <row r="1189" spans="1:3" x14ac:dyDescent="0.2">
      <c r="A1189">
        <v>0.25995630472898484</v>
      </c>
      <c r="B1189">
        <v>0.55371225312299055</v>
      </c>
      <c r="C1189">
        <v>0.46947905389993844</v>
      </c>
    </row>
    <row r="1190" spans="1:3" x14ac:dyDescent="0.2">
      <c r="A1190">
        <v>0.84490809738636019</v>
      </c>
      <c r="B1190">
        <v>0.43545354581813239</v>
      </c>
      <c r="C1190">
        <v>1.9402944481688453</v>
      </c>
    </row>
    <row r="1191" spans="1:3" x14ac:dyDescent="0.2">
      <c r="A1191">
        <v>-0.5569345146417618</v>
      </c>
      <c r="B1191">
        <v>0.45483591653293864</v>
      </c>
      <c r="C1191">
        <v>-1.224473473614587</v>
      </c>
    </row>
    <row r="1192" spans="1:3" x14ac:dyDescent="0.2">
      <c r="A1192">
        <v>-0.48626240640878676</v>
      </c>
      <c r="B1192">
        <v>0.11940963416030839</v>
      </c>
      <c r="C1192">
        <v>-4.0722208876042245</v>
      </c>
    </row>
    <row r="1193" spans="1:3" x14ac:dyDescent="0.2">
      <c r="A1193">
        <v>-4.2002190649509427E-2</v>
      </c>
      <c r="B1193">
        <v>0.33172333857074304</v>
      </c>
      <c r="C1193">
        <v>-0.12661813555379997</v>
      </c>
    </row>
    <row r="1194" spans="1:3" x14ac:dyDescent="0.2">
      <c r="A1194">
        <v>-8.8671326637268059E-3</v>
      </c>
      <c r="B1194">
        <v>0.31520751921109852</v>
      </c>
      <c r="C1194">
        <v>-2.8131094987579829E-2</v>
      </c>
    </row>
    <row r="1195" spans="1:3" x14ac:dyDescent="0.2">
      <c r="A1195">
        <v>0.1675393283367157</v>
      </c>
      <c r="B1195">
        <v>0.40825160595700277</v>
      </c>
      <c r="C1195">
        <v>0.4103825334476725</v>
      </c>
    </row>
    <row r="1196" spans="1:3" x14ac:dyDescent="0.2">
      <c r="A1196">
        <v>-0.93358234167098997</v>
      </c>
      <c r="B1196">
        <v>0.63403662891653711</v>
      </c>
      <c r="C1196">
        <v>-1.4724422834471353</v>
      </c>
    </row>
    <row r="1197" spans="1:3" x14ac:dyDescent="0.2">
      <c r="A1197">
        <v>8.7440639734268188E-2</v>
      </c>
      <c r="B1197">
        <v>0.43160022563880729</v>
      </c>
      <c r="C1197">
        <v>0.20259637168828665</v>
      </c>
    </row>
    <row r="1198" spans="1:3" x14ac:dyDescent="0.2">
      <c r="A1198">
        <v>-0.12247868925333023</v>
      </c>
      <c r="B1198">
        <v>0.46992684785077704</v>
      </c>
      <c r="C1198">
        <v>-0.26063352160764974</v>
      </c>
    </row>
    <row r="1199" spans="1:3" x14ac:dyDescent="0.2">
      <c r="A1199">
        <v>-0.57927448153495786</v>
      </c>
      <c r="B1199">
        <v>0.68149307018933658</v>
      </c>
      <c r="C1199">
        <v>-0.85000788250718418</v>
      </c>
    </row>
    <row r="1200" spans="1:3" x14ac:dyDescent="0.2">
      <c r="A1200">
        <v>0.6907730877399445</v>
      </c>
      <c r="B1200">
        <v>0.3167313658723579</v>
      </c>
      <c r="C1200">
        <v>2.1809431024849135</v>
      </c>
    </row>
    <row r="1201" spans="1:3" x14ac:dyDescent="0.2">
      <c r="A1201">
        <v>-0.25025566667318344</v>
      </c>
      <c r="B1201">
        <v>0.43453863593088948</v>
      </c>
      <c r="C1201">
        <v>-0.57591119863731743</v>
      </c>
    </row>
    <row r="1202" spans="1:3" x14ac:dyDescent="0.2">
      <c r="A1202">
        <v>-6.5387676656246188E-2</v>
      </c>
      <c r="B1202">
        <v>0.29231761670897116</v>
      </c>
      <c r="C1202">
        <v>-0.22368708869621629</v>
      </c>
    </row>
    <row r="1203" spans="1:3" x14ac:dyDescent="0.2">
      <c r="A1203">
        <v>-0.28530499637126921</v>
      </c>
      <c r="B1203">
        <v>0.187205733836006</v>
      </c>
      <c r="C1203">
        <v>-1.5240184716842011</v>
      </c>
    </row>
    <row r="1204" spans="1:3" x14ac:dyDescent="0.2">
      <c r="A1204">
        <v>-0.27329710125923157</v>
      </c>
      <c r="B1204">
        <v>0.44262699482904894</v>
      </c>
      <c r="C1204">
        <v>-0.61744336529854937</v>
      </c>
    </row>
    <row r="1205" spans="1:3" x14ac:dyDescent="0.2">
      <c r="A1205">
        <v>-0.39428175091743467</v>
      </c>
      <c r="B1205">
        <v>0.33379447929963535</v>
      </c>
      <c r="C1205">
        <v>-1.1812111205215652</v>
      </c>
    </row>
    <row r="1206" spans="1:3" x14ac:dyDescent="0.2">
      <c r="A1206">
        <v>-0.52069176435470577</v>
      </c>
      <c r="B1206">
        <v>0.41535099439329237</v>
      </c>
      <c r="C1206">
        <v>-1.2536186776566787</v>
      </c>
    </row>
    <row r="1207" spans="1:3" x14ac:dyDescent="0.2">
      <c r="A1207">
        <v>-0.14151667356491088</v>
      </c>
      <c r="B1207">
        <v>0.44584492834687744</v>
      </c>
      <c r="C1207">
        <v>-0.31741232111719281</v>
      </c>
    </row>
    <row r="1208" spans="1:3" x14ac:dyDescent="0.2">
      <c r="A1208">
        <v>9.1897258162498469E-2</v>
      </c>
      <c r="B1208">
        <v>0.29472851461143673</v>
      </c>
      <c r="C1208">
        <v>0.31180307844883515</v>
      </c>
    </row>
    <row r="1209" spans="1:3" x14ac:dyDescent="0.2">
      <c r="A1209">
        <v>-0.30227101445198057</v>
      </c>
      <c r="B1209">
        <v>0.25553276869444974</v>
      </c>
      <c r="C1209">
        <v>-1.1829050966587284</v>
      </c>
    </row>
    <row r="1210" spans="1:3" x14ac:dyDescent="0.2">
      <c r="A1210">
        <v>-0.29173606634140015</v>
      </c>
      <c r="B1210">
        <v>0.19064202238375444</v>
      </c>
      <c r="C1210">
        <v>-1.5302820579302689</v>
      </c>
    </row>
    <row r="1211" spans="1:3" x14ac:dyDescent="0.2">
      <c r="A1211">
        <v>0.38448343127965928</v>
      </c>
      <c r="B1211">
        <v>0.35465416886860274</v>
      </c>
      <c r="C1211">
        <v>1.0841080270005456</v>
      </c>
    </row>
    <row r="1212" spans="1:3" x14ac:dyDescent="0.2">
      <c r="A1212">
        <v>6.6675081849098206E-2</v>
      </c>
      <c r="B1212">
        <v>9.2565946092377907E-2</v>
      </c>
      <c r="C1212">
        <v>0.72029817296480247</v>
      </c>
    </row>
    <row r="1213" spans="1:3" x14ac:dyDescent="0.2">
      <c r="A1213">
        <v>0.86192668974399567</v>
      </c>
      <c r="B1213">
        <v>0.30577726075908174</v>
      </c>
      <c r="C1213">
        <v>2.8188057136894082</v>
      </c>
    </row>
    <row r="1214" spans="1:3" x14ac:dyDescent="0.2">
      <c r="A1214">
        <v>0.68263954073190691</v>
      </c>
      <c r="B1214">
        <v>0.28155703967286527</v>
      </c>
      <c r="C1214">
        <v>2.4245159756085313</v>
      </c>
    </row>
    <row r="1215" spans="1:3" x14ac:dyDescent="0.2">
      <c r="A1215">
        <v>-0.46719420254230498</v>
      </c>
      <c r="B1215">
        <v>0.69365749920662734</v>
      </c>
      <c r="C1215">
        <v>-0.67352288856771481</v>
      </c>
    </row>
    <row r="1216" spans="1:3" x14ac:dyDescent="0.2">
      <c r="A1216">
        <v>5.3955927491188049E-2</v>
      </c>
      <c r="B1216">
        <v>0.3632855271249561</v>
      </c>
      <c r="C1216">
        <v>0.14852209477816414</v>
      </c>
    </row>
    <row r="1217" spans="1:3" x14ac:dyDescent="0.2">
      <c r="A1217">
        <v>0.3047965418547392</v>
      </c>
      <c r="B1217">
        <v>0.12725371246244313</v>
      </c>
      <c r="C1217">
        <v>2.3951878177596977</v>
      </c>
    </row>
    <row r="1218" spans="1:3" x14ac:dyDescent="0.2">
      <c r="A1218">
        <v>0.49312082231044768</v>
      </c>
      <c r="B1218">
        <v>0.44753850842076243</v>
      </c>
      <c r="C1218">
        <v>1.1018511547766747</v>
      </c>
    </row>
    <row r="1219" spans="1:3" x14ac:dyDescent="0.2">
      <c r="A1219">
        <v>0.45279501080513002</v>
      </c>
      <c r="B1219">
        <v>0.2708001492221444</v>
      </c>
      <c r="C1219">
        <v>1.6720633725858494</v>
      </c>
    </row>
    <row r="1220" spans="1:3" x14ac:dyDescent="0.2">
      <c r="A1220">
        <v>6.9784015417098999E-2</v>
      </c>
      <c r="B1220">
        <v>0.71417113780521668</v>
      </c>
      <c r="C1220">
        <v>9.7713295487631316E-2</v>
      </c>
    </row>
    <row r="1221" spans="1:3" x14ac:dyDescent="0.2">
      <c r="A1221">
        <v>-0.19526743590831758</v>
      </c>
      <c r="B1221">
        <v>0.27254348161941649</v>
      </c>
      <c r="C1221">
        <v>-0.71646342355379367</v>
      </c>
    </row>
    <row r="1222" spans="1:3" x14ac:dyDescent="0.2">
      <c r="A1222">
        <v>0.50543534606695173</v>
      </c>
      <c r="B1222">
        <v>0.67285668803822785</v>
      </c>
      <c r="C1222">
        <v>0.75117830446271172</v>
      </c>
    </row>
    <row r="1223" spans="1:3" x14ac:dyDescent="0.2">
      <c r="A1223">
        <v>0.38070404008030889</v>
      </c>
      <c r="B1223">
        <v>0.56740129907260717</v>
      </c>
      <c r="C1223">
        <v>0.67096081856448542</v>
      </c>
    </row>
    <row r="1224" spans="1:3" x14ac:dyDescent="0.2">
      <c r="A1224">
        <v>0.184866002202034</v>
      </c>
      <c r="B1224">
        <v>0.60449260006301608</v>
      </c>
      <c r="C1224">
        <v>0.30582012448582896</v>
      </c>
    </row>
    <row r="1225" spans="1:3" x14ac:dyDescent="0.2">
      <c r="A1225">
        <v>-0.37901222705841064</v>
      </c>
      <c r="B1225">
        <v>0.34766887532634805</v>
      </c>
      <c r="C1225">
        <v>-1.0901528838399508</v>
      </c>
    </row>
    <row r="1226" spans="1:3" x14ac:dyDescent="0.2">
      <c r="A1226">
        <v>-0.21290959119796754</v>
      </c>
      <c r="B1226">
        <v>0.3620750117038789</v>
      </c>
      <c r="C1226">
        <v>-0.58802619434034431</v>
      </c>
    </row>
    <row r="1227" spans="1:3" x14ac:dyDescent="0.2">
      <c r="A1227">
        <v>7.7499905228614802E-2</v>
      </c>
      <c r="B1227">
        <v>0.65705830254365061</v>
      </c>
      <c r="C1227">
        <v>0.11794981499905212</v>
      </c>
    </row>
    <row r="1228" spans="1:3" x14ac:dyDescent="0.2">
      <c r="A1228">
        <v>0.32599762976169588</v>
      </c>
      <c r="B1228">
        <v>0.41370925746779519</v>
      </c>
      <c r="C1228">
        <v>0.78798727337415908</v>
      </c>
    </row>
    <row r="1229" spans="1:3" x14ac:dyDescent="0.2">
      <c r="A1229">
        <v>-0.50496203005313878</v>
      </c>
      <c r="B1229">
        <v>0.32682415060376391</v>
      </c>
      <c r="C1229">
        <v>-1.5450572704626906</v>
      </c>
    </row>
    <row r="1230" spans="1:3" x14ac:dyDescent="0.2">
      <c r="A1230">
        <v>0.34618010520935061</v>
      </c>
      <c r="B1230">
        <v>0.61747067618645979</v>
      </c>
      <c r="C1230">
        <v>0.56064217874666067</v>
      </c>
    </row>
    <row r="1231" spans="1:3" x14ac:dyDescent="0.2">
      <c r="A1231">
        <v>0.65643282011151316</v>
      </c>
      <c r="B1231">
        <v>0.74919948198743003</v>
      </c>
      <c r="C1231">
        <v>0.8761789561975788</v>
      </c>
    </row>
    <row r="1232" spans="1:3" x14ac:dyDescent="0.2">
      <c r="A1232">
        <v>0.38056106567382814</v>
      </c>
      <c r="B1232">
        <v>0.62581452946306015</v>
      </c>
      <c r="C1232">
        <v>0.60810519372304128</v>
      </c>
    </row>
    <row r="1233" spans="1:3" x14ac:dyDescent="0.2">
      <c r="A1233">
        <v>-0.65641038171015675</v>
      </c>
      <c r="B1233">
        <v>0.25272713213225745</v>
      </c>
      <c r="C1233">
        <v>-2.5973087106715687</v>
      </c>
    </row>
    <row r="1234" spans="1:3" x14ac:dyDescent="0.2">
      <c r="A1234">
        <v>-0.33782792016863822</v>
      </c>
      <c r="B1234">
        <v>0.41614157377501848</v>
      </c>
      <c r="C1234">
        <v>-0.81181007007793093</v>
      </c>
    </row>
    <row r="1235" spans="1:3" x14ac:dyDescent="0.2">
      <c r="A1235">
        <v>0.26261168122291567</v>
      </c>
      <c r="B1235">
        <v>0.45994195315451342</v>
      </c>
      <c r="C1235">
        <v>0.57096700881881413</v>
      </c>
    </row>
    <row r="1236" spans="1:3" x14ac:dyDescent="0.2">
      <c r="A1236">
        <v>-0.31212729391118044</v>
      </c>
      <c r="B1236">
        <v>0.54816317428331773</v>
      </c>
      <c r="C1236">
        <v>-0.56940580570605359</v>
      </c>
    </row>
    <row r="1237" spans="1:3" x14ac:dyDescent="0.2">
      <c r="A1237">
        <v>0.4776031792163849</v>
      </c>
      <c r="B1237">
        <v>0.49307685044988175</v>
      </c>
      <c r="C1237">
        <v>0.96861813484170123</v>
      </c>
    </row>
    <row r="1238" spans="1:3" x14ac:dyDescent="0.2">
      <c r="A1238">
        <v>8.0154103040695188E-2</v>
      </c>
      <c r="B1238">
        <v>0.35870077809168993</v>
      </c>
      <c r="C1238">
        <v>0.2234567303341797</v>
      </c>
    </row>
    <row r="1239" spans="1:3" x14ac:dyDescent="0.2">
      <c r="A1239">
        <v>0.49722666740417482</v>
      </c>
      <c r="B1239">
        <v>0.46589570685263432</v>
      </c>
      <c r="C1239">
        <v>1.0672488715622586</v>
      </c>
    </row>
    <row r="1240" spans="1:3" x14ac:dyDescent="0.2">
      <c r="A1240">
        <v>7.3697394132614141E-2</v>
      </c>
      <c r="B1240">
        <v>0.53163675172767655</v>
      </c>
      <c r="C1240">
        <v>0.13862358817955572</v>
      </c>
    </row>
    <row r="1241" spans="1:3" x14ac:dyDescent="0.2">
      <c r="A1241">
        <v>-0.5280573189258575</v>
      </c>
      <c r="B1241">
        <v>0.45664871313966998</v>
      </c>
      <c r="C1241">
        <v>-1.1563753575373519</v>
      </c>
    </row>
    <row r="1242" spans="1:3" x14ac:dyDescent="0.2">
      <c r="A1242">
        <v>5.9877147898077965E-2</v>
      </c>
      <c r="B1242">
        <v>0.50477102150825803</v>
      </c>
      <c r="C1242">
        <v>0.11862239579277904</v>
      </c>
    </row>
    <row r="1243" spans="1:3" x14ac:dyDescent="0.2">
      <c r="A1243">
        <v>-0.13060445636510848</v>
      </c>
      <c r="B1243">
        <v>0.22341224874553245</v>
      </c>
      <c r="C1243">
        <v>-0.58458950705906698</v>
      </c>
    </row>
    <row r="1244" spans="1:3" x14ac:dyDescent="0.2">
      <c r="A1244">
        <v>-6.8635688722133631E-2</v>
      </c>
      <c r="B1244">
        <v>0.20323842394051861</v>
      </c>
      <c r="C1244">
        <v>-0.33771019963341725</v>
      </c>
    </row>
    <row r="1245" spans="1:3" x14ac:dyDescent="0.2">
      <c r="A1245">
        <v>2.2433054447174073E-2</v>
      </c>
      <c r="B1245">
        <v>0.22493185850802566</v>
      </c>
      <c r="C1245">
        <v>9.9732668355530671E-2</v>
      </c>
    </row>
    <row r="1246" spans="1:3" x14ac:dyDescent="0.2">
      <c r="A1246">
        <v>8.4367990493774414E-2</v>
      </c>
      <c r="B1246">
        <v>0.82348936168081388</v>
      </c>
      <c r="C1246">
        <v>0.10245182806195816</v>
      </c>
    </row>
    <row r="1247" spans="1:3" x14ac:dyDescent="0.2">
      <c r="A1247">
        <v>0.50090208500623701</v>
      </c>
      <c r="B1247">
        <v>0.52373288179363275</v>
      </c>
      <c r="C1247">
        <v>0.95640755510861397</v>
      </c>
    </row>
    <row r="1248" spans="1:3" x14ac:dyDescent="0.2">
      <c r="A1248">
        <v>-0.5050556421279907</v>
      </c>
      <c r="B1248">
        <v>0.27489615585202026</v>
      </c>
      <c r="C1248">
        <v>-1.8372597483679178</v>
      </c>
    </row>
    <row r="1249" spans="1:3" x14ac:dyDescent="0.2">
      <c r="A1249">
        <v>-0.15319790244102477</v>
      </c>
      <c r="B1249">
        <v>0.6738814593832585</v>
      </c>
      <c r="C1249">
        <v>-0.22733657427113765</v>
      </c>
    </row>
    <row r="1250" spans="1:3" x14ac:dyDescent="0.2">
      <c r="A1250">
        <v>-0.46351763233542442</v>
      </c>
      <c r="B1250">
        <v>0.59435062231404934</v>
      </c>
      <c r="C1250">
        <v>-0.77987237656244268</v>
      </c>
    </row>
    <row r="1251" spans="1:3" x14ac:dyDescent="0.2">
      <c r="A1251">
        <v>0.60742235630750652</v>
      </c>
      <c r="B1251">
        <v>0.23772740049800475</v>
      </c>
      <c r="C1251">
        <v>2.5551213492220248</v>
      </c>
    </row>
    <row r="1252" spans="1:3" x14ac:dyDescent="0.2">
      <c r="A1252">
        <v>-0.12869383143261076</v>
      </c>
      <c r="B1252">
        <v>0.4319809369157791</v>
      </c>
      <c r="C1252">
        <v>-0.29791553384611846</v>
      </c>
    </row>
    <row r="1253" spans="1:3" x14ac:dyDescent="0.2">
      <c r="A1253">
        <v>0.14973584413528443</v>
      </c>
      <c r="B1253">
        <v>0.35287267896025887</v>
      </c>
      <c r="C1253">
        <v>0.42433391153002226</v>
      </c>
    </row>
    <row r="1254" spans="1:3" x14ac:dyDescent="0.2">
      <c r="A1254">
        <v>0.4994686648249626</v>
      </c>
      <c r="B1254">
        <v>0.3273581459133269</v>
      </c>
      <c r="C1254">
        <v>1.525756029169363</v>
      </c>
    </row>
    <row r="1255" spans="1:3" x14ac:dyDescent="0.2">
      <c r="A1255">
        <v>-3.5122451186180112E-2</v>
      </c>
      <c r="B1255">
        <v>0.50835303677994703</v>
      </c>
      <c r="C1255">
        <v>-6.9090668580747985E-2</v>
      </c>
    </row>
    <row r="1256" spans="1:3" x14ac:dyDescent="0.2">
      <c r="A1256">
        <v>0.1744007647037506</v>
      </c>
      <c r="B1256">
        <v>0.54349594185112815</v>
      </c>
      <c r="C1256">
        <v>0.32088696763723329</v>
      </c>
    </row>
    <row r="1257" spans="1:3" x14ac:dyDescent="0.2">
      <c r="A1257">
        <v>0.21980428267270327</v>
      </c>
      <c r="B1257">
        <v>0.21344474074798267</v>
      </c>
      <c r="C1257">
        <v>1.0297947932679654</v>
      </c>
    </row>
    <row r="1258" spans="1:3" x14ac:dyDescent="0.2">
      <c r="A1258">
        <v>-0.23932411670684814</v>
      </c>
      <c r="B1258">
        <v>0.60612758927220578</v>
      </c>
      <c r="C1258">
        <v>-0.394841153814185</v>
      </c>
    </row>
    <row r="1259" spans="1:3" x14ac:dyDescent="0.2">
      <c r="A1259">
        <v>0.2473921762779355</v>
      </c>
      <c r="B1259">
        <v>0.41824368624754377</v>
      </c>
      <c r="C1259">
        <v>0.59150247669611622</v>
      </c>
    </row>
    <row r="1260" spans="1:3" x14ac:dyDescent="0.2">
      <c r="A1260">
        <v>0.64376095533370969</v>
      </c>
      <c r="B1260">
        <v>0.65468619271986517</v>
      </c>
      <c r="C1260">
        <v>0.98331225324797666</v>
      </c>
    </row>
    <row r="1261" spans="1:3" x14ac:dyDescent="0.2">
      <c r="A1261">
        <v>-0.46249371767044067</v>
      </c>
      <c r="B1261">
        <v>0.4318370063459735</v>
      </c>
      <c r="C1261">
        <v>-1.0709913946094423</v>
      </c>
    </row>
    <row r="1262" spans="1:3" x14ac:dyDescent="0.2">
      <c r="A1262">
        <v>4.9597743153572085E-2</v>
      </c>
      <c r="B1262">
        <v>0.51740063411992665</v>
      </c>
      <c r="C1262">
        <v>9.5859455676809202E-2</v>
      </c>
    </row>
    <row r="1263" spans="1:3" x14ac:dyDescent="0.2">
      <c r="A1263">
        <v>0.37733958363533021</v>
      </c>
      <c r="B1263">
        <v>0.37781516781594493</v>
      </c>
      <c r="C1263">
        <v>0.99874122528387632</v>
      </c>
    </row>
    <row r="1264" spans="1:3" x14ac:dyDescent="0.2">
      <c r="A1264">
        <v>0.60178496837615969</v>
      </c>
      <c r="B1264">
        <v>0.38478697720233734</v>
      </c>
      <c r="C1264">
        <v>1.5639431790325782</v>
      </c>
    </row>
    <row r="1265" spans="1:3" x14ac:dyDescent="0.2">
      <c r="A1265">
        <v>0.36346654891967772</v>
      </c>
      <c r="B1265">
        <v>0.6033885000964021</v>
      </c>
      <c r="C1265">
        <v>0.60237566486866656</v>
      </c>
    </row>
    <row r="1266" spans="1:3" x14ac:dyDescent="0.2">
      <c r="A1266">
        <v>-0.14473391771316529</v>
      </c>
      <c r="B1266">
        <v>0.69439098896959961</v>
      </c>
      <c r="C1266">
        <v>-0.20843288581255154</v>
      </c>
    </row>
    <row r="1267" spans="1:3" x14ac:dyDescent="0.2">
      <c r="A1267">
        <v>-8.2082867622375495E-3</v>
      </c>
      <c r="B1267">
        <v>0.39377394442422314</v>
      </c>
      <c r="C1267">
        <v>-2.0845174949906141E-2</v>
      </c>
    </row>
    <row r="1268" spans="1:3" x14ac:dyDescent="0.2">
      <c r="A1268">
        <v>-0.47285910248756408</v>
      </c>
      <c r="B1268">
        <v>0.18090089598858666</v>
      </c>
      <c r="C1268">
        <v>-2.6139124403087397</v>
      </c>
    </row>
    <row r="1269" spans="1:3" x14ac:dyDescent="0.2">
      <c r="A1269">
        <v>-0.29892705306410788</v>
      </c>
      <c r="B1269">
        <v>0.35014881824429073</v>
      </c>
      <c r="C1269">
        <v>-0.85371429943125898</v>
      </c>
    </row>
    <row r="1270" spans="1:3" x14ac:dyDescent="0.2">
      <c r="A1270">
        <v>-0.3143498320132494</v>
      </c>
      <c r="B1270">
        <v>0.21914904962031143</v>
      </c>
      <c r="C1270">
        <v>-1.4344111122447436</v>
      </c>
    </row>
    <row r="1271" spans="1:3" x14ac:dyDescent="0.2">
      <c r="A1271">
        <v>-0.11887547969818116</v>
      </c>
      <c r="B1271">
        <v>0.68256587424881054</v>
      </c>
      <c r="C1271">
        <v>-0.17415971730055813</v>
      </c>
    </row>
    <row r="1272" spans="1:3" x14ac:dyDescent="0.2">
      <c r="A1272">
        <v>0.43579732552170752</v>
      </c>
      <c r="B1272">
        <v>0.42260293268590182</v>
      </c>
      <c r="C1272">
        <v>1.0312217256798177</v>
      </c>
    </row>
    <row r="1273" spans="1:3" x14ac:dyDescent="0.2">
      <c r="A1273">
        <v>7.7465623617172241E-2</v>
      </c>
      <c r="B1273">
        <v>0.28144606918556941</v>
      </c>
      <c r="C1273">
        <v>0.2752414480022311</v>
      </c>
    </row>
    <row r="1274" spans="1:3" x14ac:dyDescent="0.2">
      <c r="A1274">
        <v>-0.49681113362312318</v>
      </c>
      <c r="B1274">
        <v>0.43074405023922174</v>
      </c>
      <c r="C1274">
        <v>-1.1533789807362629</v>
      </c>
    </row>
    <row r="1275" spans="1:3" x14ac:dyDescent="0.2">
      <c r="A1275">
        <v>-0.46424464583396913</v>
      </c>
      <c r="B1275">
        <v>0.25733593369262087</v>
      </c>
      <c r="C1275">
        <v>-1.8040412746573269</v>
      </c>
    </row>
    <row r="1276" spans="1:3" x14ac:dyDescent="0.2">
      <c r="A1276">
        <v>-0.19189757108688354</v>
      </c>
      <c r="B1276">
        <v>0.32871652104949661</v>
      </c>
      <c r="C1276">
        <v>-0.58377829770834211</v>
      </c>
    </row>
    <row r="1277" spans="1:3" x14ac:dyDescent="0.2">
      <c r="A1277">
        <v>5.4898923635482787E-2</v>
      </c>
      <c r="B1277">
        <v>0.36206710634918104</v>
      </c>
      <c r="C1277">
        <v>0.15162637719024863</v>
      </c>
    </row>
    <row r="1278" spans="1:3" x14ac:dyDescent="0.2">
      <c r="A1278">
        <v>0.89998696446418758</v>
      </c>
      <c r="B1278">
        <v>0.58198563062543451</v>
      </c>
      <c r="C1278">
        <v>1.5464075350056512</v>
      </c>
    </row>
    <row r="1279" spans="1:3" x14ac:dyDescent="0.2">
      <c r="A1279">
        <v>0.78275577127933504</v>
      </c>
      <c r="B1279">
        <v>0.16261727120417283</v>
      </c>
      <c r="C1279">
        <v>4.8134848499367093</v>
      </c>
    </row>
    <row r="1280" spans="1:3" x14ac:dyDescent="0.2">
      <c r="A1280">
        <v>-0.25071175396442413</v>
      </c>
      <c r="B1280">
        <v>0.22813523623386303</v>
      </c>
      <c r="C1280">
        <v>-1.0989611166747506</v>
      </c>
    </row>
    <row r="1281" spans="1:3" x14ac:dyDescent="0.2">
      <c r="A1281">
        <v>-0.27220937907695769</v>
      </c>
      <c r="B1281">
        <v>0.29931822457355145</v>
      </c>
      <c r="C1281">
        <v>-0.90943135676012832</v>
      </c>
    </row>
    <row r="1282" spans="1:3" x14ac:dyDescent="0.2">
      <c r="A1282">
        <v>-5.2923238277435301E-2</v>
      </c>
      <c r="B1282">
        <v>0.9011220939241753</v>
      </c>
      <c r="C1282">
        <v>-5.8730374756396232E-2</v>
      </c>
    </row>
    <row r="1283" spans="1:3" x14ac:dyDescent="0.2">
      <c r="A1283">
        <v>0.29761158823966982</v>
      </c>
      <c r="B1283">
        <v>0.26633828646710811</v>
      </c>
      <c r="C1283">
        <v>1.1174194750119932</v>
      </c>
    </row>
    <row r="1284" spans="1:3" x14ac:dyDescent="0.2">
      <c r="A1284">
        <v>0.61584546566009524</v>
      </c>
      <c r="B1284">
        <v>0.42576854730280722</v>
      </c>
      <c r="C1284">
        <v>1.4464325032025089</v>
      </c>
    </row>
    <row r="1285" spans="1:3" x14ac:dyDescent="0.2">
      <c r="A1285">
        <v>-0.5727566003799438</v>
      </c>
      <c r="B1285">
        <v>0.23684011831100474</v>
      </c>
      <c r="C1285">
        <v>-2.4183259342398782</v>
      </c>
    </row>
    <row r="1286" spans="1:3" x14ac:dyDescent="0.2">
      <c r="A1286">
        <v>-1.4905136667191983</v>
      </c>
      <c r="B1286">
        <v>0.40565203482934303</v>
      </c>
      <c r="C1286">
        <v>-3.6743650684416123</v>
      </c>
    </row>
    <row r="1287" spans="1:3" x14ac:dyDescent="0.2">
      <c r="A1287">
        <v>0.13456406444311142</v>
      </c>
      <c r="B1287">
        <v>0.36521348399006387</v>
      </c>
      <c r="C1287">
        <v>0.36845316600296285</v>
      </c>
    </row>
    <row r="1288" spans="1:3" x14ac:dyDescent="0.2">
      <c r="A1288">
        <v>0.74927951097488399</v>
      </c>
      <c r="B1288">
        <v>0.23649873264548588</v>
      </c>
      <c r="C1288">
        <v>3.1682178698947276</v>
      </c>
    </row>
    <row r="1289" spans="1:3" x14ac:dyDescent="0.2">
      <c r="A1289">
        <v>0.41782126426696775</v>
      </c>
      <c r="B1289">
        <v>0.4086995841853065</v>
      </c>
      <c r="C1289">
        <v>1.0223187897287545</v>
      </c>
    </row>
    <row r="1290" spans="1:3" x14ac:dyDescent="0.2">
      <c r="A1290">
        <v>-0.11540591567754746</v>
      </c>
      <c r="B1290">
        <v>0.25636501560002417</v>
      </c>
      <c r="C1290">
        <v>-0.45016249743530362</v>
      </c>
    </row>
    <row r="1291" spans="1:3" x14ac:dyDescent="0.2">
      <c r="A1291">
        <v>0.62654006779193883</v>
      </c>
      <c r="B1291">
        <v>0.51005434849021325</v>
      </c>
      <c r="C1291">
        <v>1.2283790338157674</v>
      </c>
    </row>
    <row r="1292" spans="1:3" x14ac:dyDescent="0.2">
      <c r="A1292">
        <v>-0.27569661736488343</v>
      </c>
      <c r="B1292">
        <v>0.17545512486655557</v>
      </c>
      <c r="C1292">
        <v>-1.571322681936864</v>
      </c>
    </row>
    <row r="1293" spans="1:3" x14ac:dyDescent="0.2">
      <c r="A1293">
        <v>-1.9792237132787705E-2</v>
      </c>
      <c r="B1293">
        <v>0.43299081139765161</v>
      </c>
      <c r="C1293">
        <v>-4.5710524592658945E-2</v>
      </c>
    </row>
    <row r="1294" spans="1:3" x14ac:dyDescent="0.2">
      <c r="A1294">
        <v>-0.15321986824274064</v>
      </c>
      <c r="B1294">
        <v>0.54396239184218642</v>
      </c>
      <c r="C1294">
        <v>-0.28167364240723569</v>
      </c>
    </row>
    <row r="1295" spans="1:3" x14ac:dyDescent="0.2">
      <c r="A1295">
        <v>0.13396924734115601</v>
      </c>
      <c r="B1295">
        <v>0.45790295914173634</v>
      </c>
      <c r="C1295">
        <v>0.29257126355387458</v>
      </c>
    </row>
    <row r="1296" spans="1:3" x14ac:dyDescent="0.2">
      <c r="A1296">
        <v>-0.56066454946994781</v>
      </c>
      <c r="B1296">
        <v>0.23177985787730268</v>
      </c>
      <c r="C1296">
        <v>-2.4189528572700518</v>
      </c>
    </row>
    <row r="1297" spans="1:3" x14ac:dyDescent="0.2">
      <c r="A1297">
        <v>-7.8901094198226926E-2</v>
      </c>
      <c r="B1297">
        <v>0.28871147464178598</v>
      </c>
      <c r="C1297">
        <v>-0.27328700494541192</v>
      </c>
    </row>
    <row r="1298" spans="1:3" x14ac:dyDescent="0.2">
      <c r="A1298">
        <v>0.54037957787513735</v>
      </c>
      <c r="B1298">
        <v>0.33234585140586054</v>
      </c>
      <c r="C1298">
        <v>1.6259555387535924</v>
      </c>
    </row>
    <row r="1299" spans="1:3" x14ac:dyDescent="0.2">
      <c r="A1299">
        <v>0.14122142195701598</v>
      </c>
      <c r="B1299">
        <v>0.38326709822957722</v>
      </c>
      <c r="C1299">
        <v>0.36846737590927847</v>
      </c>
    </row>
    <row r="1300" spans="1:3" x14ac:dyDescent="0.2">
      <c r="A1300">
        <v>-0.25517184287309647</v>
      </c>
      <c r="B1300">
        <v>0.39281504453837485</v>
      </c>
      <c r="C1300">
        <v>-0.6495979378105724</v>
      </c>
    </row>
    <row r="1301" spans="1:3" x14ac:dyDescent="0.2">
      <c r="A1301">
        <v>-0.40059955120086671</v>
      </c>
      <c r="B1301">
        <v>0.19270795189791007</v>
      </c>
      <c r="C1301">
        <v>-2.0787909749209019</v>
      </c>
    </row>
    <row r="1302" spans="1:3" x14ac:dyDescent="0.2">
      <c r="A1302">
        <v>0.1490614466369152</v>
      </c>
      <c r="B1302">
        <v>0.58206101625121376</v>
      </c>
      <c r="C1302">
        <v>0.25609247565994225</v>
      </c>
    </row>
    <row r="1303" spans="1:3" x14ac:dyDescent="0.2">
      <c r="A1303">
        <v>-7.9713219404220576E-2</v>
      </c>
      <c r="B1303">
        <v>0.33534301369802472</v>
      </c>
      <c r="C1303">
        <v>-0.23770651586021133</v>
      </c>
    </row>
    <row r="1304" spans="1:3" x14ac:dyDescent="0.2">
      <c r="A1304">
        <v>-0.18590559959411621</v>
      </c>
      <c r="B1304">
        <v>0.42405748724907355</v>
      </c>
      <c r="C1304">
        <v>-0.43839716355467406</v>
      </c>
    </row>
    <row r="1305" spans="1:3" x14ac:dyDescent="0.2">
      <c r="A1305">
        <v>0.77567436695098879</v>
      </c>
      <c r="B1305">
        <v>0.37715715430463698</v>
      </c>
      <c r="C1305">
        <v>2.0566343713699302</v>
      </c>
    </row>
    <row r="1306" spans="1:3" x14ac:dyDescent="0.2">
      <c r="A1306">
        <v>0.11140740513801575</v>
      </c>
      <c r="B1306">
        <v>0.35805256657808449</v>
      </c>
      <c r="C1306">
        <v>0.31114818196316407</v>
      </c>
    </row>
    <row r="1307" spans="1:3" x14ac:dyDescent="0.2">
      <c r="A1307">
        <v>-0.66991445869207378</v>
      </c>
      <c r="B1307">
        <v>0.29610076022406501</v>
      </c>
      <c r="C1307">
        <v>-2.2624543691989745</v>
      </c>
    </row>
    <row r="1308" spans="1:3" x14ac:dyDescent="0.2">
      <c r="A1308">
        <v>0.16772187650203704</v>
      </c>
      <c r="B1308">
        <v>0.308984502300161</v>
      </c>
      <c r="C1308">
        <v>0.54281646896032576</v>
      </c>
    </row>
    <row r="1309" spans="1:3" x14ac:dyDescent="0.2">
      <c r="A1309">
        <v>-0.40656459331512451</v>
      </c>
      <c r="B1309">
        <v>0.66898134891818872</v>
      </c>
      <c r="C1309">
        <v>-0.60773681354880982</v>
      </c>
    </row>
    <row r="1310" spans="1:3" x14ac:dyDescent="0.2">
      <c r="A1310">
        <v>-0.75003577470779415</v>
      </c>
      <c r="B1310">
        <v>0.43292579696865907</v>
      </c>
      <c r="C1310">
        <v>-1.7324811317771662</v>
      </c>
    </row>
    <row r="1311" spans="1:3" x14ac:dyDescent="0.2">
      <c r="A1311">
        <v>-0.13231818675994872</v>
      </c>
      <c r="B1311">
        <v>0.3707153745438051</v>
      </c>
      <c r="C1311">
        <v>-0.35692662308051515</v>
      </c>
    </row>
    <row r="1312" spans="1:3" x14ac:dyDescent="0.2">
      <c r="A1312">
        <v>0.3588643431663513</v>
      </c>
      <c r="B1312">
        <v>0.47324254053510029</v>
      </c>
      <c r="C1312">
        <v>0.75830956101406188</v>
      </c>
    </row>
    <row r="1313" spans="1:3" x14ac:dyDescent="0.2">
      <c r="A1313">
        <v>-0.27930920124053954</v>
      </c>
      <c r="B1313">
        <v>0.51039768557327192</v>
      </c>
      <c r="C1313">
        <v>-0.54723837731909608</v>
      </c>
    </row>
    <row r="1314" spans="1:3" x14ac:dyDescent="0.2">
      <c r="A1314">
        <v>-1.1000811755657196</v>
      </c>
      <c r="B1314">
        <v>0.75942401740908305</v>
      </c>
      <c r="C1314">
        <v>-1.4485730637264438</v>
      </c>
    </row>
    <row r="1315" spans="1:3" x14ac:dyDescent="0.2">
      <c r="A1315">
        <v>0.69403006285429003</v>
      </c>
      <c r="B1315">
        <v>0.30882986245118271</v>
      </c>
      <c r="C1315">
        <v>2.2472893564947807</v>
      </c>
    </row>
    <row r="1316" spans="1:3" x14ac:dyDescent="0.2">
      <c r="A1316">
        <v>-0.60986780524253847</v>
      </c>
      <c r="B1316">
        <v>0.30335709249359188</v>
      </c>
      <c r="C1316">
        <v>-2.0103957360265818</v>
      </c>
    </row>
    <row r="1317" spans="1:3" x14ac:dyDescent="0.2">
      <c r="A1317">
        <v>-0.45353523790836336</v>
      </c>
      <c r="B1317">
        <v>0.23084572154767194</v>
      </c>
      <c r="C1317">
        <v>-1.9646681552844107</v>
      </c>
    </row>
    <row r="1318" spans="1:3" x14ac:dyDescent="0.2">
      <c r="A1318">
        <v>-0.25756530165672303</v>
      </c>
      <c r="B1318">
        <v>0.46107104546424993</v>
      </c>
      <c r="C1318">
        <v>-0.55862389145989844</v>
      </c>
    </row>
    <row r="1319" spans="1:3" x14ac:dyDescent="0.2">
      <c r="A1319">
        <v>1.1827118813991546</v>
      </c>
      <c r="B1319">
        <v>0.24551101717026169</v>
      </c>
      <c r="C1319">
        <v>4.8173474861983276</v>
      </c>
    </row>
    <row r="1320" spans="1:3" x14ac:dyDescent="0.2">
      <c r="A1320">
        <v>-5.5852050334215163E-2</v>
      </c>
      <c r="B1320">
        <v>0.48161817980779342</v>
      </c>
      <c r="C1320">
        <v>-0.11596748768184971</v>
      </c>
    </row>
    <row r="1321" spans="1:3" x14ac:dyDescent="0.2">
      <c r="A1321">
        <v>-0.19060880541801453</v>
      </c>
      <c r="B1321">
        <v>0.62190675852640265</v>
      </c>
      <c r="C1321">
        <v>-0.30649096959431477</v>
      </c>
    </row>
    <row r="1322" spans="1:3" x14ac:dyDescent="0.2">
      <c r="A1322">
        <v>-0.24231009483337401</v>
      </c>
      <c r="B1322">
        <v>0.50723869266021848</v>
      </c>
      <c r="C1322">
        <v>-0.47770428072546328</v>
      </c>
    </row>
    <row r="1323" spans="1:3" x14ac:dyDescent="0.2">
      <c r="A1323">
        <v>-0.35169138312339782</v>
      </c>
      <c r="B1323">
        <v>0.34933789208264066</v>
      </c>
      <c r="C1323">
        <v>-1.0067370047569888</v>
      </c>
    </row>
    <row r="1324" spans="1:3" x14ac:dyDescent="0.2">
      <c r="A1324">
        <v>0.30169670581817626</v>
      </c>
      <c r="B1324">
        <v>0.33269838412359914</v>
      </c>
      <c r="C1324">
        <v>0.90681746655581708</v>
      </c>
    </row>
    <row r="1325" spans="1:3" x14ac:dyDescent="0.2">
      <c r="A1325">
        <v>-0.52144992053508754</v>
      </c>
      <c r="B1325">
        <v>0.28543504146403004</v>
      </c>
      <c r="C1325">
        <v>-1.8268602126091784</v>
      </c>
    </row>
    <row r="1326" spans="1:3" x14ac:dyDescent="0.2">
      <c r="A1326">
        <v>-0.73651779592037203</v>
      </c>
      <c r="B1326">
        <v>0.35071226646032849</v>
      </c>
      <c r="C1326">
        <v>-2.1000628331421214</v>
      </c>
    </row>
    <row r="1327" spans="1:3" x14ac:dyDescent="0.2">
      <c r="A1327">
        <v>-7.7222746610641477E-2</v>
      </c>
      <c r="B1327">
        <v>0.40113131011195458</v>
      </c>
      <c r="C1327">
        <v>-0.19251238849714533</v>
      </c>
    </row>
    <row r="1328" spans="1:3" x14ac:dyDescent="0.2">
      <c r="A1328">
        <v>-0.41449327915906908</v>
      </c>
      <c r="B1328">
        <v>0.43867941166334812</v>
      </c>
      <c r="C1328">
        <v>-0.94486604143884467</v>
      </c>
    </row>
    <row r="1329" spans="1:3" x14ac:dyDescent="0.2">
      <c r="A1329">
        <v>-7.5194001197814945E-3</v>
      </c>
      <c r="B1329">
        <v>0.25505462238417403</v>
      </c>
      <c r="C1329">
        <v>-2.9481528503551121E-2</v>
      </c>
    </row>
    <row r="1330" spans="1:3" x14ac:dyDescent="0.2">
      <c r="A1330">
        <v>0.35898849964141843</v>
      </c>
      <c r="B1330">
        <v>0.38017156353591752</v>
      </c>
      <c r="C1330">
        <v>0.9442802515330746</v>
      </c>
    </row>
    <row r="1331" spans="1:3" x14ac:dyDescent="0.2">
      <c r="A1331">
        <v>0.11652867421507836</v>
      </c>
      <c r="B1331">
        <v>0.43064507592632262</v>
      </c>
      <c r="C1331">
        <v>0.27059098252644315</v>
      </c>
    </row>
    <row r="1332" spans="1:3" x14ac:dyDescent="0.2">
      <c r="A1332">
        <v>-0.14536669254302978</v>
      </c>
      <c r="B1332">
        <v>0.32117234438647074</v>
      </c>
      <c r="C1332">
        <v>-0.45261273295719445</v>
      </c>
    </row>
    <row r="1333" spans="1:3" x14ac:dyDescent="0.2">
      <c r="A1333">
        <v>-1.5580246597528458E-2</v>
      </c>
      <c r="B1333">
        <v>0.22048326499219573</v>
      </c>
      <c r="C1333">
        <v>-7.0664077829580133E-2</v>
      </c>
    </row>
    <row r="1334" spans="1:3" x14ac:dyDescent="0.2">
      <c r="A1334">
        <v>-8.9834675192832947E-2</v>
      </c>
      <c r="B1334">
        <v>0.3900122678484908</v>
      </c>
      <c r="C1334">
        <v>-0.23033807548774668</v>
      </c>
    </row>
    <row r="1335" spans="1:3" x14ac:dyDescent="0.2">
      <c r="A1335">
        <v>0.11810030341148377</v>
      </c>
      <c r="B1335">
        <v>0.4063065563118054</v>
      </c>
      <c r="C1335">
        <v>0.29066797366875841</v>
      </c>
    </row>
    <row r="1336" spans="1:3" x14ac:dyDescent="0.2">
      <c r="A1336">
        <v>0.28446370959281919</v>
      </c>
      <c r="B1336">
        <v>0.20050050332985969</v>
      </c>
      <c r="C1336">
        <v>1.4187680572792618</v>
      </c>
    </row>
    <row r="1337" spans="1:3" x14ac:dyDescent="0.2">
      <c r="A1337">
        <v>0.53737667082459661</v>
      </c>
      <c r="B1337">
        <v>0.36396964575666979</v>
      </c>
      <c r="C1337">
        <v>1.4764326561008256</v>
      </c>
    </row>
    <row r="1338" spans="1:3" x14ac:dyDescent="0.2">
      <c r="A1338">
        <v>0.33670390299521386</v>
      </c>
      <c r="B1338">
        <v>0.35286617758136402</v>
      </c>
      <c r="C1338">
        <v>0.954197155712314</v>
      </c>
    </row>
    <row r="1339" spans="1:3" x14ac:dyDescent="0.2">
      <c r="A1339">
        <v>-0.13060972094535828</v>
      </c>
      <c r="B1339">
        <v>0.38214617761837943</v>
      </c>
      <c r="C1339">
        <v>-0.341779477579358</v>
      </c>
    </row>
    <row r="1340" spans="1:3" x14ac:dyDescent="0.2">
      <c r="A1340">
        <v>-0.23798891305923461</v>
      </c>
      <c r="B1340">
        <v>0.22199974510616743</v>
      </c>
      <c r="C1340">
        <v>-1.0720233617629635</v>
      </c>
    </row>
    <row r="1341" spans="1:3" x14ac:dyDescent="0.2">
      <c r="A1341">
        <v>-0.1493745744228363</v>
      </c>
      <c r="B1341">
        <v>0.637999927425003</v>
      </c>
      <c r="C1341">
        <v>-0.23412945362818291</v>
      </c>
    </row>
    <row r="1342" spans="1:3" x14ac:dyDescent="0.2">
      <c r="A1342">
        <v>-7.7810597419738767E-2</v>
      </c>
      <c r="B1342">
        <v>0.72358628324298491</v>
      </c>
      <c r="C1342">
        <v>-0.10753464959424815</v>
      </c>
    </row>
    <row r="1343" spans="1:3" x14ac:dyDescent="0.2">
      <c r="A1343">
        <v>0.26952488273382186</v>
      </c>
      <c r="B1343">
        <v>0.21358509805248649</v>
      </c>
      <c r="C1343">
        <v>1.2619086499545427</v>
      </c>
    </row>
    <row r="1344" spans="1:3" x14ac:dyDescent="0.2">
      <c r="A1344">
        <v>-0.44784718751907349</v>
      </c>
      <c r="B1344">
        <v>0.3882403511158195</v>
      </c>
      <c r="C1344">
        <v>-1.1535307606021408</v>
      </c>
    </row>
    <row r="1345" spans="1:3" x14ac:dyDescent="0.2">
      <c r="A1345">
        <v>-0.24287112057209015</v>
      </c>
      <c r="B1345">
        <v>0.40397562149589433</v>
      </c>
      <c r="C1345">
        <v>-0.60120241828641752</v>
      </c>
    </row>
    <row r="1346" spans="1:3" x14ac:dyDescent="0.2">
      <c r="A1346">
        <v>-0.13405415713787078</v>
      </c>
      <c r="B1346">
        <v>0.4015321275149864</v>
      </c>
      <c r="C1346">
        <v>-0.33385661557770985</v>
      </c>
    </row>
    <row r="1347" spans="1:3" x14ac:dyDescent="0.2">
      <c r="A1347">
        <v>-0.32833810150623322</v>
      </c>
      <c r="B1347">
        <v>0.46550293577792018</v>
      </c>
      <c r="C1347">
        <v>-0.70534056022124669</v>
      </c>
    </row>
    <row r="1348" spans="1:3" x14ac:dyDescent="0.2">
      <c r="A1348">
        <v>-0.2652789890766144</v>
      </c>
      <c r="B1348">
        <v>0.37308563118099464</v>
      </c>
      <c r="C1348">
        <v>-0.71104048750652604</v>
      </c>
    </row>
    <row r="1349" spans="1:3" x14ac:dyDescent="0.2">
      <c r="A1349">
        <v>-0.61919821500778194</v>
      </c>
      <c r="B1349">
        <v>0.57776661258850592</v>
      </c>
      <c r="C1349">
        <v>-1.0717099283976526</v>
      </c>
    </row>
    <row r="1350" spans="1:3" x14ac:dyDescent="0.2">
      <c r="A1350">
        <v>9.1367772221565252E-2</v>
      </c>
      <c r="B1350">
        <v>0.24155868195524979</v>
      </c>
      <c r="C1350">
        <v>0.37824255159039027</v>
      </c>
    </row>
    <row r="1351" spans="1:3" x14ac:dyDescent="0.2">
      <c r="A1351">
        <v>0.72342527806758883</v>
      </c>
      <c r="B1351">
        <v>0.39271485282396118</v>
      </c>
      <c r="C1351">
        <v>1.8421133625721875</v>
      </c>
    </row>
    <row r="1352" spans="1:3" x14ac:dyDescent="0.2">
      <c r="A1352">
        <v>-0.44915196895599363</v>
      </c>
      <c r="B1352">
        <v>0.46459653995998679</v>
      </c>
      <c r="C1352">
        <v>-0.96675702534219621</v>
      </c>
    </row>
    <row r="1353" spans="1:3" x14ac:dyDescent="0.2">
      <c r="A1353">
        <v>0.1092164695262909</v>
      </c>
      <c r="B1353">
        <v>0.49298347706029283</v>
      </c>
      <c r="C1353">
        <v>0.22154184594088031</v>
      </c>
    </row>
    <row r="1354" spans="1:3" x14ac:dyDescent="0.2">
      <c r="A1354">
        <v>-0.22921963930130004</v>
      </c>
      <c r="B1354">
        <v>0.21241957869925762</v>
      </c>
      <c r="C1354">
        <v>-1.0790890402142632</v>
      </c>
    </row>
    <row r="1355" spans="1:3" x14ac:dyDescent="0.2">
      <c r="A1355">
        <v>-0.68516995906829836</v>
      </c>
      <c r="B1355">
        <v>0.65061423659559614</v>
      </c>
      <c r="C1355">
        <v>-1.0531124597788062</v>
      </c>
    </row>
    <row r="1356" spans="1:3" x14ac:dyDescent="0.2">
      <c r="A1356">
        <v>-0.96134082078933714</v>
      </c>
      <c r="B1356">
        <v>0.18381753549735116</v>
      </c>
      <c r="C1356">
        <v>-5.2298645947366111</v>
      </c>
    </row>
    <row r="1357" spans="1:3" x14ac:dyDescent="0.2">
      <c r="A1357">
        <v>0.12946241497993469</v>
      </c>
      <c r="B1357">
        <v>0.57346134148047678</v>
      </c>
      <c r="C1357">
        <v>0.2257561331784074</v>
      </c>
    </row>
    <row r="1358" spans="1:3" x14ac:dyDescent="0.2">
      <c r="A1358">
        <v>0.65128998160362239</v>
      </c>
      <c r="B1358">
        <v>0.1556651741292723</v>
      </c>
      <c r="C1358">
        <v>4.1839158003495243</v>
      </c>
    </row>
    <row r="1359" spans="1:3" x14ac:dyDescent="0.2">
      <c r="A1359">
        <v>-0.12181883007287979</v>
      </c>
      <c r="B1359">
        <v>0.64527175891181254</v>
      </c>
      <c r="C1359">
        <v>-0.18878686133469608</v>
      </c>
    </row>
    <row r="1360" spans="1:3" x14ac:dyDescent="0.2">
      <c r="A1360">
        <v>0.71918954253196721</v>
      </c>
      <c r="B1360">
        <v>0.10465620430769132</v>
      </c>
      <c r="C1360">
        <v>6.8719245771376887</v>
      </c>
    </row>
    <row r="1361" spans="1:3" x14ac:dyDescent="0.2">
      <c r="A1361">
        <v>0.2123105525970459</v>
      </c>
      <c r="B1361">
        <v>0.41083571573353622</v>
      </c>
      <c r="C1361">
        <v>0.51677725296587484</v>
      </c>
    </row>
    <row r="1362" spans="1:3" x14ac:dyDescent="0.2">
      <c r="A1362">
        <v>-0.18993396759033204</v>
      </c>
      <c r="B1362">
        <v>0.14129020572825207</v>
      </c>
      <c r="C1362">
        <v>-1.3442826175484384</v>
      </c>
    </row>
    <row r="1363" spans="1:3" x14ac:dyDescent="0.2">
      <c r="A1363">
        <v>0.4547873020172119</v>
      </c>
      <c r="B1363">
        <v>0.66031002576987863</v>
      </c>
      <c r="C1363">
        <v>0.68874813991648764</v>
      </c>
    </row>
    <row r="1364" spans="1:3" x14ac:dyDescent="0.2">
      <c r="A1364">
        <v>-0.28164596408605574</v>
      </c>
      <c r="B1364">
        <v>0.37408884023893263</v>
      </c>
      <c r="C1364">
        <v>-0.75288523417637077</v>
      </c>
    </row>
    <row r="1365" spans="1:3" x14ac:dyDescent="0.2">
      <c r="A1365">
        <v>-7.1901544742286203E-2</v>
      </c>
      <c r="B1365">
        <v>0.3523077513811318</v>
      </c>
      <c r="C1365">
        <v>-0.20408731985150685</v>
      </c>
    </row>
    <row r="1366" spans="1:3" x14ac:dyDescent="0.2">
      <c r="A1366">
        <v>-0.17640258520841598</v>
      </c>
      <c r="B1366">
        <v>0.60661810947957828</v>
      </c>
      <c r="C1366">
        <v>-0.29079676727711434</v>
      </c>
    </row>
    <row r="1367" spans="1:3" x14ac:dyDescent="0.2">
      <c r="A1367">
        <v>0.68248780816793442</v>
      </c>
      <c r="B1367">
        <v>0.34401107178537604</v>
      </c>
      <c r="C1367">
        <v>1.9839123334778292</v>
      </c>
    </row>
    <row r="1368" spans="1:3" x14ac:dyDescent="0.2">
      <c r="A1368">
        <v>0.11780881807208061</v>
      </c>
      <c r="B1368">
        <v>0.73862866582799303</v>
      </c>
      <c r="C1368">
        <v>0.15949667745431798</v>
      </c>
    </row>
    <row r="1369" spans="1:3" x14ac:dyDescent="0.2">
      <c r="A1369">
        <v>0.49788987636566162</v>
      </c>
      <c r="B1369">
        <v>0.38387360412199922</v>
      </c>
      <c r="C1369">
        <v>1.2970151399298264</v>
      </c>
    </row>
    <row r="1370" spans="1:3" x14ac:dyDescent="0.2">
      <c r="A1370">
        <v>0.45912320613861085</v>
      </c>
      <c r="B1370">
        <v>0.47452858144122873</v>
      </c>
      <c r="C1370">
        <v>0.96753541113197228</v>
      </c>
    </row>
    <row r="1371" spans="1:3" x14ac:dyDescent="0.2">
      <c r="A1371">
        <v>-0.20519828721880912</v>
      </c>
      <c r="B1371">
        <v>0.4125511538548513</v>
      </c>
      <c r="C1371">
        <v>-0.49738871240923604</v>
      </c>
    </row>
    <row r="1372" spans="1:3" x14ac:dyDescent="0.2">
      <c r="A1372">
        <v>0.67599149197340014</v>
      </c>
      <c r="B1372">
        <v>0.20201480321812743</v>
      </c>
      <c r="C1372">
        <v>3.3462473106165977</v>
      </c>
    </row>
    <row r="1373" spans="1:3" x14ac:dyDescent="0.2">
      <c r="A1373">
        <v>-0.21963583678007126</v>
      </c>
      <c r="B1373">
        <v>0.12936090840686376</v>
      </c>
      <c r="C1373">
        <v>-1.6978532346825852</v>
      </c>
    </row>
    <row r="1374" spans="1:3" x14ac:dyDescent="0.2">
      <c r="A1374">
        <v>-0.47149304747581483</v>
      </c>
      <c r="B1374">
        <v>0.26494348497342846</v>
      </c>
      <c r="C1374">
        <v>-1.7795985718354295</v>
      </c>
    </row>
    <row r="1375" spans="1:3" x14ac:dyDescent="0.2">
      <c r="A1375">
        <v>-0.16300452686846256</v>
      </c>
      <c r="B1375">
        <v>0.26599614184738923</v>
      </c>
      <c r="C1375">
        <v>-0.61280786155907341</v>
      </c>
    </row>
    <row r="1376" spans="1:3" x14ac:dyDescent="0.2">
      <c r="A1376">
        <v>0.26244890987873076</v>
      </c>
      <c r="B1376">
        <v>0.39521199142948554</v>
      </c>
      <c r="C1376">
        <v>0.66407122144611697</v>
      </c>
    </row>
    <row r="1377" spans="1:3" x14ac:dyDescent="0.2">
      <c r="A1377">
        <v>0.1481603890657425</v>
      </c>
      <c r="B1377">
        <v>0.34606439002550421</v>
      </c>
      <c r="C1377">
        <v>0.42812954275596921</v>
      </c>
    </row>
    <row r="1378" spans="1:3" x14ac:dyDescent="0.2">
      <c r="A1378">
        <v>7.2446346282958984E-2</v>
      </c>
      <c r="B1378">
        <v>0.40089845367629295</v>
      </c>
      <c r="C1378">
        <v>0.1807099668721997</v>
      </c>
    </row>
    <row r="1379" spans="1:3" x14ac:dyDescent="0.2">
      <c r="A1379">
        <v>0.13105693608522415</v>
      </c>
      <c r="B1379">
        <v>0.37555920003604959</v>
      </c>
      <c r="C1379">
        <v>0.34896478657065011</v>
      </c>
    </row>
    <row r="1380" spans="1:3" x14ac:dyDescent="0.2">
      <c r="A1380">
        <v>1.1165769279003144</v>
      </c>
      <c r="B1380">
        <v>0.23018132533689822</v>
      </c>
      <c r="C1380">
        <v>4.8508580192857478</v>
      </c>
    </row>
    <row r="1381" spans="1:3" x14ac:dyDescent="0.2">
      <c r="A1381">
        <v>-0.35491353869438169</v>
      </c>
      <c r="B1381">
        <v>0.35075920101376151</v>
      </c>
      <c r="C1381">
        <v>-1.0118438452038132</v>
      </c>
    </row>
    <row r="1382" spans="1:3" x14ac:dyDescent="0.2">
      <c r="A1382">
        <v>-0.17961926236748696</v>
      </c>
      <c r="B1382">
        <v>0.60702026663275443</v>
      </c>
      <c r="C1382">
        <v>-0.29590323789989059</v>
      </c>
    </row>
    <row r="1383" spans="1:3" x14ac:dyDescent="0.2">
      <c r="A1383">
        <v>-0.59967362880706787</v>
      </c>
      <c r="B1383">
        <v>0.75468983286909908</v>
      </c>
      <c r="C1383">
        <v>-0.79459614094348241</v>
      </c>
    </row>
    <row r="1384" spans="1:3" x14ac:dyDescent="0.2">
      <c r="A1384">
        <v>0.42540813386440279</v>
      </c>
      <c r="B1384">
        <v>0.48555936451831738</v>
      </c>
      <c r="C1384">
        <v>0.87611971872155003</v>
      </c>
    </row>
    <row r="1385" spans="1:3" x14ac:dyDescent="0.2">
      <c r="A1385">
        <v>1.0462271571159363</v>
      </c>
      <c r="B1385">
        <v>0.22644747154276099</v>
      </c>
      <c r="C1385">
        <v>4.6201759286076776</v>
      </c>
    </row>
    <row r="1386" spans="1:3" x14ac:dyDescent="0.2">
      <c r="A1386">
        <v>0.30878831930458545</v>
      </c>
      <c r="B1386">
        <v>0.68504186592606797</v>
      </c>
      <c r="C1386">
        <v>0.45075831808783334</v>
      </c>
    </row>
    <row r="1387" spans="1:3" x14ac:dyDescent="0.2">
      <c r="A1387">
        <v>6.1431068927049635E-3</v>
      </c>
      <c r="B1387">
        <v>0.57596148401040059</v>
      </c>
      <c r="C1387">
        <v>1.0665829336244353E-2</v>
      </c>
    </row>
    <row r="1388" spans="1:3" x14ac:dyDescent="0.2">
      <c r="A1388">
        <v>0.11994499564170838</v>
      </c>
      <c r="B1388">
        <v>0.43127487186878177</v>
      </c>
      <c r="C1388">
        <v>0.27811728311915757</v>
      </c>
    </row>
    <row r="1389" spans="1:3" x14ac:dyDescent="0.2">
      <c r="A1389">
        <v>-0.13909365534782409</v>
      </c>
      <c r="B1389">
        <v>0.33679882969435931</v>
      </c>
      <c r="C1389">
        <v>-0.41298734759277467</v>
      </c>
    </row>
    <row r="1390" spans="1:3" x14ac:dyDescent="0.2">
      <c r="A1390">
        <v>0.46105731427669527</v>
      </c>
      <c r="B1390">
        <v>0.33032081587447554</v>
      </c>
      <c r="C1390">
        <v>1.3957864358505963</v>
      </c>
    </row>
    <row r="1391" spans="1:3" x14ac:dyDescent="0.2">
      <c r="A1391">
        <v>-0.14152923002839088</v>
      </c>
      <c r="B1391">
        <v>0.1965490694963892</v>
      </c>
      <c r="C1391">
        <v>-0.72007072020756069</v>
      </c>
    </row>
    <row r="1392" spans="1:3" x14ac:dyDescent="0.2">
      <c r="A1392">
        <v>-1.8804437667131423E-2</v>
      </c>
      <c r="B1392">
        <v>0.15097087434051501</v>
      </c>
      <c r="C1392">
        <v>-0.12455672492641189</v>
      </c>
    </row>
    <row r="1393" spans="1:3" x14ac:dyDescent="0.2">
      <c r="A1393">
        <v>-0.27442657947540283</v>
      </c>
      <c r="B1393">
        <v>0.431851476107666</v>
      </c>
      <c r="C1393">
        <v>-0.63546518805225716</v>
      </c>
    </row>
    <row r="1394" spans="1:3" x14ac:dyDescent="0.2">
      <c r="A1394">
        <v>-0.2139156587421894</v>
      </c>
      <c r="B1394">
        <v>0.33480339179077645</v>
      </c>
      <c r="C1394">
        <v>-0.63892918646376329</v>
      </c>
    </row>
    <row r="1395" spans="1:3" x14ac:dyDescent="0.2">
      <c r="A1395">
        <v>8.5911870002746582E-2</v>
      </c>
      <c r="B1395">
        <v>0.51423783923818756</v>
      </c>
      <c r="C1395">
        <v>0.16706641061268429</v>
      </c>
    </row>
    <row r="1396" spans="1:3" x14ac:dyDescent="0.2">
      <c r="A1396">
        <v>0.45084274858236312</v>
      </c>
      <c r="B1396">
        <v>0.34669834334437172</v>
      </c>
      <c r="C1396">
        <v>1.3003891055070484</v>
      </c>
    </row>
    <row r="1397" spans="1:3" x14ac:dyDescent="0.2">
      <c r="A1397">
        <v>-0.68353547453880314</v>
      </c>
      <c r="B1397">
        <v>0.33301854969164613</v>
      </c>
      <c r="C1397">
        <v>-2.0525447461461628</v>
      </c>
    </row>
    <row r="1398" spans="1:3" x14ac:dyDescent="0.2">
      <c r="A1398">
        <v>0.63976534008979802</v>
      </c>
      <c r="B1398">
        <v>0.50629427902638935</v>
      </c>
      <c r="C1398">
        <v>1.263623482611882</v>
      </c>
    </row>
    <row r="1399" spans="1:3" x14ac:dyDescent="0.2">
      <c r="A1399">
        <v>1.0954491019248962</v>
      </c>
      <c r="B1399">
        <v>0.36568483937666363</v>
      </c>
      <c r="C1399">
        <v>2.9956098365799599</v>
      </c>
    </row>
    <row r="1400" spans="1:3" x14ac:dyDescent="0.2">
      <c r="A1400">
        <v>0.23097307682037355</v>
      </c>
      <c r="B1400">
        <v>0.45365831898706516</v>
      </c>
      <c r="C1400">
        <v>0.50913444580073741</v>
      </c>
    </row>
    <row r="1401" spans="1:3" x14ac:dyDescent="0.2">
      <c r="A1401">
        <v>-0.3046113461256027</v>
      </c>
      <c r="B1401">
        <v>0.51143581709224561</v>
      </c>
      <c r="C1401">
        <v>-0.59560033917347088</v>
      </c>
    </row>
    <row r="1402" spans="1:3" x14ac:dyDescent="0.2">
      <c r="A1402">
        <v>0.19292142093181611</v>
      </c>
      <c r="B1402">
        <v>0.50359770087108824</v>
      </c>
      <c r="C1402">
        <v>0.38308638144716323</v>
      </c>
    </row>
    <row r="1403" spans="1:3" x14ac:dyDescent="0.2">
      <c r="A1403">
        <v>0.44520828127861023</v>
      </c>
      <c r="B1403">
        <v>0.34608153721340973</v>
      </c>
      <c r="C1403">
        <v>1.2864259817595367</v>
      </c>
    </row>
    <row r="1404" spans="1:3" x14ac:dyDescent="0.2">
      <c r="A1404">
        <v>6.5789729356765751E-3</v>
      </c>
      <c r="B1404">
        <v>0.28891273811164092</v>
      </c>
      <c r="C1404">
        <v>2.277148795403526E-2</v>
      </c>
    </row>
    <row r="1405" spans="1:3" x14ac:dyDescent="0.2">
      <c r="A1405">
        <v>-0.27653281092643739</v>
      </c>
      <c r="B1405">
        <v>0.45659240458672479</v>
      </c>
      <c r="C1405">
        <v>-0.60564478985745585</v>
      </c>
    </row>
    <row r="1406" spans="1:3" x14ac:dyDescent="0.2">
      <c r="A1406">
        <v>-0.86353667974472048</v>
      </c>
      <c r="B1406">
        <v>0.44549979036366555</v>
      </c>
      <c r="C1406">
        <v>-1.9383548509412487</v>
      </c>
    </row>
    <row r="1407" spans="1:3" x14ac:dyDescent="0.2">
      <c r="A1407">
        <v>-1.0451711475849152</v>
      </c>
      <c r="B1407">
        <v>0.66694057132924645</v>
      </c>
      <c r="C1407">
        <v>-1.567112862097797</v>
      </c>
    </row>
    <row r="1408" spans="1:3" x14ac:dyDescent="0.2">
      <c r="A1408">
        <v>0.46452867984771729</v>
      </c>
      <c r="B1408">
        <v>0.30975192618848962</v>
      </c>
      <c r="C1408">
        <v>1.4996797132588071</v>
      </c>
    </row>
    <row r="1409" spans="1:3" x14ac:dyDescent="0.2">
      <c r="A1409">
        <v>0.13049198389053346</v>
      </c>
      <c r="B1409">
        <v>0.40518823085500133</v>
      </c>
      <c r="C1409">
        <v>0.32205274969408149</v>
      </c>
    </row>
    <row r="1410" spans="1:3" x14ac:dyDescent="0.2">
      <c r="A1410">
        <v>-0.16017113327980043</v>
      </c>
      <c r="B1410">
        <v>0.40084026358767938</v>
      </c>
      <c r="C1410">
        <v>-0.39958843417127121</v>
      </c>
    </row>
    <row r="1411" spans="1:3" x14ac:dyDescent="0.2">
      <c r="A1411">
        <v>-0.22571943374350667</v>
      </c>
      <c r="B1411">
        <v>0.1613890816323392</v>
      </c>
      <c r="C1411">
        <v>-1.3986041153497519</v>
      </c>
    </row>
    <row r="1412" spans="1:3" x14ac:dyDescent="0.2">
      <c r="A1412">
        <v>-0.68339927345514295</v>
      </c>
      <c r="B1412">
        <v>0.43407794079320122</v>
      </c>
      <c r="C1412">
        <v>-1.5743699673066796</v>
      </c>
    </row>
    <row r="1413" spans="1:3" x14ac:dyDescent="0.2">
      <c r="A1413">
        <v>0.12392159476876259</v>
      </c>
      <c r="B1413">
        <v>0.6312608462466629</v>
      </c>
      <c r="C1413">
        <v>0.1963080642583378</v>
      </c>
    </row>
    <row r="1414" spans="1:3" x14ac:dyDescent="0.2">
      <c r="A1414">
        <v>-0.14573632478713988</v>
      </c>
      <c r="B1414">
        <v>0.46996489768700961</v>
      </c>
      <c r="C1414">
        <v>-0.31010044687252014</v>
      </c>
    </row>
    <row r="1415" spans="1:3" x14ac:dyDescent="0.2">
      <c r="A1415">
        <v>-0.49996804706752301</v>
      </c>
      <c r="B1415">
        <v>0.27794240314362473</v>
      </c>
      <c r="C1415">
        <v>-1.7988188970546108</v>
      </c>
    </row>
    <row r="1416" spans="1:3" x14ac:dyDescent="0.2">
      <c r="A1416">
        <v>-0.73146501183509827</v>
      </c>
      <c r="B1416">
        <v>0.45982278834738233</v>
      </c>
      <c r="C1416">
        <v>-1.5907541565393197</v>
      </c>
    </row>
    <row r="1417" spans="1:3" x14ac:dyDescent="0.2">
      <c r="A1417">
        <v>3.8308751583099362E-2</v>
      </c>
      <c r="B1417">
        <v>0.35145176856999211</v>
      </c>
      <c r="C1417">
        <v>0.10900144773484081</v>
      </c>
    </row>
    <row r="1418" spans="1:3" x14ac:dyDescent="0.2">
      <c r="A1418">
        <v>-4.5975053310394288E-2</v>
      </c>
      <c r="B1418">
        <v>0.64713220333118782</v>
      </c>
      <c r="C1418">
        <v>-7.1044298326883415E-2</v>
      </c>
    </row>
    <row r="1419" spans="1:3" x14ac:dyDescent="0.2">
      <c r="A1419">
        <v>-0.24091005325317383</v>
      </c>
      <c r="B1419">
        <v>0.47704558849624662</v>
      </c>
      <c r="C1419">
        <v>-0.50500425758589595</v>
      </c>
    </row>
    <row r="1420" spans="1:3" x14ac:dyDescent="0.2">
      <c r="A1420">
        <v>-0.24872346296906472</v>
      </c>
      <c r="B1420">
        <v>0.54668097296937468</v>
      </c>
      <c r="C1420">
        <v>-0.45497003785971957</v>
      </c>
    </row>
    <row r="1421" spans="1:3" x14ac:dyDescent="0.2">
      <c r="A1421">
        <v>-0.27501123100519181</v>
      </c>
      <c r="B1421">
        <v>0.40638460803662052</v>
      </c>
      <c r="C1421">
        <v>-0.67672649398278817</v>
      </c>
    </row>
    <row r="1422" spans="1:3" x14ac:dyDescent="0.2">
      <c r="A1422">
        <v>-0.36335766017436982</v>
      </c>
      <c r="B1422">
        <v>0.48353557364569433</v>
      </c>
      <c r="C1422">
        <v>-0.75146003723113119</v>
      </c>
    </row>
    <row r="1423" spans="1:3" x14ac:dyDescent="0.2">
      <c r="A1423">
        <v>-0.13428571820259094</v>
      </c>
      <c r="B1423">
        <v>0.32290060720651359</v>
      </c>
      <c r="C1423">
        <v>-0.41587322911631275</v>
      </c>
    </row>
    <row r="1424" spans="1:3" x14ac:dyDescent="0.2">
      <c r="A1424">
        <v>-0.23693842291831971</v>
      </c>
      <c r="B1424">
        <v>0.67404054495130894</v>
      </c>
      <c r="C1424">
        <v>-0.35151954091342619</v>
      </c>
    </row>
    <row r="1425" spans="1:3" x14ac:dyDescent="0.2">
      <c r="A1425">
        <v>0.5374957293272018</v>
      </c>
      <c r="B1425">
        <v>0.61474791701166165</v>
      </c>
      <c r="C1425">
        <v>0.87433517780753311</v>
      </c>
    </row>
    <row r="1426" spans="1:3" x14ac:dyDescent="0.2">
      <c r="A1426">
        <v>0.10574270784854889</v>
      </c>
      <c r="B1426">
        <v>0.2530554318813461</v>
      </c>
      <c r="C1426">
        <v>0.41786381372018944</v>
      </c>
    </row>
    <row r="1427" spans="1:3" x14ac:dyDescent="0.2">
      <c r="A1427">
        <v>-0.60143938511610029</v>
      </c>
      <c r="B1427">
        <v>0.39165141436810708</v>
      </c>
      <c r="C1427">
        <v>-1.5356497207764881</v>
      </c>
    </row>
    <row r="1428" spans="1:3" x14ac:dyDescent="0.2">
      <c r="A1428">
        <v>0.69498935043811794</v>
      </c>
      <c r="B1428">
        <v>0.48804189614384103</v>
      </c>
      <c r="C1428">
        <v>1.4240362475628181</v>
      </c>
    </row>
    <row r="1429" spans="1:3" x14ac:dyDescent="0.2">
      <c r="A1429">
        <v>-0.38154311776161193</v>
      </c>
      <c r="B1429">
        <v>0.49169044232870535</v>
      </c>
      <c r="C1429">
        <v>-0.77598237613604526</v>
      </c>
    </row>
    <row r="1430" spans="1:3" x14ac:dyDescent="0.2">
      <c r="A1430">
        <v>0.16542713195085526</v>
      </c>
      <c r="B1430">
        <v>0.2434761152060943</v>
      </c>
      <c r="C1430">
        <v>0.679438850955983</v>
      </c>
    </row>
    <row r="1431" spans="1:3" x14ac:dyDescent="0.2">
      <c r="A1431">
        <v>-0.5212085515260696</v>
      </c>
      <c r="B1431">
        <v>0.36035389139411561</v>
      </c>
      <c r="C1431">
        <v>-1.4463796949982948</v>
      </c>
    </row>
    <row r="1432" spans="1:3" x14ac:dyDescent="0.2">
      <c r="A1432">
        <v>-0.17619885802268981</v>
      </c>
      <c r="B1432">
        <v>0.46575085486002604</v>
      </c>
      <c r="C1432">
        <v>-0.37831140014899928</v>
      </c>
    </row>
    <row r="1433" spans="1:3" x14ac:dyDescent="0.2">
      <c r="A1433">
        <v>0.14267982840538024</v>
      </c>
      <c r="B1433">
        <v>0.36861819328518947</v>
      </c>
      <c r="C1433">
        <v>0.38706670209029237</v>
      </c>
    </row>
    <row r="1434" spans="1:3" x14ac:dyDescent="0.2">
      <c r="A1434">
        <v>-0.5858828663825989</v>
      </c>
      <c r="B1434">
        <v>0.34132592191904243</v>
      </c>
      <c r="C1434">
        <v>-1.7164909804933064</v>
      </c>
    </row>
    <row r="1435" spans="1:3" x14ac:dyDescent="0.2">
      <c r="A1435">
        <v>0.31953853070735933</v>
      </c>
      <c r="B1435">
        <v>0.35023038078737379</v>
      </c>
      <c r="C1435">
        <v>0.91236668272177224</v>
      </c>
    </row>
    <row r="1436" spans="1:3" x14ac:dyDescent="0.2">
      <c r="A1436">
        <v>-0.14085950255393981</v>
      </c>
      <c r="B1436">
        <v>0.17746952719368433</v>
      </c>
      <c r="C1436">
        <v>-0.79371092480688499</v>
      </c>
    </row>
    <row r="1437" spans="1:3" x14ac:dyDescent="0.2">
      <c r="A1437">
        <v>-1.2014561325311661</v>
      </c>
      <c r="B1437">
        <v>0.43082348142010429</v>
      </c>
      <c r="C1437">
        <v>-2.7887433817926071</v>
      </c>
    </row>
    <row r="1438" spans="1:3" x14ac:dyDescent="0.2">
      <c r="A1438">
        <v>0.52410149574279785</v>
      </c>
      <c r="B1438">
        <v>0.67510446511238331</v>
      </c>
      <c r="C1438">
        <v>0.77632651363896954</v>
      </c>
    </row>
    <row r="1439" spans="1:3" x14ac:dyDescent="0.2">
      <c r="A1439">
        <v>0.43703257441520693</v>
      </c>
      <c r="B1439">
        <v>0.4005324208383455</v>
      </c>
      <c r="C1439">
        <v>1.0911290863807324</v>
      </c>
    </row>
    <row r="1440" spans="1:3" x14ac:dyDescent="0.2">
      <c r="A1440">
        <v>-3.9241884648799893E-2</v>
      </c>
      <c r="B1440">
        <v>0.22020965910209167</v>
      </c>
      <c r="C1440">
        <v>-0.17820237681130469</v>
      </c>
    </row>
    <row r="1441" spans="1:3" x14ac:dyDescent="0.2">
      <c r="A1441">
        <v>-0.80213938355445857</v>
      </c>
      <c r="B1441">
        <v>0.38620443526729714</v>
      </c>
      <c r="C1441">
        <v>-2.0769812832400212</v>
      </c>
    </row>
    <row r="1442" spans="1:3" x14ac:dyDescent="0.2">
      <c r="A1442">
        <v>-0.75242407619953156</v>
      </c>
      <c r="B1442">
        <v>0.47412879885356479</v>
      </c>
      <c r="C1442">
        <v>-1.5869613447208437</v>
      </c>
    </row>
    <row r="1443" spans="1:3" x14ac:dyDescent="0.2">
      <c r="A1443">
        <v>-0.9125346422195435</v>
      </c>
      <c r="B1443">
        <v>0.42871475418663824</v>
      </c>
      <c r="C1443">
        <v>-2.1285356599187097</v>
      </c>
    </row>
    <row r="1444" spans="1:3" x14ac:dyDescent="0.2">
      <c r="A1444">
        <v>0.26388714909553529</v>
      </c>
      <c r="B1444">
        <v>0.27318948053410247</v>
      </c>
      <c r="C1444">
        <v>0.96594915946111637</v>
      </c>
    </row>
    <row r="1445" spans="1:3" x14ac:dyDescent="0.2">
      <c r="A1445">
        <v>6.3292449712753301E-2</v>
      </c>
      <c r="B1445">
        <v>0.25098401329712922</v>
      </c>
      <c r="C1445">
        <v>0.25217721591623482</v>
      </c>
    </row>
    <row r="1446" spans="1:3" x14ac:dyDescent="0.2">
      <c r="A1446">
        <v>-0.20404523611068726</v>
      </c>
      <c r="B1446">
        <v>0.51780196725796113</v>
      </c>
      <c r="C1446">
        <v>-0.39406037252275444</v>
      </c>
    </row>
    <row r="1447" spans="1:3" x14ac:dyDescent="0.2">
      <c r="A1447">
        <v>-0.1725964903831482</v>
      </c>
      <c r="B1447">
        <v>0.47317426931528062</v>
      </c>
      <c r="C1447">
        <v>-0.36476305153470945</v>
      </c>
    </row>
    <row r="1448" spans="1:3" x14ac:dyDescent="0.2">
      <c r="A1448">
        <v>-0.85674669444561002</v>
      </c>
      <c r="B1448">
        <v>0.19236420933557496</v>
      </c>
      <c r="C1448">
        <v>-4.4537738979865793</v>
      </c>
    </row>
    <row r="1449" spans="1:3" x14ac:dyDescent="0.2">
      <c r="A1449">
        <v>0.4887723594903946</v>
      </c>
      <c r="B1449">
        <v>0.19922032583141586</v>
      </c>
      <c r="C1449">
        <v>2.4534261624690012</v>
      </c>
    </row>
    <row r="1450" spans="1:3" x14ac:dyDescent="0.2">
      <c r="A1450">
        <v>0.46483272016048433</v>
      </c>
      <c r="B1450">
        <v>0.48268033186190795</v>
      </c>
      <c r="C1450">
        <v>0.96302395079456082</v>
      </c>
    </row>
    <row r="1451" spans="1:3" x14ac:dyDescent="0.2">
      <c r="A1451">
        <v>0.23522459268569945</v>
      </c>
      <c r="B1451">
        <v>0.51778417971476487</v>
      </c>
      <c r="C1451">
        <v>0.45429080667408406</v>
      </c>
    </row>
    <row r="1452" spans="1:3" x14ac:dyDescent="0.2">
      <c r="A1452">
        <v>0.22537843883037567</v>
      </c>
      <c r="B1452">
        <v>0.50893873791713951</v>
      </c>
      <c r="C1452">
        <v>0.44284001597667655</v>
      </c>
    </row>
    <row r="1453" spans="1:3" x14ac:dyDescent="0.2">
      <c r="A1453">
        <v>1.0502879820764064</v>
      </c>
      <c r="B1453">
        <v>0.31891516256134295</v>
      </c>
      <c r="C1453">
        <v>3.2933146660105406</v>
      </c>
    </row>
    <row r="1454" spans="1:3" x14ac:dyDescent="0.2">
      <c r="A1454">
        <v>-0.11318243891000748</v>
      </c>
      <c r="B1454">
        <v>0.34104358045068539</v>
      </c>
      <c r="C1454">
        <v>-0.33187089685264892</v>
      </c>
    </row>
    <row r="1455" spans="1:3" x14ac:dyDescent="0.2">
      <c r="A1455">
        <v>0.22895245254039764</v>
      </c>
      <c r="B1455">
        <v>0.26257205075902323</v>
      </c>
      <c r="C1455">
        <v>0.87196048428825301</v>
      </c>
    </row>
    <row r="1456" spans="1:3" x14ac:dyDescent="0.2">
      <c r="A1456">
        <v>0.49463435411453249</v>
      </c>
      <c r="B1456">
        <v>0.34999424193663503</v>
      </c>
      <c r="C1456">
        <v>1.4132642622277309</v>
      </c>
    </row>
    <row r="1457" spans="1:3" x14ac:dyDescent="0.2">
      <c r="A1457">
        <v>0.44574764072895051</v>
      </c>
      <c r="B1457">
        <v>0.56918717846864419</v>
      </c>
      <c r="C1457">
        <v>0.78313015048617474</v>
      </c>
    </row>
    <row r="1458" spans="1:3" x14ac:dyDescent="0.2">
      <c r="A1458">
        <v>0.37968135178089141</v>
      </c>
      <c r="B1458">
        <v>0.45368511806687573</v>
      </c>
      <c r="C1458">
        <v>0.83688297601360651</v>
      </c>
    </row>
    <row r="1459" spans="1:3" x14ac:dyDescent="0.2">
      <c r="A1459">
        <v>8.1098324153572321E-2</v>
      </c>
      <c r="B1459">
        <v>0.50801960582376671</v>
      </c>
      <c r="C1459">
        <v>0.1596362093586316</v>
      </c>
    </row>
    <row r="1460" spans="1:3" x14ac:dyDescent="0.2">
      <c r="A1460">
        <v>-0.6218354225158691</v>
      </c>
      <c r="B1460">
        <v>0.41488892723915449</v>
      </c>
      <c r="C1460">
        <v>-1.4987997550424488</v>
      </c>
    </row>
    <row r="1461" spans="1:3" x14ac:dyDescent="0.2">
      <c r="A1461">
        <v>0.61535071097314353</v>
      </c>
      <c r="B1461">
        <v>0.51847961495100525</v>
      </c>
      <c r="C1461">
        <v>1.1868368460952747</v>
      </c>
    </row>
    <row r="1462" spans="1:3" x14ac:dyDescent="0.2">
      <c r="A1462">
        <v>-0.32675571441650392</v>
      </c>
      <c r="B1462">
        <v>0.7442352455258513</v>
      </c>
      <c r="C1462">
        <v>-0.43904896520404574</v>
      </c>
    </row>
    <row r="1463" spans="1:3" x14ac:dyDescent="0.2">
      <c r="A1463">
        <v>-0.22311462163925172</v>
      </c>
      <c r="B1463">
        <v>0.72845334705462794</v>
      </c>
      <c r="C1463">
        <v>-0.30628539568302648</v>
      </c>
    </row>
    <row r="1464" spans="1:3" x14ac:dyDescent="0.2">
      <c r="A1464">
        <v>-0.52539328932762142</v>
      </c>
      <c r="B1464">
        <v>0.39300250013714938</v>
      </c>
      <c r="C1464">
        <v>-1.3368700940687923</v>
      </c>
    </row>
    <row r="1465" spans="1:3" x14ac:dyDescent="0.2">
      <c r="A1465">
        <v>-0.5541717052459717</v>
      </c>
      <c r="B1465">
        <v>0.2344903987029853</v>
      </c>
      <c r="C1465">
        <v>-2.3633023284160442</v>
      </c>
    </row>
    <row r="1466" spans="1:3" x14ac:dyDescent="0.2">
      <c r="A1466">
        <v>0.12197195366024971</v>
      </c>
      <c r="B1466">
        <v>0.2652680443478645</v>
      </c>
      <c r="C1466">
        <v>0.45980643450705044</v>
      </c>
    </row>
    <row r="1467" spans="1:3" x14ac:dyDescent="0.2">
      <c r="A1467">
        <v>-0.47212241888046264</v>
      </c>
      <c r="B1467">
        <v>0.22432406996411755</v>
      </c>
      <c r="C1467">
        <v>-2.1046444947079572</v>
      </c>
    </row>
    <row r="1468" spans="1:3" x14ac:dyDescent="0.2">
      <c r="A1468">
        <v>0.17872297167778015</v>
      </c>
      <c r="B1468">
        <v>0.69461319718506431</v>
      </c>
      <c r="C1468">
        <v>0.25729855465179619</v>
      </c>
    </row>
    <row r="1469" spans="1:3" x14ac:dyDescent="0.2">
      <c r="A1469">
        <v>-3.2777690887451173E-2</v>
      </c>
      <c r="B1469">
        <v>0.65259289130399845</v>
      </c>
      <c r="C1469">
        <v>-5.0226858619246417E-2</v>
      </c>
    </row>
    <row r="1470" spans="1:3" x14ac:dyDescent="0.2">
      <c r="A1470">
        <v>-8.5828572511672974E-2</v>
      </c>
      <c r="B1470">
        <v>0.42863598070641867</v>
      </c>
      <c r="C1470">
        <v>-0.20023650924082986</v>
      </c>
    </row>
    <row r="1471" spans="1:3" x14ac:dyDescent="0.2">
      <c r="A1471">
        <v>-4.6574801206588745E-2</v>
      </c>
      <c r="B1471">
        <v>0.49303866088187476</v>
      </c>
      <c r="C1471">
        <v>-9.446480550487181E-2</v>
      </c>
    </row>
    <row r="1472" spans="1:3" x14ac:dyDescent="0.2">
      <c r="A1472">
        <v>-0.59403370618820195</v>
      </c>
      <c r="B1472">
        <v>0.4049780621998243</v>
      </c>
      <c r="C1472">
        <v>-1.4668293461661481</v>
      </c>
    </row>
    <row r="1473" spans="1:3" x14ac:dyDescent="0.2">
      <c r="A1473">
        <v>0.76122845411300655</v>
      </c>
      <c r="B1473">
        <v>0.35647827980077035</v>
      </c>
      <c r="C1473">
        <v>2.1354132839129614</v>
      </c>
    </row>
    <row r="1474" spans="1:3" x14ac:dyDescent="0.2">
      <c r="A1474">
        <v>-0.17320963442325593</v>
      </c>
      <c r="B1474">
        <v>0.39105560724453209</v>
      </c>
      <c r="C1474">
        <v>-0.44292839998825467</v>
      </c>
    </row>
    <row r="1475" spans="1:3" x14ac:dyDescent="0.2">
      <c r="A1475">
        <v>0.54625994861125948</v>
      </c>
      <c r="B1475">
        <v>0.82231906547930911</v>
      </c>
      <c r="C1475">
        <v>0.66429196590846196</v>
      </c>
    </row>
    <row r="1476" spans="1:3" x14ac:dyDescent="0.2">
      <c r="A1476">
        <v>-0.48571833819150922</v>
      </c>
      <c r="B1476">
        <v>0.71562436921622219</v>
      </c>
      <c r="C1476">
        <v>-0.67873364726733043</v>
      </c>
    </row>
    <row r="1477" spans="1:3" x14ac:dyDescent="0.2">
      <c r="A1477">
        <v>0.36635560691356661</v>
      </c>
      <c r="B1477">
        <v>0.40614782230371249</v>
      </c>
      <c r="C1477">
        <v>0.90202528930368187</v>
      </c>
    </row>
    <row r="1478" spans="1:3" x14ac:dyDescent="0.2">
      <c r="A1478">
        <v>2.0953673124313354E-2</v>
      </c>
      <c r="B1478">
        <v>0.45184469408579148</v>
      </c>
      <c r="C1478">
        <v>4.6373617746488113E-2</v>
      </c>
    </row>
    <row r="1479" spans="1:3" x14ac:dyDescent="0.2">
      <c r="A1479">
        <v>-9.5384670421481133E-2</v>
      </c>
      <c r="B1479">
        <v>0.39171276190768017</v>
      </c>
      <c r="C1479">
        <v>-0.24350667044123936</v>
      </c>
    </row>
    <row r="1480" spans="1:3" x14ac:dyDescent="0.2">
      <c r="A1480">
        <v>0.95074969232082363</v>
      </c>
      <c r="B1480">
        <v>0.45389997543751248</v>
      </c>
      <c r="C1480">
        <v>2.09462380209296</v>
      </c>
    </row>
    <row r="1481" spans="1:3" x14ac:dyDescent="0.2">
      <c r="A1481">
        <v>-0.12876508980989457</v>
      </c>
      <c r="B1481">
        <v>0.36463387780235362</v>
      </c>
      <c r="C1481">
        <v>-0.35313528898071966</v>
      </c>
    </row>
    <row r="1482" spans="1:3" x14ac:dyDescent="0.2">
      <c r="A1482">
        <v>0.14780705720186232</v>
      </c>
      <c r="B1482">
        <v>0.57723357182382762</v>
      </c>
      <c r="C1482">
        <v>0.25606108933486149</v>
      </c>
    </row>
    <row r="1483" spans="1:3" x14ac:dyDescent="0.2">
      <c r="A1483">
        <v>-0.18341006040573121</v>
      </c>
      <c r="B1483">
        <v>0.38807880391588095</v>
      </c>
      <c r="C1483">
        <v>-0.47261035273002633</v>
      </c>
    </row>
    <row r="1484" spans="1:3" x14ac:dyDescent="0.2">
      <c r="A1484">
        <v>0.53495759963989253</v>
      </c>
      <c r="B1484">
        <v>0.31811307178423587</v>
      </c>
      <c r="C1484">
        <v>1.6816586525018191</v>
      </c>
    </row>
    <row r="1485" spans="1:3" x14ac:dyDescent="0.2">
      <c r="A1485">
        <v>-6.7470389604568484E-2</v>
      </c>
      <c r="B1485">
        <v>0.48828524954180452</v>
      </c>
      <c r="C1485">
        <v>-0.13817822608379246</v>
      </c>
    </row>
    <row r="1486" spans="1:3" x14ac:dyDescent="0.2">
      <c r="A1486">
        <v>-0.74213117957115171</v>
      </c>
      <c r="B1486">
        <v>0.69130263809388215</v>
      </c>
      <c r="C1486">
        <v>-1.0735257449869109</v>
      </c>
    </row>
    <row r="1487" spans="1:3" x14ac:dyDescent="0.2">
      <c r="A1487">
        <v>1.9584208726882935E-2</v>
      </c>
      <c r="B1487">
        <v>0.17161092282216592</v>
      </c>
      <c r="C1487">
        <v>0.11411982643539147</v>
      </c>
    </row>
    <row r="1488" spans="1:3" x14ac:dyDescent="0.2">
      <c r="A1488">
        <v>-0.27670450657606127</v>
      </c>
      <c r="B1488">
        <v>0.24898069900838127</v>
      </c>
      <c r="C1488">
        <v>-1.1113492237675289</v>
      </c>
    </row>
    <row r="1489" spans="1:3" x14ac:dyDescent="0.2">
      <c r="A1489">
        <v>-1.0519634068012238</v>
      </c>
      <c r="B1489">
        <v>0.35818692859217827</v>
      </c>
      <c r="C1489">
        <v>-2.9369117710014487</v>
      </c>
    </row>
    <row r="1490" spans="1:3" x14ac:dyDescent="0.2">
      <c r="A1490">
        <v>-0.20376703143119812</v>
      </c>
      <c r="B1490">
        <v>0.60150379327740677</v>
      </c>
      <c r="C1490">
        <v>-0.33876267067400367</v>
      </c>
    </row>
    <row r="1491" spans="1:3" x14ac:dyDescent="0.2">
      <c r="A1491">
        <v>0.38157015070319178</v>
      </c>
      <c r="B1491">
        <v>0.34264615308060281</v>
      </c>
      <c r="C1491">
        <v>1.1135982332579484</v>
      </c>
    </row>
    <row r="1492" spans="1:3" x14ac:dyDescent="0.2">
      <c r="A1492">
        <v>6.9608718156814577E-3</v>
      </c>
      <c r="B1492">
        <v>0.52303005237983402</v>
      </c>
      <c r="C1492">
        <v>1.3308741599089501E-2</v>
      </c>
    </row>
    <row r="1493" spans="1:3" x14ac:dyDescent="0.2">
      <c r="A1493">
        <v>-0.29725505113601686</v>
      </c>
      <c r="B1493">
        <v>0.45626876537583611</v>
      </c>
      <c r="C1493">
        <v>-0.65149112473470094</v>
      </c>
    </row>
    <row r="1494" spans="1:3" x14ac:dyDescent="0.2">
      <c r="A1494">
        <v>-0.43482426851987838</v>
      </c>
      <c r="B1494">
        <v>0.47112976615549956</v>
      </c>
      <c r="C1494">
        <v>-0.92293949513765527</v>
      </c>
    </row>
    <row r="1495" spans="1:3" x14ac:dyDescent="0.2">
      <c r="A1495">
        <v>-0.24068967700004579</v>
      </c>
      <c r="B1495">
        <v>0.53391474694626817</v>
      </c>
      <c r="C1495">
        <v>-0.45080170266259417</v>
      </c>
    </row>
    <row r="1496" spans="1:3" x14ac:dyDescent="0.2">
      <c r="A1496">
        <v>-0.60369336605072021</v>
      </c>
      <c r="B1496">
        <v>0.14354090987309884</v>
      </c>
      <c r="C1496">
        <v>-4.2057234176962606</v>
      </c>
    </row>
    <row r="1497" spans="1:3" x14ac:dyDescent="0.2">
      <c r="A1497">
        <v>-0.22457776591181755</v>
      </c>
      <c r="B1497">
        <v>0.44180534193744425</v>
      </c>
      <c r="C1497">
        <v>-0.50831835786995938</v>
      </c>
    </row>
    <row r="1498" spans="1:3" x14ac:dyDescent="0.2">
      <c r="A1498">
        <v>-0.49814064502716066</v>
      </c>
      <c r="B1498">
        <v>0.57098520789782059</v>
      </c>
      <c r="C1498">
        <v>-0.87242302976840747</v>
      </c>
    </row>
    <row r="1499" spans="1:3" x14ac:dyDescent="0.2">
      <c r="A1499">
        <v>-0.41475364267826081</v>
      </c>
      <c r="B1499">
        <v>0.51463378420576877</v>
      </c>
      <c r="C1499">
        <v>-0.8059199675714015</v>
      </c>
    </row>
    <row r="1500" spans="1:3" x14ac:dyDescent="0.2">
      <c r="A1500">
        <v>0.73304973244667049</v>
      </c>
      <c r="B1500">
        <v>0.19141073166903932</v>
      </c>
      <c r="C1500">
        <v>3.8297211763139676</v>
      </c>
    </row>
    <row r="1501" spans="1:3" x14ac:dyDescent="0.2">
      <c r="A1501">
        <v>-0.54301014989614482</v>
      </c>
      <c r="B1501">
        <v>0.45940983152623255</v>
      </c>
      <c r="C1501">
        <v>-1.1819732897142814</v>
      </c>
    </row>
    <row r="1502" spans="1:3" x14ac:dyDescent="0.2">
      <c r="A1502">
        <v>0.35433897972106931</v>
      </c>
      <c r="B1502">
        <v>0.39158022727603875</v>
      </c>
      <c r="C1502">
        <v>0.90489497436060073</v>
      </c>
    </row>
    <row r="1503" spans="1:3" x14ac:dyDescent="0.2">
      <c r="A1503">
        <v>-0.11039324402809143</v>
      </c>
      <c r="B1503">
        <v>0.57817151421015589</v>
      </c>
      <c r="C1503">
        <v>-0.19093511408790245</v>
      </c>
    </row>
    <row r="1504" spans="1:3" x14ac:dyDescent="0.2">
      <c r="A1504">
        <v>0.93178265094757085</v>
      </c>
      <c r="B1504">
        <v>0.30320704324084163</v>
      </c>
      <c r="C1504">
        <v>3.0730903906062719</v>
      </c>
    </row>
    <row r="1505" spans="1:3" x14ac:dyDescent="0.2">
      <c r="A1505">
        <v>-0.20460968613624572</v>
      </c>
      <c r="B1505">
        <v>0.46471479282758671</v>
      </c>
      <c r="C1505">
        <v>-0.4402908822662715</v>
      </c>
    </row>
    <row r="1506" spans="1:3" x14ac:dyDescent="0.2">
      <c r="A1506">
        <v>4.5230938494205473E-2</v>
      </c>
      <c r="B1506">
        <v>0.6956231722868369</v>
      </c>
      <c r="C1506">
        <v>6.5022184849751835E-2</v>
      </c>
    </row>
    <row r="1507" spans="1:3" x14ac:dyDescent="0.2">
      <c r="A1507">
        <v>0.43619317188858986</v>
      </c>
      <c r="B1507">
        <v>0.29003113989209395</v>
      </c>
      <c r="C1507">
        <v>1.5039528929578923</v>
      </c>
    </row>
    <row r="1508" spans="1:3" x14ac:dyDescent="0.2">
      <c r="A1508">
        <v>0.20670064836740493</v>
      </c>
      <c r="B1508">
        <v>0.14584175667122951</v>
      </c>
      <c r="C1508">
        <v>1.4172940115728954</v>
      </c>
    </row>
    <row r="1509" spans="1:3" x14ac:dyDescent="0.2">
      <c r="A1509">
        <v>-0.30060763061046603</v>
      </c>
      <c r="B1509">
        <v>0.32245935979984269</v>
      </c>
      <c r="C1509">
        <v>-0.93223416059952335</v>
      </c>
    </row>
    <row r="1510" spans="1:3" x14ac:dyDescent="0.2">
      <c r="A1510">
        <v>-9.1700345277786255E-2</v>
      </c>
      <c r="B1510">
        <v>0.31180777883169158</v>
      </c>
      <c r="C1510">
        <v>-0.2940925515757723</v>
      </c>
    </row>
    <row r="1511" spans="1:3" x14ac:dyDescent="0.2">
      <c r="A1511">
        <v>0.10322529673576356</v>
      </c>
      <c r="B1511">
        <v>0.89969200030485874</v>
      </c>
      <c r="C1511">
        <v>0.11473403864965553</v>
      </c>
    </row>
    <row r="1512" spans="1:3" x14ac:dyDescent="0.2">
      <c r="A1512">
        <v>-0.38495545983314516</v>
      </c>
      <c r="B1512">
        <v>0.35497347071765822</v>
      </c>
      <c r="C1512">
        <v>-1.0844626192905955</v>
      </c>
    </row>
    <row r="1513" spans="1:3" x14ac:dyDescent="0.2">
      <c r="A1513">
        <v>0.3167414516210556</v>
      </c>
      <c r="B1513">
        <v>0.26811469799376553</v>
      </c>
      <c r="C1513">
        <v>1.1813654901844315</v>
      </c>
    </row>
    <row r="1514" spans="1:3" x14ac:dyDescent="0.2">
      <c r="A1514">
        <v>0.12586410939693451</v>
      </c>
      <c r="B1514">
        <v>0.59117133533210597</v>
      </c>
      <c r="C1514">
        <v>0.21290631306781316</v>
      </c>
    </row>
    <row r="1515" spans="1:3" x14ac:dyDescent="0.2">
      <c r="A1515">
        <v>0.79184885919094083</v>
      </c>
      <c r="B1515">
        <v>0.64093116481443591</v>
      </c>
      <c r="C1515">
        <v>1.2354663069320384</v>
      </c>
    </row>
    <row r="1516" spans="1:3" x14ac:dyDescent="0.2">
      <c r="A1516">
        <v>-0.2171112835407257</v>
      </c>
      <c r="B1516">
        <v>0.23212145491152331</v>
      </c>
      <c r="C1516">
        <v>-0.93533483849427468</v>
      </c>
    </row>
    <row r="1517" spans="1:3" x14ac:dyDescent="0.2">
      <c r="A1517">
        <v>-0.27256835512816907</v>
      </c>
      <c r="B1517">
        <v>0.43558367762092198</v>
      </c>
      <c r="C1517">
        <v>-0.6257542904658121</v>
      </c>
    </row>
    <row r="1518" spans="1:3" x14ac:dyDescent="0.2">
      <c r="A1518">
        <v>0.21411093473434448</v>
      </c>
      <c r="B1518">
        <v>0.42674202277375722</v>
      </c>
      <c r="C1518">
        <v>0.50173388911327854</v>
      </c>
    </row>
    <row r="1519" spans="1:3" x14ac:dyDescent="0.2">
      <c r="A1519">
        <v>-0.78198329806327815</v>
      </c>
      <c r="B1519">
        <v>0.57436846744065195</v>
      </c>
      <c r="C1519">
        <v>-1.361466275381976</v>
      </c>
    </row>
    <row r="1520" spans="1:3" x14ac:dyDescent="0.2">
      <c r="A1520">
        <v>0.84902162551879878</v>
      </c>
      <c r="B1520">
        <v>0.57507912943856565</v>
      </c>
      <c r="C1520">
        <v>1.4763561778840346</v>
      </c>
    </row>
    <row r="1521" spans="1:3" x14ac:dyDescent="0.2">
      <c r="A1521">
        <v>0.76218951940536495</v>
      </c>
      <c r="B1521">
        <v>0.42493415756071551</v>
      </c>
      <c r="C1521">
        <v>1.7936649851370483</v>
      </c>
    </row>
    <row r="1522" spans="1:3" x14ac:dyDescent="0.2">
      <c r="A1522">
        <v>0.60052381008863454</v>
      </c>
      <c r="B1522">
        <v>0.45453163875347036</v>
      </c>
      <c r="C1522">
        <v>1.3211925395018489</v>
      </c>
    </row>
    <row r="1523" spans="1:3" x14ac:dyDescent="0.2">
      <c r="A1523">
        <v>-3.5806167125701907E-2</v>
      </c>
      <c r="B1523">
        <v>0.39994040814736076</v>
      </c>
      <c r="C1523">
        <v>-8.9528755775307611E-2</v>
      </c>
    </row>
    <row r="1524" spans="1:3" x14ac:dyDescent="0.2">
      <c r="A1524">
        <v>0.11728696823120117</v>
      </c>
      <c r="B1524">
        <v>0.65759731918137421</v>
      </c>
      <c r="C1524">
        <v>0.17835682234411884</v>
      </c>
    </row>
    <row r="1525" spans="1:3" x14ac:dyDescent="0.2">
      <c r="A1525">
        <v>0.26255207285284998</v>
      </c>
      <c r="B1525">
        <v>0.34629947282836748</v>
      </c>
      <c r="C1525">
        <v>0.75816480662959518</v>
      </c>
    </row>
    <row r="1526" spans="1:3" x14ac:dyDescent="0.2">
      <c r="A1526">
        <v>0.15878297388553619</v>
      </c>
      <c r="B1526">
        <v>0.30421135937346627</v>
      </c>
      <c r="C1526">
        <v>0.52194952289932628</v>
      </c>
    </row>
    <row r="1527" spans="1:3" x14ac:dyDescent="0.2">
      <c r="A1527">
        <v>0.33056641817092897</v>
      </c>
      <c r="B1527">
        <v>0.48247544706070367</v>
      </c>
      <c r="C1527">
        <v>0.68514661250593767</v>
      </c>
    </row>
    <row r="1528" spans="1:3" x14ac:dyDescent="0.2">
      <c r="A1528">
        <v>0.16675400733947754</v>
      </c>
      <c r="B1528">
        <v>0.5581608855018495</v>
      </c>
      <c r="C1528">
        <v>0.29875616810652522</v>
      </c>
    </row>
    <row r="1529" spans="1:3" x14ac:dyDescent="0.2">
      <c r="A1529">
        <v>4.2847633361816406E-2</v>
      </c>
      <c r="B1529">
        <v>0.56837436128548702</v>
      </c>
      <c r="C1529">
        <v>7.5386288123391612E-2</v>
      </c>
    </row>
    <row r="1530" spans="1:3" x14ac:dyDescent="0.2">
      <c r="A1530">
        <v>6.6113990545272824E-2</v>
      </c>
      <c r="B1530">
        <v>0.23985266529258176</v>
      </c>
      <c r="C1530">
        <v>0.27564417708106087</v>
      </c>
    </row>
    <row r="1531" spans="1:3" x14ac:dyDescent="0.2">
      <c r="A1531">
        <v>-0.32649534344673159</v>
      </c>
      <c r="B1531">
        <v>0.19969559038983281</v>
      </c>
      <c r="C1531">
        <v>-1.6349652128490595</v>
      </c>
    </row>
    <row r="1532" spans="1:3" x14ac:dyDescent="0.2">
      <c r="A1532">
        <v>0.32203498631715777</v>
      </c>
      <c r="B1532">
        <v>0.25116374236808076</v>
      </c>
      <c r="C1532">
        <v>1.2821714761886893</v>
      </c>
    </row>
    <row r="1533" spans="1:3" x14ac:dyDescent="0.2">
      <c r="A1533">
        <v>1.050583267211914</v>
      </c>
      <c r="B1533">
        <v>0.27992154726797219</v>
      </c>
      <c r="C1533">
        <v>3.7531346817191542</v>
      </c>
    </row>
    <row r="1534" spans="1:3" x14ac:dyDescent="0.2">
      <c r="A1534">
        <v>0.29543627500534059</v>
      </c>
      <c r="B1534">
        <v>0.49996057080769346</v>
      </c>
      <c r="C1534">
        <v>0.59091914894020359</v>
      </c>
    </row>
    <row r="1535" spans="1:3" x14ac:dyDescent="0.2">
      <c r="A1535">
        <v>0.65625685155391689</v>
      </c>
      <c r="B1535">
        <v>0.27683109567273817</v>
      </c>
      <c r="C1535">
        <v>2.3706038151498885</v>
      </c>
    </row>
    <row r="1536" spans="1:3" x14ac:dyDescent="0.2">
      <c r="A1536">
        <v>-0.4236978143453598</v>
      </c>
      <c r="B1536">
        <v>0.43868378683681863</v>
      </c>
      <c r="C1536">
        <v>-0.96583878196293294</v>
      </c>
    </row>
    <row r="1537" spans="1:3" x14ac:dyDescent="0.2">
      <c r="A1537">
        <v>0.83109308481216426</v>
      </c>
      <c r="B1537">
        <v>0.50589100954649091</v>
      </c>
      <c r="C1537">
        <v>1.6428303115273837</v>
      </c>
    </row>
    <row r="1538" spans="1:3" x14ac:dyDescent="0.2">
      <c r="A1538">
        <v>0.38130052685737609</v>
      </c>
      <c r="B1538">
        <v>0.12851992129594506</v>
      </c>
      <c r="C1538">
        <v>2.9668593243171131</v>
      </c>
    </row>
    <row r="1539" spans="1:3" x14ac:dyDescent="0.2">
      <c r="A1539">
        <v>0.24248891361057759</v>
      </c>
      <c r="B1539">
        <v>0.23642720421900049</v>
      </c>
      <c r="C1539">
        <v>1.0256387982575905</v>
      </c>
    </row>
    <row r="1540" spans="1:3" x14ac:dyDescent="0.2">
      <c r="A1540">
        <v>-0.44347224533557894</v>
      </c>
      <c r="B1540">
        <v>0.54535960228679214</v>
      </c>
      <c r="C1540">
        <v>-0.81317399285905856</v>
      </c>
    </row>
    <row r="1541" spans="1:3" x14ac:dyDescent="0.2">
      <c r="A1541">
        <v>0.66815380454063411</v>
      </c>
      <c r="B1541">
        <v>0.55108106570421533</v>
      </c>
      <c r="C1541">
        <v>1.2124419547726866</v>
      </c>
    </row>
    <row r="1542" spans="1:3" x14ac:dyDescent="0.2">
      <c r="A1542">
        <v>-0.12783741354942321</v>
      </c>
      <c r="B1542">
        <v>0.31155028604135349</v>
      </c>
      <c r="C1542">
        <v>-0.41032674106566147</v>
      </c>
    </row>
    <row r="1543" spans="1:3" x14ac:dyDescent="0.2">
      <c r="A1543">
        <v>-0.38468349874019625</v>
      </c>
      <c r="B1543">
        <v>0.22919264685711307</v>
      </c>
      <c r="C1543">
        <v>-1.6784286233232506</v>
      </c>
    </row>
    <row r="1544" spans="1:3" x14ac:dyDescent="0.2">
      <c r="A1544">
        <v>-0.45163898468017577</v>
      </c>
      <c r="B1544">
        <v>0.34750415717084254</v>
      </c>
      <c r="C1544">
        <v>-1.2996649834555438</v>
      </c>
    </row>
    <row r="1545" spans="1:3" x14ac:dyDescent="0.2">
      <c r="A1545">
        <v>-0.18965760767459869</v>
      </c>
      <c r="B1545">
        <v>0.20508568388001899</v>
      </c>
      <c r="C1545">
        <v>-0.9247725345156409</v>
      </c>
    </row>
    <row r="1546" spans="1:3" x14ac:dyDescent="0.2">
      <c r="A1546">
        <v>0.18794811703264713</v>
      </c>
      <c r="B1546">
        <v>0.55311365753721409</v>
      </c>
      <c r="C1546">
        <v>0.33980017392718564</v>
      </c>
    </row>
    <row r="1547" spans="1:3" x14ac:dyDescent="0.2">
      <c r="A1547">
        <v>0.26810913830995559</v>
      </c>
      <c r="B1547">
        <v>0.6023584743590995</v>
      </c>
      <c r="C1547">
        <v>0.44509897299148937</v>
      </c>
    </row>
    <row r="1548" spans="1:3" x14ac:dyDescent="0.2">
      <c r="A1548">
        <v>-0.61320497989654543</v>
      </c>
      <c r="B1548">
        <v>0.52741318723829855</v>
      </c>
      <c r="C1548">
        <v>-1.1626652399563229</v>
      </c>
    </row>
    <row r="1549" spans="1:3" x14ac:dyDescent="0.2">
      <c r="A1549">
        <v>-0.70226736664772038</v>
      </c>
      <c r="B1549">
        <v>0.54042074518047845</v>
      </c>
      <c r="C1549">
        <v>-1.2994826214770712</v>
      </c>
    </row>
    <row r="1550" spans="1:3" x14ac:dyDescent="0.2">
      <c r="A1550">
        <v>-0.32539008259773256</v>
      </c>
      <c r="B1550">
        <v>0.62772235194712522</v>
      </c>
      <c r="C1550">
        <v>-0.51836625155756932</v>
      </c>
    </row>
    <row r="1551" spans="1:3" x14ac:dyDescent="0.2">
      <c r="A1551">
        <v>-0.58778306767344479</v>
      </c>
      <c r="B1551">
        <v>0.23185987629109511</v>
      </c>
      <c r="C1551">
        <v>-2.5350788462230338</v>
      </c>
    </row>
    <row r="1552" spans="1:3" x14ac:dyDescent="0.2">
      <c r="A1552">
        <v>1.3972631096839905E-2</v>
      </c>
      <c r="B1552">
        <v>0.30272239677886187</v>
      </c>
      <c r="C1552">
        <v>4.6156581889931603E-2</v>
      </c>
    </row>
    <row r="1553" spans="1:3" x14ac:dyDescent="0.2">
      <c r="A1553">
        <v>0.73530042767524717</v>
      </c>
      <c r="B1553">
        <v>0.57112510842159703</v>
      </c>
      <c r="C1553">
        <v>1.2874594669938029</v>
      </c>
    </row>
    <row r="1554" spans="1:3" x14ac:dyDescent="0.2">
      <c r="A1554">
        <v>-0.41313485205173495</v>
      </c>
      <c r="B1554">
        <v>0.49971180194717607</v>
      </c>
      <c r="C1554">
        <v>-0.82674623741507491</v>
      </c>
    </row>
    <row r="1555" spans="1:3" x14ac:dyDescent="0.2">
      <c r="A1555">
        <v>1.138338714838028</v>
      </c>
      <c r="B1555">
        <v>0.91824721726829406</v>
      </c>
      <c r="C1555">
        <v>1.2396865391266711</v>
      </c>
    </row>
    <row r="1556" spans="1:3" x14ac:dyDescent="0.2">
      <c r="A1556">
        <v>1.2663065195083618</v>
      </c>
      <c r="B1556">
        <v>0.13564039750507359</v>
      </c>
      <c r="C1556">
        <v>9.3357623746347098</v>
      </c>
    </row>
    <row r="1557" spans="1:3" x14ac:dyDescent="0.2">
      <c r="A1557">
        <v>0.26851644963026045</v>
      </c>
      <c r="B1557">
        <v>0.5567956430475195</v>
      </c>
      <c r="C1557">
        <v>0.48225314436834416</v>
      </c>
    </row>
    <row r="1558" spans="1:3" x14ac:dyDescent="0.2">
      <c r="A1558">
        <v>-0.133134938031435</v>
      </c>
      <c r="B1558">
        <v>0.41689185467352224</v>
      </c>
      <c r="C1558">
        <v>-0.31935125749985227</v>
      </c>
    </row>
    <row r="1559" spans="1:3" x14ac:dyDescent="0.2">
      <c r="A1559">
        <v>0.57942803651094432</v>
      </c>
      <c r="B1559">
        <v>0.30043580520844498</v>
      </c>
      <c r="C1559">
        <v>1.9286251054827905</v>
      </c>
    </row>
    <row r="1560" spans="1:3" x14ac:dyDescent="0.2">
      <c r="A1560">
        <v>-0.32310946881771085</v>
      </c>
      <c r="B1560">
        <v>0.72893475061096125</v>
      </c>
      <c r="C1560">
        <v>-0.44326253968121926</v>
      </c>
    </row>
    <row r="1561" spans="1:3" x14ac:dyDescent="0.2">
      <c r="A1561">
        <v>0.46489521861076355</v>
      </c>
      <c r="B1561">
        <v>0.47982690048041365</v>
      </c>
      <c r="C1561">
        <v>0.96888110721866538</v>
      </c>
    </row>
    <row r="1562" spans="1:3" x14ac:dyDescent="0.2">
      <c r="A1562">
        <v>-0.54568960815668111</v>
      </c>
      <c r="B1562">
        <v>0.1729060797354324</v>
      </c>
      <c r="C1562">
        <v>-3.1559885516556352</v>
      </c>
    </row>
    <row r="1563" spans="1:3" x14ac:dyDescent="0.2">
      <c r="A1563">
        <v>-0.14344858825206758</v>
      </c>
      <c r="B1563">
        <v>0.50295487246354376</v>
      </c>
      <c r="C1563">
        <v>-0.28521164841178731</v>
      </c>
    </row>
    <row r="1564" spans="1:3" x14ac:dyDescent="0.2">
      <c r="A1564">
        <v>0.54385088682174687</v>
      </c>
      <c r="B1564">
        <v>0.55924929218850616</v>
      </c>
      <c r="C1564">
        <v>0.97246593678017756</v>
      </c>
    </row>
    <row r="1565" spans="1:3" x14ac:dyDescent="0.2">
      <c r="A1565">
        <v>-0.23026297837495804</v>
      </c>
      <c r="B1565">
        <v>0.18248283981966454</v>
      </c>
      <c r="C1565">
        <v>-1.2618335981756497</v>
      </c>
    </row>
    <row r="1566" spans="1:3" x14ac:dyDescent="0.2">
      <c r="A1566">
        <v>1.0369443893432617E-2</v>
      </c>
      <c r="B1566">
        <v>0.38811590472785479</v>
      </c>
      <c r="C1566">
        <v>2.6717389746507881E-2</v>
      </c>
    </row>
    <row r="1567" spans="1:3" x14ac:dyDescent="0.2">
      <c r="A1567">
        <v>0.81809067130088808</v>
      </c>
      <c r="B1567">
        <v>0.14983426452211501</v>
      </c>
      <c r="C1567">
        <v>5.4599705475254678</v>
      </c>
    </row>
    <row r="1568" spans="1:3" x14ac:dyDescent="0.2">
      <c r="A1568">
        <v>-0.49517778158187864</v>
      </c>
      <c r="B1568">
        <v>0.27794461839184353</v>
      </c>
      <c r="C1568">
        <v>-1.7815699560830567</v>
      </c>
    </row>
    <row r="1569" spans="1:3" x14ac:dyDescent="0.2">
      <c r="A1569">
        <v>-0.94893397092819209</v>
      </c>
      <c r="B1569">
        <v>0.70177964849414476</v>
      </c>
      <c r="C1569">
        <v>-1.3521822312236937</v>
      </c>
    </row>
    <row r="1570" spans="1:3" x14ac:dyDescent="0.2">
      <c r="A1570">
        <v>0.3793614938855171</v>
      </c>
      <c r="B1570">
        <v>0.72507556079067215</v>
      </c>
      <c r="C1570">
        <v>0.52320270382832279</v>
      </c>
    </row>
    <row r="1571" spans="1:3" x14ac:dyDescent="0.2">
      <c r="A1571">
        <v>0.3259585566818714</v>
      </c>
      <c r="B1571">
        <v>0.2772367163172671</v>
      </c>
      <c r="C1571">
        <v>1.1757409372460157</v>
      </c>
    </row>
    <row r="1572" spans="1:3" x14ac:dyDescent="0.2">
      <c r="A1572">
        <v>-9.8079034686088556E-2</v>
      </c>
      <c r="B1572">
        <v>0.25199577071272933</v>
      </c>
      <c r="C1572">
        <v>-0.38920905064671463</v>
      </c>
    </row>
    <row r="1573" spans="1:3" x14ac:dyDescent="0.2">
      <c r="A1573">
        <v>0.47141269445419309</v>
      </c>
      <c r="B1573">
        <v>0.35655173146651131</v>
      </c>
      <c r="C1573">
        <v>1.3221438934408034</v>
      </c>
    </row>
    <row r="1574" spans="1:3" x14ac:dyDescent="0.2">
      <c r="A1574">
        <v>0.57113738656044011</v>
      </c>
      <c r="B1574">
        <v>0.16116785726338945</v>
      </c>
      <c r="C1574">
        <v>3.5437425070872273</v>
      </c>
    </row>
    <row r="1575" spans="1:3" x14ac:dyDescent="0.2">
      <c r="A1575">
        <v>0.3811312958598137</v>
      </c>
      <c r="B1575">
        <v>0.326993105458251</v>
      </c>
      <c r="C1575">
        <v>1.1655637060778177</v>
      </c>
    </row>
    <row r="1576" spans="1:3" x14ac:dyDescent="0.2">
      <c r="A1576">
        <v>0.17675593495368958</v>
      </c>
      <c r="B1576">
        <v>0.53028598282485495</v>
      </c>
      <c r="C1576">
        <v>0.33332190681734325</v>
      </c>
    </row>
    <row r="1577" spans="1:3" x14ac:dyDescent="0.2">
      <c r="A1577">
        <v>0.51396879553794861</v>
      </c>
      <c r="B1577">
        <v>0.32694503837150829</v>
      </c>
      <c r="C1577">
        <v>1.572034241895804</v>
      </c>
    </row>
    <row r="1578" spans="1:3" x14ac:dyDescent="0.2">
      <c r="A1578">
        <v>0.10613959431648254</v>
      </c>
      <c r="B1578">
        <v>0.60381824397177164</v>
      </c>
      <c r="C1578">
        <v>0.17578070118968539</v>
      </c>
    </row>
    <row r="1579" spans="1:3" x14ac:dyDescent="0.2">
      <c r="A1579">
        <v>-0.58372919559478764</v>
      </c>
      <c r="B1579">
        <v>0.56323299646951075</v>
      </c>
      <c r="C1579">
        <v>-1.036390267000961</v>
      </c>
    </row>
    <row r="1580" spans="1:3" x14ac:dyDescent="0.2">
      <c r="A1580">
        <v>-0.20165013968944551</v>
      </c>
      <c r="B1580">
        <v>0.56386874573065637</v>
      </c>
      <c r="C1580">
        <v>-0.35761893386757754</v>
      </c>
    </row>
    <row r="1581" spans="1:3" x14ac:dyDescent="0.2">
      <c r="A1581">
        <v>0.91852586865425112</v>
      </c>
      <c r="B1581">
        <v>0.29706398140183066</v>
      </c>
      <c r="C1581">
        <v>3.092013593569209</v>
      </c>
    </row>
    <row r="1582" spans="1:3" x14ac:dyDescent="0.2">
      <c r="A1582">
        <v>-0.37622821927070615</v>
      </c>
      <c r="B1582">
        <v>0.55095595152674348</v>
      </c>
      <c r="C1582">
        <v>-0.68286442541939574</v>
      </c>
    </row>
    <row r="1583" spans="1:3" x14ac:dyDescent="0.2">
      <c r="A1583">
        <v>-0.68439774364233019</v>
      </c>
      <c r="B1583">
        <v>0.5057725366204312</v>
      </c>
      <c r="C1583">
        <v>-1.3531730058248546</v>
      </c>
    </row>
    <row r="1584" spans="1:3" x14ac:dyDescent="0.2">
      <c r="A1584">
        <v>-0.56786392927169804</v>
      </c>
      <c r="B1584">
        <v>0.5385120205508912</v>
      </c>
      <c r="C1584">
        <v>-1.0545055775928274</v>
      </c>
    </row>
    <row r="1585" spans="1:3" x14ac:dyDescent="0.2">
      <c r="A1585">
        <v>0.19414570331573486</v>
      </c>
      <c r="B1585">
        <v>0.58966635120437094</v>
      </c>
      <c r="C1585">
        <v>0.32924670522440308</v>
      </c>
    </row>
    <row r="1586" spans="1:3" x14ac:dyDescent="0.2">
      <c r="A1586">
        <v>-0.21001873016357422</v>
      </c>
      <c r="B1586">
        <v>0.61562096398337418</v>
      </c>
      <c r="C1586">
        <v>-0.34114941246420277</v>
      </c>
    </row>
    <row r="1587" spans="1:3" x14ac:dyDescent="0.2">
      <c r="A1587">
        <v>2.4368706345558166E-2</v>
      </c>
      <c r="B1587">
        <v>0.41458290175732709</v>
      </c>
      <c r="C1587">
        <v>5.8778850363255454E-2</v>
      </c>
    </row>
    <row r="1588" spans="1:3" x14ac:dyDescent="0.2">
      <c r="A1588">
        <v>-0.43635480925440789</v>
      </c>
      <c r="B1588">
        <v>0.58891198888553731</v>
      </c>
      <c r="C1588">
        <v>-0.74095079993221047</v>
      </c>
    </row>
    <row r="1589" spans="1:3" x14ac:dyDescent="0.2">
      <c r="A1589">
        <v>-0.50077444761991496</v>
      </c>
      <c r="B1589">
        <v>0.62162472006534963</v>
      </c>
      <c r="C1589">
        <v>-0.805589661182184</v>
      </c>
    </row>
    <row r="1590" spans="1:3" x14ac:dyDescent="0.2">
      <c r="A1590">
        <v>0.15430171936750411</v>
      </c>
      <c r="B1590">
        <v>0.26647245851490919</v>
      </c>
      <c r="C1590">
        <v>0.57905316079361691</v>
      </c>
    </row>
    <row r="1591" spans="1:3" x14ac:dyDescent="0.2">
      <c r="A1591">
        <v>0.41900327801704407</v>
      </c>
      <c r="B1591">
        <v>0.33006670436647073</v>
      </c>
      <c r="C1591">
        <v>1.2694503034508675</v>
      </c>
    </row>
    <row r="1592" spans="1:3" x14ac:dyDescent="0.2">
      <c r="A1592">
        <v>-5.036552846431732E-2</v>
      </c>
      <c r="B1592">
        <v>0.29841797843242246</v>
      </c>
      <c r="C1592">
        <v>-0.16877511445149987</v>
      </c>
    </row>
    <row r="1593" spans="1:3" x14ac:dyDescent="0.2">
      <c r="A1593">
        <v>1.2711262702941895E-2</v>
      </c>
      <c r="B1593">
        <v>0.51047648443851368</v>
      </c>
      <c r="C1593">
        <v>2.4900780134707562E-2</v>
      </c>
    </row>
    <row r="1594" spans="1:3" x14ac:dyDescent="0.2">
      <c r="A1594">
        <v>-0.25544108003377913</v>
      </c>
      <c r="B1594">
        <v>0.17395954294813126</v>
      </c>
      <c r="C1594">
        <v>-1.4683936029306703</v>
      </c>
    </row>
    <row r="1595" spans="1:3" x14ac:dyDescent="0.2">
      <c r="A1595">
        <v>1.1749342948198318</v>
      </c>
      <c r="B1595">
        <v>0.33456106421080861</v>
      </c>
      <c r="C1595">
        <v>3.5118679981227574</v>
      </c>
    </row>
    <row r="1596" spans="1:3" x14ac:dyDescent="0.2">
      <c r="A1596">
        <v>0.13671486079692841</v>
      </c>
      <c r="B1596">
        <v>0.33333608665932302</v>
      </c>
      <c r="C1596">
        <v>0.41014119463355336</v>
      </c>
    </row>
    <row r="1597" spans="1:3" x14ac:dyDescent="0.2">
      <c r="A1597">
        <v>0.48915718197822572</v>
      </c>
      <c r="B1597">
        <v>0.57129428794548176</v>
      </c>
      <c r="C1597">
        <v>0.85622627829407894</v>
      </c>
    </row>
    <row r="1598" spans="1:3" x14ac:dyDescent="0.2">
      <c r="A1598">
        <v>8.9268034696578985E-2</v>
      </c>
      <c r="B1598">
        <v>0.43188171407918596</v>
      </c>
      <c r="C1598">
        <v>0.20669556451795409</v>
      </c>
    </row>
    <row r="1599" spans="1:3" x14ac:dyDescent="0.2">
      <c r="A1599">
        <v>0.15097217559814452</v>
      </c>
      <c r="B1599">
        <v>0.52612694405551019</v>
      </c>
      <c r="C1599">
        <v>0.28695009313610798</v>
      </c>
    </row>
    <row r="1600" spans="1:3" x14ac:dyDescent="0.2">
      <c r="A1600">
        <v>-0.72374663054943089</v>
      </c>
      <c r="B1600">
        <v>0.44751098109406096</v>
      </c>
      <c r="C1600">
        <v>-1.6172712204291335</v>
      </c>
    </row>
    <row r="1601" spans="1:3" x14ac:dyDescent="0.2">
      <c r="A1601">
        <v>0.66441167593002315</v>
      </c>
      <c r="B1601">
        <v>0.10130951831662599</v>
      </c>
      <c r="C1601">
        <v>6.5582354646432659</v>
      </c>
    </row>
    <row r="1602" spans="1:3" x14ac:dyDescent="0.2">
      <c r="A1602">
        <v>-0.48404797911643982</v>
      </c>
      <c r="B1602">
        <v>0.3637040248559722</v>
      </c>
      <c r="C1602">
        <v>-1.3308843071179215</v>
      </c>
    </row>
    <row r="1603" spans="1:3" x14ac:dyDescent="0.2">
      <c r="A1603">
        <v>0.1537272810935974</v>
      </c>
      <c r="B1603">
        <v>0.60172881261417288</v>
      </c>
      <c r="C1603">
        <v>0.25547601821780636</v>
      </c>
    </row>
    <row r="1604" spans="1:3" x14ac:dyDescent="0.2">
      <c r="A1604">
        <v>0.11330581605434417</v>
      </c>
      <c r="B1604">
        <v>0.40326528336643641</v>
      </c>
      <c r="C1604">
        <v>0.28097091598977586</v>
      </c>
    </row>
    <row r="1605" spans="1:3" x14ac:dyDescent="0.2">
      <c r="A1605">
        <v>-0.23471180200576783</v>
      </c>
      <c r="B1605">
        <v>0.57714522666033408</v>
      </c>
      <c r="C1605">
        <v>-0.40667719520775353</v>
      </c>
    </row>
    <row r="1606" spans="1:3" x14ac:dyDescent="0.2">
      <c r="A1606">
        <v>0.39450190700590609</v>
      </c>
      <c r="B1606">
        <v>0.28634885987580116</v>
      </c>
      <c r="C1606">
        <v>1.3776967967569853</v>
      </c>
    </row>
    <row r="1607" spans="1:3" x14ac:dyDescent="0.2">
      <c r="A1607">
        <v>0.47012728601694109</v>
      </c>
      <c r="B1607">
        <v>0.27567394082124669</v>
      </c>
      <c r="C1607">
        <v>1.705374416661974</v>
      </c>
    </row>
    <row r="1608" spans="1:3" x14ac:dyDescent="0.2">
      <c r="A1608">
        <v>0.40866946727037429</v>
      </c>
      <c r="B1608">
        <v>0.45425018084128738</v>
      </c>
      <c r="C1608">
        <v>0.89965724727616836</v>
      </c>
    </row>
    <row r="1609" spans="1:3" x14ac:dyDescent="0.2">
      <c r="A1609">
        <v>0.46179403066635133</v>
      </c>
      <c r="B1609">
        <v>0.3249333007512491</v>
      </c>
      <c r="C1609">
        <v>1.4211963796837037</v>
      </c>
    </row>
    <row r="1610" spans="1:3" x14ac:dyDescent="0.2">
      <c r="A1610">
        <v>-0.44724800586700442</v>
      </c>
      <c r="B1610">
        <v>0.33661414231160064</v>
      </c>
      <c r="C1610">
        <v>-1.3286667125619191</v>
      </c>
    </row>
    <row r="1611" spans="1:3" x14ac:dyDescent="0.2">
      <c r="A1611">
        <v>-0.15675857961177825</v>
      </c>
      <c r="B1611">
        <v>0.39444429100216655</v>
      </c>
      <c r="C1611">
        <v>-0.39741627192397933</v>
      </c>
    </row>
    <row r="1612" spans="1:3" x14ac:dyDescent="0.2">
      <c r="A1612">
        <v>0.67504660785198212</v>
      </c>
      <c r="B1612">
        <v>0.39597226659304308</v>
      </c>
      <c r="C1612">
        <v>1.7047825436364592</v>
      </c>
    </row>
    <row r="1613" spans="1:3" x14ac:dyDescent="0.2">
      <c r="A1613">
        <v>-0.20183257460594178</v>
      </c>
      <c r="B1613">
        <v>0.34771662309571549</v>
      </c>
      <c r="C1613">
        <v>-0.58045132501584085</v>
      </c>
    </row>
    <row r="1614" spans="1:3" x14ac:dyDescent="0.2">
      <c r="A1614">
        <v>-6.925510019063949E-2</v>
      </c>
      <c r="B1614">
        <v>0.32046146004110931</v>
      </c>
      <c r="C1614">
        <v>-0.21611054315784287</v>
      </c>
    </row>
    <row r="1615" spans="1:3" x14ac:dyDescent="0.2">
      <c r="A1615">
        <v>-0.82473835945129392</v>
      </c>
      <c r="B1615">
        <v>0.5551104556747477</v>
      </c>
      <c r="C1615">
        <v>-1.4857193753427111</v>
      </c>
    </row>
    <row r="1616" spans="1:3" x14ac:dyDescent="0.2">
      <c r="A1616">
        <v>0.21782007217407226</v>
      </c>
      <c r="B1616">
        <v>0.50168183557917878</v>
      </c>
      <c r="C1616">
        <v>0.43417970659153843</v>
      </c>
    </row>
    <row r="1617" spans="1:3" x14ac:dyDescent="0.2">
      <c r="A1617">
        <v>0.27198898792266846</v>
      </c>
      <c r="B1617">
        <v>0.34472231895017125</v>
      </c>
      <c r="C1617">
        <v>0.78900892971186987</v>
      </c>
    </row>
    <row r="1618" spans="1:3" x14ac:dyDescent="0.2">
      <c r="A1618">
        <v>-0.14334125518798829</v>
      </c>
      <c r="B1618">
        <v>0.86204195394547256</v>
      </c>
      <c r="C1618">
        <v>-0.16628106617309157</v>
      </c>
    </row>
    <row r="1619" spans="1:3" x14ac:dyDescent="0.2">
      <c r="A1619">
        <v>-0.13679322302341462</v>
      </c>
      <c r="B1619">
        <v>0.31299885116418424</v>
      </c>
      <c r="C1619">
        <v>-0.43704065530789898</v>
      </c>
    </row>
    <row r="1620" spans="1:3" x14ac:dyDescent="0.2">
      <c r="A1620">
        <v>3.1924247741699219E-2</v>
      </c>
      <c r="B1620">
        <v>0.49043526244344599</v>
      </c>
      <c r="C1620">
        <v>6.5093703871630826E-2</v>
      </c>
    </row>
    <row r="1621" spans="1:3" x14ac:dyDescent="0.2">
      <c r="A1621">
        <v>-3.3349825441837309E-2</v>
      </c>
      <c r="B1621">
        <v>0.28046717239965691</v>
      </c>
      <c r="C1621">
        <v>-0.11890812445712846</v>
      </c>
    </row>
    <row r="1622" spans="1:3" x14ac:dyDescent="0.2">
      <c r="A1622">
        <v>0.37140372395515442</v>
      </c>
      <c r="B1622">
        <v>0.36712427721768098</v>
      </c>
      <c r="C1622">
        <v>1.0116566705146988</v>
      </c>
    </row>
    <row r="1623" spans="1:3" x14ac:dyDescent="0.2">
      <c r="A1623">
        <v>-0.68391507267951968</v>
      </c>
      <c r="B1623">
        <v>0.35533257212856328</v>
      </c>
      <c r="C1623">
        <v>-1.9247182114001966</v>
      </c>
    </row>
    <row r="1624" spans="1:3" x14ac:dyDescent="0.2">
      <c r="A1624">
        <v>0.73829547762870784</v>
      </c>
      <c r="B1624">
        <v>0.546955850305751</v>
      </c>
      <c r="C1624">
        <v>1.3498264571372571</v>
      </c>
    </row>
    <row r="1625" spans="1:3" x14ac:dyDescent="0.2">
      <c r="A1625">
        <v>0.10245416387915611</v>
      </c>
      <c r="B1625">
        <v>0.21598880821481703</v>
      </c>
      <c r="C1625">
        <v>0.47434941062898861</v>
      </c>
    </row>
    <row r="1626" spans="1:3" x14ac:dyDescent="0.2">
      <c r="A1626">
        <v>-2.3293402045965195E-3</v>
      </c>
      <c r="B1626">
        <v>0.47121836479638934</v>
      </c>
      <c r="C1626">
        <v>-4.9432288268370303E-3</v>
      </c>
    </row>
    <row r="1627" spans="1:3" x14ac:dyDescent="0.2">
      <c r="A1627">
        <v>1.7740637063980103E-2</v>
      </c>
      <c r="B1627">
        <v>0.49582597008663065</v>
      </c>
      <c r="C1627">
        <v>3.5779967436720711E-2</v>
      </c>
    </row>
    <row r="1628" spans="1:3" x14ac:dyDescent="0.2">
      <c r="A1628">
        <v>0.87614362239837651</v>
      </c>
      <c r="B1628">
        <v>0.60809942093009828</v>
      </c>
      <c r="C1628">
        <v>1.440790094912934</v>
      </c>
    </row>
    <row r="1629" spans="1:3" x14ac:dyDescent="0.2">
      <c r="A1629">
        <v>-0.37610379196703436</v>
      </c>
      <c r="B1629">
        <v>0.20789908626007991</v>
      </c>
      <c r="C1629">
        <v>-1.8090689994497227</v>
      </c>
    </row>
    <row r="1630" spans="1:3" x14ac:dyDescent="0.2">
      <c r="A1630">
        <v>-0.20317744612693786</v>
      </c>
      <c r="B1630">
        <v>0.56052270709676888</v>
      </c>
      <c r="C1630">
        <v>-0.36247852862071689</v>
      </c>
    </row>
    <row r="1631" spans="1:3" x14ac:dyDescent="0.2">
      <c r="A1631">
        <v>-0.12105064019560814</v>
      </c>
      <c r="B1631">
        <v>0.37122044544837751</v>
      </c>
      <c r="C1631">
        <v>-0.32608828980148841</v>
      </c>
    </row>
    <row r="1632" spans="1:3" x14ac:dyDescent="0.2">
      <c r="A1632">
        <v>0.20063325837254525</v>
      </c>
      <c r="B1632">
        <v>0.35788478469942037</v>
      </c>
      <c r="C1632">
        <v>0.56060851690315017</v>
      </c>
    </row>
    <row r="1633" spans="1:3" x14ac:dyDescent="0.2">
      <c r="A1633">
        <v>-0.43502737842500211</v>
      </c>
      <c r="B1633">
        <v>0.16452121406936188</v>
      </c>
      <c r="C1633">
        <v>-2.6442023351565793</v>
      </c>
    </row>
    <row r="1634" spans="1:3" x14ac:dyDescent="0.2">
      <c r="A1634">
        <v>7.9300460219383237E-2</v>
      </c>
      <c r="B1634">
        <v>0.28202917425030577</v>
      </c>
      <c r="C1634">
        <v>0.28117821650962505</v>
      </c>
    </row>
    <row r="1635" spans="1:3" x14ac:dyDescent="0.2">
      <c r="A1635">
        <v>-0.32678139209747314</v>
      </c>
      <c r="B1635">
        <v>0.40740201932668679</v>
      </c>
      <c r="C1635">
        <v>-0.80211038874462293</v>
      </c>
    </row>
    <row r="1636" spans="1:3" x14ac:dyDescent="0.2">
      <c r="A1636">
        <v>-0.62544756084680553</v>
      </c>
      <c r="B1636">
        <v>0.25827721795992487</v>
      </c>
      <c r="C1636">
        <v>-2.4216133571016396</v>
      </c>
    </row>
    <row r="1637" spans="1:3" x14ac:dyDescent="0.2">
      <c r="A1637">
        <v>-0.5637746140360832</v>
      </c>
      <c r="B1637">
        <v>0.50233267177161411</v>
      </c>
      <c r="C1637">
        <v>-1.1223132511922371</v>
      </c>
    </row>
    <row r="1638" spans="1:3" x14ac:dyDescent="0.2">
      <c r="A1638">
        <v>0.37233962789177893</v>
      </c>
      <c r="B1638">
        <v>0.25267929311613896</v>
      </c>
      <c r="C1638">
        <v>1.4735660500705949</v>
      </c>
    </row>
    <row r="1639" spans="1:3" x14ac:dyDescent="0.2">
      <c r="A1639">
        <v>0.17758489549160003</v>
      </c>
      <c r="B1639">
        <v>0.37197858766049741</v>
      </c>
      <c r="C1639">
        <v>0.47740623084918177</v>
      </c>
    </row>
    <row r="1640" spans="1:3" x14ac:dyDescent="0.2">
      <c r="A1640">
        <v>-0.43830696195364</v>
      </c>
      <c r="B1640">
        <v>0.54801253060559396</v>
      </c>
      <c r="C1640">
        <v>-0.7998119339885873</v>
      </c>
    </row>
    <row r="1641" spans="1:3" x14ac:dyDescent="0.2">
      <c r="A1641">
        <v>-0.26945119649171828</v>
      </c>
      <c r="B1641">
        <v>0.66755401793890978</v>
      </c>
      <c r="C1641">
        <v>-0.40363953964902466</v>
      </c>
    </row>
    <row r="1642" spans="1:3" x14ac:dyDescent="0.2">
      <c r="A1642">
        <v>0.51373203396797185</v>
      </c>
      <c r="B1642">
        <v>0.57368135217005667</v>
      </c>
      <c r="C1642">
        <v>0.89550066779177095</v>
      </c>
    </row>
    <row r="1643" spans="1:3" x14ac:dyDescent="0.2">
      <c r="A1643">
        <v>0.92986175119876857</v>
      </c>
      <c r="B1643">
        <v>0.31633310276646609</v>
      </c>
      <c r="C1643">
        <v>2.9395018828783215</v>
      </c>
    </row>
    <row r="1644" spans="1:3" x14ac:dyDescent="0.2">
      <c r="A1644">
        <v>-0.54838284999132159</v>
      </c>
      <c r="B1644">
        <v>0.27344726764052674</v>
      </c>
      <c r="C1644">
        <v>-2.0054427850865371</v>
      </c>
    </row>
    <row r="1645" spans="1:3" x14ac:dyDescent="0.2">
      <c r="A1645">
        <v>7.9359918832778931E-2</v>
      </c>
      <c r="B1645">
        <v>0.51226286915066688</v>
      </c>
      <c r="C1645">
        <v>0.15492030286004893</v>
      </c>
    </row>
    <row r="1646" spans="1:3" x14ac:dyDescent="0.2">
      <c r="A1646">
        <v>0.53980128169059749</v>
      </c>
      <c r="B1646">
        <v>0.3889469445602679</v>
      </c>
      <c r="C1646">
        <v>1.3878532515556359</v>
      </c>
    </row>
    <row r="1647" spans="1:3" x14ac:dyDescent="0.2">
      <c r="A1647">
        <v>-0.22532449960708617</v>
      </c>
      <c r="B1647">
        <v>0.50769310114675592</v>
      </c>
      <c r="C1647">
        <v>-0.44382029044344434</v>
      </c>
    </row>
    <row r="1648" spans="1:3" x14ac:dyDescent="0.2">
      <c r="A1648">
        <v>0.22388753592967986</v>
      </c>
      <c r="B1648">
        <v>0.18948660831370095</v>
      </c>
      <c r="C1648">
        <v>1.1815480678139909</v>
      </c>
    </row>
    <row r="1649" spans="1:3" x14ac:dyDescent="0.2">
      <c r="A1649">
        <v>0.64594853222370152</v>
      </c>
      <c r="B1649">
        <v>0.65968198783423204</v>
      </c>
      <c r="C1649">
        <v>0.97918170290564077</v>
      </c>
    </row>
    <row r="1650" spans="1:3" x14ac:dyDescent="0.2">
      <c r="A1650">
        <v>-0.30271822810173032</v>
      </c>
      <c r="B1650">
        <v>0.47329271467251255</v>
      </c>
      <c r="C1650">
        <v>-0.63960043904582697</v>
      </c>
    </row>
    <row r="1651" spans="1:3" x14ac:dyDescent="0.2">
      <c r="A1651">
        <v>0.76426891088485716</v>
      </c>
      <c r="B1651">
        <v>0.45554471525453005</v>
      </c>
      <c r="C1651">
        <v>1.6777033851832333</v>
      </c>
    </row>
    <row r="1652" spans="1:3" x14ac:dyDescent="0.2">
      <c r="A1652">
        <v>8.0845451354980474E-2</v>
      </c>
      <c r="B1652">
        <v>0.4415171772010838</v>
      </c>
      <c r="C1652">
        <v>0.18310828101294996</v>
      </c>
    </row>
    <row r="1653" spans="1:3" x14ac:dyDescent="0.2">
      <c r="A1653">
        <v>0.61612546741962437</v>
      </c>
      <c r="B1653">
        <v>0.32304894524410799</v>
      </c>
      <c r="C1653">
        <v>1.9072201797596233</v>
      </c>
    </row>
    <row r="1654" spans="1:3" x14ac:dyDescent="0.2">
      <c r="A1654">
        <v>-0.85528582334518433</v>
      </c>
      <c r="B1654">
        <v>0.41142946587442786</v>
      </c>
      <c r="C1654">
        <v>-2.0788151901746037</v>
      </c>
    </row>
    <row r="1655" spans="1:3" x14ac:dyDescent="0.2">
      <c r="A1655">
        <v>-0.5917159840464592</v>
      </c>
      <c r="B1655">
        <v>0.45935644541527398</v>
      </c>
      <c r="C1655">
        <v>-1.2881412461983148</v>
      </c>
    </row>
    <row r="1656" spans="1:3" x14ac:dyDescent="0.2">
      <c r="A1656">
        <v>0.31829942315816878</v>
      </c>
      <c r="B1656">
        <v>0.35705538259032554</v>
      </c>
      <c r="C1656">
        <v>0.89145672822239974</v>
      </c>
    </row>
    <row r="1657" spans="1:3" x14ac:dyDescent="0.2">
      <c r="A1657">
        <v>-0.35012931525707247</v>
      </c>
      <c r="B1657">
        <v>0.25716887602453009</v>
      </c>
      <c r="C1657">
        <v>-1.3614762434303105</v>
      </c>
    </row>
    <row r="1658" spans="1:3" x14ac:dyDescent="0.2">
      <c r="A1658">
        <v>-1.1166210889816284</v>
      </c>
      <c r="B1658">
        <v>0.48396750830394442</v>
      </c>
      <c r="C1658">
        <v>-2.307223253260962</v>
      </c>
    </row>
    <row r="1659" spans="1:3" x14ac:dyDescent="0.2">
      <c r="A1659">
        <v>-0.55214552879333501</v>
      </c>
      <c r="B1659">
        <v>0.43659044693864729</v>
      </c>
      <c r="C1659">
        <v>-1.2646761574032477</v>
      </c>
    </row>
    <row r="1660" spans="1:3" x14ac:dyDescent="0.2">
      <c r="A1660">
        <v>0.30936159789562223</v>
      </c>
      <c r="B1660">
        <v>0.36581513666294774</v>
      </c>
      <c r="C1660">
        <v>0.84567741159562715</v>
      </c>
    </row>
    <row r="1661" spans="1:3" x14ac:dyDescent="0.2">
      <c r="A1661">
        <v>-0.42639471367001536</v>
      </c>
      <c r="B1661">
        <v>0.39253180014607503</v>
      </c>
      <c r="C1661">
        <v>-1.0862679495300476</v>
      </c>
    </row>
    <row r="1662" spans="1:3" x14ac:dyDescent="0.2">
      <c r="A1662">
        <v>-0.21854640841484069</v>
      </c>
      <c r="B1662">
        <v>0.2286518185524623</v>
      </c>
      <c r="C1662">
        <v>-0.95580437452194145</v>
      </c>
    </row>
    <row r="1663" spans="1:3" x14ac:dyDescent="0.2">
      <c r="A1663">
        <v>-0.77912572622299192</v>
      </c>
      <c r="B1663">
        <v>0.1915393967262016</v>
      </c>
      <c r="C1663">
        <v>-4.0677048144655226</v>
      </c>
    </row>
    <row r="1664" spans="1:3" x14ac:dyDescent="0.2">
      <c r="A1664">
        <v>-1.351057145372033</v>
      </c>
      <c r="B1664">
        <v>0.42276373568986408</v>
      </c>
      <c r="C1664">
        <v>-3.1957735049516103</v>
      </c>
    </row>
    <row r="1665" spans="1:3" x14ac:dyDescent="0.2">
      <c r="A1665">
        <v>0.79282034635543819</v>
      </c>
      <c r="B1665">
        <v>0.63732133436864968</v>
      </c>
      <c r="C1665">
        <v>1.2439883989460836</v>
      </c>
    </row>
    <row r="1666" spans="1:3" x14ac:dyDescent="0.2">
      <c r="A1666">
        <v>0.36254366338253019</v>
      </c>
      <c r="B1666">
        <v>0.50631977123249061</v>
      </c>
      <c r="C1666">
        <v>0.71603694736237811</v>
      </c>
    </row>
    <row r="1667" spans="1:3" x14ac:dyDescent="0.2">
      <c r="A1667">
        <v>-7.6247442886233335E-2</v>
      </c>
      <c r="B1667">
        <v>0.49288276705439416</v>
      </c>
      <c r="C1667">
        <v>-0.15469691371420727</v>
      </c>
    </row>
    <row r="1668" spans="1:3" x14ac:dyDescent="0.2">
      <c r="A1668">
        <v>0.21330888005904852</v>
      </c>
      <c r="B1668">
        <v>0.15458522751093354</v>
      </c>
      <c r="C1668">
        <v>1.3798788117963054</v>
      </c>
    </row>
    <row r="1669" spans="1:3" x14ac:dyDescent="0.2">
      <c r="A1669">
        <v>0.16984794437885284</v>
      </c>
      <c r="B1669">
        <v>0.30133052811921424</v>
      </c>
      <c r="C1669">
        <v>0.56365992997449155</v>
      </c>
    </row>
    <row r="1670" spans="1:3" x14ac:dyDescent="0.2">
      <c r="A1670">
        <v>-0.64000860005617144</v>
      </c>
      <c r="B1670">
        <v>0.41654238241210056</v>
      </c>
      <c r="C1670">
        <v>-1.5364789444714597</v>
      </c>
    </row>
    <row r="1671" spans="1:3" x14ac:dyDescent="0.2">
      <c r="A1671">
        <v>-0.22631539702415465</v>
      </c>
      <c r="B1671">
        <v>0.34448067291626794</v>
      </c>
      <c r="C1671">
        <v>-0.65697560071581884</v>
      </c>
    </row>
    <row r="1672" spans="1:3" x14ac:dyDescent="0.2">
      <c r="A1672">
        <v>0.68173334449529643</v>
      </c>
      <c r="B1672">
        <v>0.35506083893507817</v>
      </c>
      <c r="C1672">
        <v>1.9200465659349983</v>
      </c>
    </row>
    <row r="1673" spans="1:3" x14ac:dyDescent="0.2">
      <c r="A1673">
        <v>-0.32495250701904299</v>
      </c>
      <c r="B1673">
        <v>0.24188427448872976</v>
      </c>
      <c r="C1673">
        <v>-1.3434213848994292</v>
      </c>
    </row>
    <row r="1674" spans="1:3" x14ac:dyDescent="0.2">
      <c r="A1674">
        <v>-0.60089989453554149</v>
      </c>
      <c r="B1674">
        <v>0.35427111607035539</v>
      </c>
      <c r="C1674">
        <v>-1.6961583015878936</v>
      </c>
    </row>
    <row r="1675" spans="1:3" x14ac:dyDescent="0.2">
      <c r="A1675">
        <v>0.14252520278096198</v>
      </c>
      <c r="B1675">
        <v>0.1499249217115553</v>
      </c>
      <c r="C1675">
        <v>0.95064383662090646</v>
      </c>
    </row>
    <row r="1676" spans="1:3" x14ac:dyDescent="0.2">
      <c r="A1676">
        <v>0.6401903420686722</v>
      </c>
      <c r="B1676">
        <v>0.28542570600812822</v>
      </c>
      <c r="C1676">
        <v>2.2429316231609535</v>
      </c>
    </row>
    <row r="1677" spans="1:3" x14ac:dyDescent="0.2">
      <c r="A1677">
        <v>-0.83154020607471468</v>
      </c>
      <c r="B1677">
        <v>0.26592347874156935</v>
      </c>
      <c r="C1677">
        <v>-3.1269905538608906</v>
      </c>
    </row>
    <row r="1678" spans="1:3" x14ac:dyDescent="0.2">
      <c r="A1678">
        <v>0.14726518988609313</v>
      </c>
      <c r="B1678">
        <v>0.25657642645698786</v>
      </c>
      <c r="C1678">
        <v>0.57396227673620859</v>
      </c>
    </row>
    <row r="1679" spans="1:3" x14ac:dyDescent="0.2">
      <c r="A1679">
        <v>-1.2609460949897766E-2</v>
      </c>
      <c r="B1679">
        <v>0.4275826843982144</v>
      </c>
      <c r="C1679">
        <v>-2.9490111293081222E-2</v>
      </c>
    </row>
    <row r="1680" spans="1:3" x14ac:dyDescent="0.2">
      <c r="A1680">
        <v>0.43258637189865112</v>
      </c>
      <c r="B1680">
        <v>0.67684840395778034</v>
      </c>
      <c r="C1680">
        <v>0.63911855205561585</v>
      </c>
    </row>
    <row r="1681" spans="1:3" x14ac:dyDescent="0.2">
      <c r="A1681">
        <v>-0.71561765372753139</v>
      </c>
      <c r="B1681">
        <v>0.30397163988592296</v>
      </c>
      <c r="C1681">
        <v>-2.3542250651938925</v>
      </c>
    </row>
    <row r="1682" spans="1:3" x14ac:dyDescent="0.2">
      <c r="A1682">
        <v>-0.14479535818099976</v>
      </c>
      <c r="B1682">
        <v>0.83933768769445283</v>
      </c>
      <c r="C1682">
        <v>-0.17251144599348689</v>
      </c>
    </row>
    <row r="1683" spans="1:3" x14ac:dyDescent="0.2">
      <c r="A1683">
        <v>-0.66419884562492371</v>
      </c>
      <c r="B1683">
        <v>0.35704979178634888</v>
      </c>
      <c r="C1683">
        <v>-1.8602415150612002</v>
      </c>
    </row>
    <row r="1684" spans="1:3" x14ac:dyDescent="0.2">
      <c r="A1684">
        <v>-0.22236761897802354</v>
      </c>
      <c r="B1684">
        <v>0.31097402321131035</v>
      </c>
      <c r="C1684">
        <v>-0.71506814839939936</v>
      </c>
    </row>
    <row r="1685" spans="1:3" x14ac:dyDescent="0.2">
      <c r="A1685">
        <v>0.43855051398277284</v>
      </c>
      <c r="B1685">
        <v>0.32500501634218631</v>
      </c>
      <c r="C1685">
        <v>1.3493653695518302</v>
      </c>
    </row>
    <row r="1686" spans="1:3" x14ac:dyDescent="0.2">
      <c r="A1686">
        <v>-4.7704225778579711E-2</v>
      </c>
      <c r="B1686">
        <v>0.29178418969314329</v>
      </c>
      <c r="C1686">
        <v>-0.16349146891319974</v>
      </c>
    </row>
    <row r="1687" spans="1:3" x14ac:dyDescent="0.2">
      <c r="A1687">
        <v>-0.79228734970092773</v>
      </c>
      <c r="B1687">
        <v>0.50495451712854955</v>
      </c>
      <c r="C1687">
        <v>-1.569027155567023</v>
      </c>
    </row>
    <row r="1688" spans="1:3" x14ac:dyDescent="0.2">
      <c r="A1688">
        <v>0.64721675962209702</v>
      </c>
      <c r="B1688">
        <v>0.2286204230381374</v>
      </c>
      <c r="C1688">
        <v>2.8309665034349591</v>
      </c>
    </row>
    <row r="1689" spans="1:3" x14ac:dyDescent="0.2">
      <c r="A1689">
        <v>-0.31032408475875856</v>
      </c>
      <c r="B1689">
        <v>0.44470717450834241</v>
      </c>
      <c r="C1689">
        <v>-0.69781668150923226</v>
      </c>
    </row>
    <row r="1690" spans="1:3" x14ac:dyDescent="0.2">
      <c r="A1690">
        <v>-0.47210025489330293</v>
      </c>
      <c r="B1690">
        <v>0.12190550905217465</v>
      </c>
      <c r="C1690">
        <v>-3.8726736680230549</v>
      </c>
    </row>
    <row r="1691" spans="1:3" x14ac:dyDescent="0.2">
      <c r="A1691">
        <v>-0.17192931175231935</v>
      </c>
      <c r="B1691">
        <v>0.66255233255411816</v>
      </c>
      <c r="C1691">
        <v>-0.25949544406482927</v>
      </c>
    </row>
    <row r="1692" spans="1:3" x14ac:dyDescent="0.2">
      <c r="A1692">
        <v>0.5261526942253113</v>
      </c>
      <c r="B1692">
        <v>9.8913065029010261E-2</v>
      </c>
      <c r="C1692">
        <v>5.319344760684503</v>
      </c>
    </row>
    <row r="1693" spans="1:3" x14ac:dyDescent="0.2">
      <c r="A1693">
        <v>0.50852565765380864</v>
      </c>
      <c r="B1693">
        <v>0.33231253710498287</v>
      </c>
      <c r="C1693">
        <v>1.5302632337736846</v>
      </c>
    </row>
    <row r="1694" spans="1:3" x14ac:dyDescent="0.2">
      <c r="A1694">
        <v>-0.44209219813346862</v>
      </c>
      <c r="B1694">
        <v>0.25832183581449841</v>
      </c>
      <c r="C1694">
        <v>-1.7114008064379667</v>
      </c>
    </row>
    <row r="1695" spans="1:3" x14ac:dyDescent="0.2">
      <c r="A1695">
        <v>0.12665103971958161</v>
      </c>
      <c r="B1695">
        <v>0.30618291734013847</v>
      </c>
      <c r="C1695">
        <v>0.41364502245853585</v>
      </c>
    </row>
    <row r="1696" spans="1:3" x14ac:dyDescent="0.2">
      <c r="A1696">
        <v>0.77632660865783687</v>
      </c>
      <c r="B1696">
        <v>0.40173334209119149</v>
      </c>
      <c r="C1696">
        <v>1.9324425615676544</v>
      </c>
    </row>
    <row r="1697" spans="1:3" x14ac:dyDescent="0.2">
      <c r="A1697">
        <v>0.24187492579221725</v>
      </c>
      <c r="B1697">
        <v>0.39940615899979764</v>
      </c>
      <c r="C1697">
        <v>0.60558636951900335</v>
      </c>
    </row>
    <row r="1698" spans="1:3" x14ac:dyDescent="0.2">
      <c r="A1698">
        <v>-3.0179354548454284E-2</v>
      </c>
      <c r="B1698">
        <v>0.48203860592726977</v>
      </c>
      <c r="C1698">
        <v>-6.2607754186824946E-2</v>
      </c>
    </row>
    <row r="1699" spans="1:3" x14ac:dyDescent="0.2">
      <c r="A1699">
        <v>0.61934141516685481</v>
      </c>
      <c r="B1699">
        <v>0.56456514887376652</v>
      </c>
      <c r="C1699">
        <v>1.0970238180701728</v>
      </c>
    </row>
    <row r="1700" spans="1:3" x14ac:dyDescent="0.2">
      <c r="A1700">
        <v>-0.64277586936950681</v>
      </c>
      <c r="B1700">
        <v>0.50599041110209797</v>
      </c>
      <c r="C1700">
        <v>-1.2703321155226566</v>
      </c>
    </row>
    <row r="1701" spans="1:3" x14ac:dyDescent="0.2">
      <c r="A1701">
        <v>0.27239645719528199</v>
      </c>
      <c r="B1701">
        <v>0.35093947548551563</v>
      </c>
      <c r="C1701">
        <v>0.77619212491962775</v>
      </c>
    </row>
    <row r="1702" spans="1:3" x14ac:dyDescent="0.2">
      <c r="A1702">
        <v>-3.6030906438827517E-2</v>
      </c>
      <c r="B1702">
        <v>0.22770094994183052</v>
      </c>
      <c r="C1702">
        <v>-0.15823783979835013</v>
      </c>
    </row>
    <row r="1703" spans="1:3" x14ac:dyDescent="0.2">
      <c r="A1703">
        <v>0.91000535488128664</v>
      </c>
      <c r="B1703">
        <v>0.65556532690569347</v>
      </c>
      <c r="C1703">
        <v>1.3881230710851731</v>
      </c>
    </row>
    <row r="1704" spans="1:3" x14ac:dyDescent="0.2">
      <c r="A1704">
        <v>-8.2435223460197452E-2</v>
      </c>
      <c r="B1704">
        <v>0.34856445402086772</v>
      </c>
      <c r="C1704">
        <v>-0.23649922563607778</v>
      </c>
    </row>
    <row r="1705" spans="1:3" x14ac:dyDescent="0.2">
      <c r="A1705">
        <v>0.35813850611448289</v>
      </c>
      <c r="B1705">
        <v>0.42976144047133646</v>
      </c>
      <c r="C1705">
        <v>0.83334257657387356</v>
      </c>
    </row>
    <row r="1706" spans="1:3" x14ac:dyDescent="0.2">
      <c r="A1706">
        <v>-0.14116233196109534</v>
      </c>
      <c r="B1706">
        <v>0.31017276378041031</v>
      </c>
      <c r="C1706">
        <v>-0.45510872792503643</v>
      </c>
    </row>
    <row r="1707" spans="1:3" x14ac:dyDescent="0.2">
      <c r="A1707">
        <v>0.10116609334945678</v>
      </c>
      <c r="B1707">
        <v>0.36108715980808415</v>
      </c>
      <c r="C1707">
        <v>0.28017084130941128</v>
      </c>
    </row>
    <row r="1708" spans="1:3" x14ac:dyDescent="0.2">
      <c r="A1708">
        <v>-0.99992634654045109</v>
      </c>
      <c r="B1708">
        <v>0.39948047232828371</v>
      </c>
      <c r="C1708">
        <v>-2.5030668976448367</v>
      </c>
    </row>
    <row r="1709" spans="1:3" x14ac:dyDescent="0.2">
      <c r="A1709">
        <v>-0.22732789143919946</v>
      </c>
      <c r="B1709">
        <v>0.41656375095473525</v>
      </c>
      <c r="C1709">
        <v>-0.54572173147130465</v>
      </c>
    </row>
    <row r="1710" spans="1:3" x14ac:dyDescent="0.2">
      <c r="A1710">
        <v>0.14287550300359725</v>
      </c>
      <c r="B1710">
        <v>9.1180040792019579E-2</v>
      </c>
      <c r="C1710">
        <v>1.5669602882663138</v>
      </c>
    </row>
    <row r="1711" spans="1:3" x14ac:dyDescent="0.2">
      <c r="A1711">
        <v>-0.56248465180397034</v>
      </c>
      <c r="B1711">
        <v>0.34704604109059045</v>
      </c>
      <c r="C1711">
        <v>-1.6207781827343863</v>
      </c>
    </row>
    <row r="1712" spans="1:3" x14ac:dyDescent="0.2">
      <c r="A1712">
        <v>-9.049901962280274E-2</v>
      </c>
      <c r="B1712">
        <v>0.39632981145460966</v>
      </c>
      <c r="C1712">
        <v>-0.22834270097082338</v>
      </c>
    </row>
    <row r="1713" spans="1:3" x14ac:dyDescent="0.2">
      <c r="A1713">
        <v>-0.32993714064359664</v>
      </c>
      <c r="B1713">
        <v>0.34332371297314823</v>
      </c>
      <c r="C1713">
        <v>-0.96100889095709341</v>
      </c>
    </row>
    <row r="1714" spans="1:3" x14ac:dyDescent="0.2">
      <c r="A1714">
        <v>1.1001484110951423</v>
      </c>
      <c r="B1714">
        <v>0.38816880816633237</v>
      </c>
      <c r="C1714">
        <v>2.8342009660490879</v>
      </c>
    </row>
    <row r="1715" spans="1:3" x14ac:dyDescent="0.2">
      <c r="A1715">
        <v>0.1933985471725464</v>
      </c>
      <c r="B1715">
        <v>0.2844612587908173</v>
      </c>
      <c r="C1715">
        <v>0.67987657790252842</v>
      </c>
    </row>
    <row r="1716" spans="1:3" x14ac:dyDescent="0.2">
      <c r="A1716">
        <v>-0.47693314552307131</v>
      </c>
      <c r="B1716">
        <v>0.41010930155937686</v>
      </c>
      <c r="C1716">
        <v>-1.1629415468257052</v>
      </c>
    </row>
    <row r="1717" spans="1:3" x14ac:dyDescent="0.2">
      <c r="A1717">
        <v>0.15256723761558533</v>
      </c>
      <c r="B1717">
        <v>0.31533249160695831</v>
      </c>
      <c r="C1717">
        <v>0.48382974059568395</v>
      </c>
    </row>
    <row r="1718" spans="1:3" x14ac:dyDescent="0.2">
      <c r="A1718">
        <v>0.1385571002960205</v>
      </c>
      <c r="B1718">
        <v>0.54531019673094483</v>
      </c>
      <c r="C1718">
        <v>0.25408859237668785</v>
      </c>
    </row>
    <row r="1719" spans="1:3" x14ac:dyDescent="0.2">
      <c r="A1719">
        <v>-0.19665860384702682</v>
      </c>
      <c r="B1719">
        <v>0.19661337624706554</v>
      </c>
      <c r="C1719">
        <v>-1.0002300331789453</v>
      </c>
    </row>
    <row r="1720" spans="1:3" x14ac:dyDescent="0.2">
      <c r="A1720">
        <v>0.17113028168678285</v>
      </c>
      <c r="B1720">
        <v>0.5870755685028074</v>
      </c>
      <c r="C1720">
        <v>0.29149617335159894</v>
      </c>
    </row>
    <row r="1721" spans="1:3" x14ac:dyDescent="0.2">
      <c r="A1721">
        <v>9.0247488021850591E-2</v>
      </c>
      <c r="B1721">
        <v>0.56962295073353197</v>
      </c>
      <c r="C1721">
        <v>0.15843372867198274</v>
      </c>
    </row>
    <row r="1722" spans="1:3" x14ac:dyDescent="0.2">
      <c r="A1722">
        <v>-0.43682379722595216</v>
      </c>
      <c r="B1722">
        <v>0.63273001949230068</v>
      </c>
      <c r="C1722">
        <v>-0.69037944110263227</v>
      </c>
    </row>
    <row r="1723" spans="1:3" x14ac:dyDescent="0.2">
      <c r="A1723">
        <v>0.57170244455337527</v>
      </c>
      <c r="B1723">
        <v>0.91301261888441076</v>
      </c>
      <c r="C1723">
        <v>0.62617145998696644</v>
      </c>
    </row>
    <row r="1724" spans="1:3" x14ac:dyDescent="0.2">
      <c r="A1724">
        <v>0.44696189239621165</v>
      </c>
      <c r="B1724">
        <v>0.45536472506489278</v>
      </c>
      <c r="C1724">
        <v>0.98154702767658675</v>
      </c>
    </row>
    <row r="1725" spans="1:3" x14ac:dyDescent="0.2">
      <c r="A1725">
        <v>2.6551045477390288E-3</v>
      </c>
      <c r="B1725">
        <v>0.5762399866557173</v>
      </c>
      <c r="C1725">
        <v>4.6076367645853057E-3</v>
      </c>
    </row>
    <row r="1726" spans="1:3" x14ac:dyDescent="0.2">
      <c r="A1726">
        <v>0.31123321056365966</v>
      </c>
      <c r="B1726">
        <v>0.48460407326112509</v>
      </c>
      <c r="C1726">
        <v>0.6422422503988201</v>
      </c>
    </row>
    <row r="1727" spans="1:3" x14ac:dyDescent="0.2">
      <c r="A1727">
        <v>0.5619498133659363</v>
      </c>
      <c r="B1727">
        <v>0.4924054801704601</v>
      </c>
      <c r="C1727">
        <v>1.1412338732936145</v>
      </c>
    </row>
    <row r="1728" spans="1:3" x14ac:dyDescent="0.2">
      <c r="A1728">
        <v>-0.2017027258872986</v>
      </c>
      <c r="B1728">
        <v>0.68200889903722128</v>
      </c>
      <c r="C1728">
        <v>-0.29574793843898284</v>
      </c>
    </row>
    <row r="1729" spans="1:3" x14ac:dyDescent="0.2">
      <c r="A1729">
        <v>0.76646630764007573</v>
      </c>
      <c r="B1729">
        <v>0.64370151110130669</v>
      </c>
      <c r="C1729">
        <v>1.1907169618550859</v>
      </c>
    </row>
    <row r="1730" spans="1:3" x14ac:dyDescent="0.2">
      <c r="A1730">
        <v>0.32881900966167449</v>
      </c>
      <c r="B1730">
        <v>0.23833320364679508</v>
      </c>
      <c r="C1730">
        <v>1.379660931126397</v>
      </c>
    </row>
    <row r="1731" spans="1:3" x14ac:dyDescent="0.2">
      <c r="A1731">
        <v>-0.55938799232244496</v>
      </c>
      <c r="B1731">
        <v>0.40491935361712711</v>
      </c>
      <c r="C1731">
        <v>-1.3814800091066435</v>
      </c>
    </row>
    <row r="1732" spans="1:3" x14ac:dyDescent="0.2">
      <c r="A1732">
        <v>-7.9992201924324033E-2</v>
      </c>
      <c r="B1732">
        <v>0.25955379628995029</v>
      </c>
      <c r="C1732">
        <v>-0.30819122304404245</v>
      </c>
    </row>
    <row r="1733" spans="1:3" x14ac:dyDescent="0.2">
      <c r="A1733">
        <v>-0.69188653826713564</v>
      </c>
      <c r="B1733">
        <v>0.33592613298797858</v>
      </c>
      <c r="C1733">
        <v>-2.0596389215479567</v>
      </c>
    </row>
    <row r="1734" spans="1:3" x14ac:dyDescent="0.2">
      <c r="A1734">
        <v>-0.40334753021597863</v>
      </c>
      <c r="B1734">
        <v>0.54294312490769359</v>
      </c>
      <c r="C1734">
        <v>-0.74289094329088745</v>
      </c>
    </row>
    <row r="1735" spans="1:3" x14ac:dyDescent="0.2">
      <c r="A1735">
        <v>-5.2762839198112491E-2</v>
      </c>
      <c r="B1735">
        <v>0.61294733846831317</v>
      </c>
      <c r="C1735">
        <v>-8.6080542139167979E-2</v>
      </c>
    </row>
    <row r="1736" spans="1:3" x14ac:dyDescent="0.2">
      <c r="A1736">
        <v>0.10785819366574287</v>
      </c>
      <c r="B1736">
        <v>0.22486976787635451</v>
      </c>
      <c r="C1736">
        <v>0.47964737405274105</v>
      </c>
    </row>
    <row r="1737" spans="1:3" x14ac:dyDescent="0.2">
      <c r="A1737">
        <v>-0.15996427237987518</v>
      </c>
      <c r="B1737">
        <v>0.37001394406836779</v>
      </c>
      <c r="C1737">
        <v>-0.43231957861111969</v>
      </c>
    </row>
    <row r="1738" spans="1:3" x14ac:dyDescent="0.2">
      <c r="A1738">
        <v>0.11598414778709412</v>
      </c>
      <c r="B1738">
        <v>0.63406837739197641</v>
      </c>
      <c r="C1738">
        <v>0.18292056806894436</v>
      </c>
    </row>
    <row r="1739" spans="1:3" x14ac:dyDescent="0.2">
      <c r="A1739">
        <v>-0.48862925171852112</v>
      </c>
      <c r="B1739">
        <v>0.51433419226777977</v>
      </c>
      <c r="C1739">
        <v>-0.95002288213443176</v>
      </c>
    </row>
    <row r="1740" spans="1:3" x14ac:dyDescent="0.2">
      <c r="A1740">
        <v>1.118420523405075</v>
      </c>
      <c r="B1740">
        <v>0.40287369773042198</v>
      </c>
      <c r="C1740">
        <v>2.7761070769962561</v>
      </c>
    </row>
    <row r="1741" spans="1:3" x14ac:dyDescent="0.2">
      <c r="A1741">
        <v>-0.44584566056728364</v>
      </c>
      <c r="B1741">
        <v>0.52789924967577173</v>
      </c>
      <c r="C1741">
        <v>-0.84456581599825298</v>
      </c>
    </row>
    <row r="1742" spans="1:3" x14ac:dyDescent="0.2">
      <c r="A1742">
        <v>0.69248573780059819</v>
      </c>
      <c r="B1742">
        <v>0.48608679376153507</v>
      </c>
      <c r="C1742">
        <v>1.424613354421471</v>
      </c>
    </row>
    <row r="1743" spans="1:3" x14ac:dyDescent="0.2">
      <c r="A1743">
        <v>-0.38124419450759889</v>
      </c>
      <c r="B1743">
        <v>0.43009185255986526</v>
      </c>
      <c r="C1743">
        <v>-0.88642505603970445</v>
      </c>
    </row>
    <row r="1744" spans="1:3" x14ac:dyDescent="0.2">
      <c r="A1744">
        <v>-0.22283364534378053</v>
      </c>
      <c r="B1744">
        <v>0.56884537993290729</v>
      </c>
      <c r="C1744">
        <v>-0.39172972692520197</v>
      </c>
    </row>
    <row r="1745" spans="1:3" x14ac:dyDescent="0.2">
      <c r="A1745">
        <v>0.10817896723747253</v>
      </c>
      <c r="B1745">
        <v>0.29396846769226004</v>
      </c>
      <c r="C1745">
        <v>0.36799513936548917</v>
      </c>
    </row>
    <row r="1746" spans="1:3" x14ac:dyDescent="0.2">
      <c r="A1746">
        <v>-1.7058232426643373E-2</v>
      </c>
      <c r="B1746">
        <v>0.28964090284464761</v>
      </c>
      <c r="C1746">
        <v>-5.8894418084978702E-2</v>
      </c>
    </row>
    <row r="1747" spans="1:3" x14ac:dyDescent="0.2">
      <c r="A1747">
        <v>-0.16465882062911988</v>
      </c>
      <c r="B1747">
        <v>0.66442026138159183</v>
      </c>
      <c r="C1747">
        <v>-0.24782329829425917</v>
      </c>
    </row>
    <row r="1748" spans="1:3" x14ac:dyDescent="0.2">
      <c r="A1748">
        <v>-0.1935999184846878</v>
      </c>
      <c r="B1748">
        <v>0.4201390509028089</v>
      </c>
      <c r="C1748">
        <v>-0.46079962828657273</v>
      </c>
    </row>
    <row r="1749" spans="1:3" x14ac:dyDescent="0.2">
      <c r="A1749">
        <v>2.4701082706451417E-2</v>
      </c>
      <c r="B1749">
        <v>0.46804258919457947</v>
      </c>
      <c r="C1749">
        <v>5.277528856713172E-2</v>
      </c>
    </row>
    <row r="1750" spans="1:3" x14ac:dyDescent="0.2">
      <c r="A1750">
        <v>-0.47824511677026749</v>
      </c>
      <c r="B1750">
        <v>0.24817005115531512</v>
      </c>
      <c r="C1750">
        <v>-1.9270863448021849</v>
      </c>
    </row>
    <row r="1751" spans="1:3" x14ac:dyDescent="0.2">
      <c r="A1751">
        <v>0.26125812083482741</v>
      </c>
      <c r="B1751">
        <v>0.29432457058653144</v>
      </c>
      <c r="C1751">
        <v>0.88765311137357972</v>
      </c>
    </row>
    <row r="1752" spans="1:3" x14ac:dyDescent="0.2">
      <c r="A1752">
        <v>-0.34826518893241881</v>
      </c>
      <c r="B1752">
        <v>0.40816351290476544</v>
      </c>
      <c r="C1752">
        <v>-0.85324919528923604</v>
      </c>
    </row>
    <row r="1753" spans="1:3" x14ac:dyDescent="0.2">
      <c r="A1753">
        <v>-5.4803729057312012E-2</v>
      </c>
      <c r="B1753">
        <v>0.44659973701669953</v>
      </c>
      <c r="C1753">
        <v>-0.12271330346811817</v>
      </c>
    </row>
    <row r="1754" spans="1:3" x14ac:dyDescent="0.2">
      <c r="A1754">
        <v>-0.51067436784505849</v>
      </c>
      <c r="B1754">
        <v>0.18481017116979503</v>
      </c>
      <c r="C1754">
        <v>-2.763237351129741</v>
      </c>
    </row>
    <row r="1755" spans="1:3" x14ac:dyDescent="0.2">
      <c r="A1755">
        <v>-0.26864266395568848</v>
      </c>
      <c r="B1755">
        <v>0.71389346626230343</v>
      </c>
      <c r="C1755">
        <v>-0.37630637714364795</v>
      </c>
    </row>
    <row r="1756" spans="1:3" x14ac:dyDescent="0.2">
      <c r="A1756">
        <v>0.43573694229125975</v>
      </c>
      <c r="B1756">
        <v>0.3377506391485815</v>
      </c>
      <c r="C1756">
        <v>1.2901143381687952</v>
      </c>
    </row>
    <row r="1757" spans="1:3" x14ac:dyDescent="0.2">
      <c r="A1757">
        <v>0.31488334748428315</v>
      </c>
      <c r="B1757">
        <v>0.32593866297711022</v>
      </c>
      <c r="C1757">
        <v>0.96608160752747685</v>
      </c>
    </row>
    <row r="1758" spans="1:3" x14ac:dyDescent="0.2">
      <c r="A1758">
        <v>0.15413231849670411</v>
      </c>
      <c r="B1758">
        <v>0.17072250976510939</v>
      </c>
      <c r="C1758">
        <v>0.90282364468967158</v>
      </c>
    </row>
    <row r="1759" spans="1:3" x14ac:dyDescent="0.2">
      <c r="A1759">
        <v>0.61120283603668213</v>
      </c>
      <c r="B1759">
        <v>0.56007206650902375</v>
      </c>
      <c r="C1759">
        <v>1.0912931970458031</v>
      </c>
    </row>
    <row r="1760" spans="1:3" x14ac:dyDescent="0.2">
      <c r="A1760">
        <v>2.2089231014251708E-2</v>
      </c>
      <c r="B1760">
        <v>0.25375823444677748</v>
      </c>
      <c r="C1760">
        <v>8.7048331899096026E-2</v>
      </c>
    </row>
    <row r="1761" spans="1:3" x14ac:dyDescent="0.2">
      <c r="A1761">
        <v>-8.2967394590377802E-2</v>
      </c>
      <c r="B1761">
        <v>0.52027136326921097</v>
      </c>
      <c r="C1761">
        <v>-0.15946946237640006</v>
      </c>
    </row>
    <row r="1762" spans="1:3" x14ac:dyDescent="0.2">
      <c r="A1762">
        <v>-0.3533975347876549</v>
      </c>
      <c r="B1762">
        <v>0.43992932316239269</v>
      </c>
      <c r="C1762">
        <v>-0.80330524968712758</v>
      </c>
    </row>
    <row r="1763" spans="1:3" x14ac:dyDescent="0.2">
      <c r="A1763">
        <v>0.34099429845809937</v>
      </c>
      <c r="B1763">
        <v>0.37184996115529351</v>
      </c>
      <c r="C1763">
        <v>0.91702120231146644</v>
      </c>
    </row>
    <row r="1764" spans="1:3" x14ac:dyDescent="0.2">
      <c r="A1764">
        <v>-0.34507071077823637</v>
      </c>
      <c r="B1764">
        <v>0.39148491190446477</v>
      </c>
      <c r="C1764">
        <v>-0.88144063866871325</v>
      </c>
    </row>
    <row r="1765" spans="1:3" x14ac:dyDescent="0.2">
      <c r="A1765">
        <v>-0.58802922964096072</v>
      </c>
      <c r="B1765">
        <v>0.34429358677583161</v>
      </c>
      <c r="C1765">
        <v>-1.7079296630170011</v>
      </c>
    </row>
    <row r="1766" spans="1:3" x14ac:dyDescent="0.2">
      <c r="A1766">
        <v>-0.45099031925201416</v>
      </c>
      <c r="B1766">
        <v>0.26540855404465591</v>
      </c>
      <c r="C1766">
        <v>-1.6992305348837156</v>
      </c>
    </row>
    <row r="1767" spans="1:3" x14ac:dyDescent="0.2">
      <c r="A1767">
        <v>-0.18827732056379318</v>
      </c>
      <c r="B1767">
        <v>0.26731185445733202</v>
      </c>
      <c r="C1767">
        <v>-0.70433584378819891</v>
      </c>
    </row>
    <row r="1768" spans="1:3" x14ac:dyDescent="0.2">
      <c r="A1768">
        <v>0.23542075157165526</v>
      </c>
      <c r="B1768">
        <v>0.41197355972003175</v>
      </c>
      <c r="C1768">
        <v>0.57144626400694765</v>
      </c>
    </row>
    <row r="1769" spans="1:3" x14ac:dyDescent="0.2">
      <c r="A1769">
        <v>-0.56292714476585393</v>
      </c>
      <c r="B1769">
        <v>0.69552142739403655</v>
      </c>
      <c r="C1769">
        <v>-0.80935988827118699</v>
      </c>
    </row>
    <row r="1770" spans="1:3" x14ac:dyDescent="0.2">
      <c r="A1770">
        <v>7.4496367573738093E-2</v>
      </c>
      <c r="B1770">
        <v>0.24120774207373818</v>
      </c>
      <c r="C1770">
        <v>0.30884733190265612</v>
      </c>
    </row>
    <row r="1771" spans="1:3" x14ac:dyDescent="0.2">
      <c r="A1771">
        <v>-0.97318225651979451</v>
      </c>
      <c r="B1771">
        <v>0.6815267512099199</v>
      </c>
      <c r="C1771">
        <v>-1.4279443246975945</v>
      </c>
    </row>
    <row r="1772" spans="1:3" x14ac:dyDescent="0.2">
      <c r="A1772">
        <v>-0.20128740705549716</v>
      </c>
      <c r="B1772">
        <v>0.19373663425136251</v>
      </c>
      <c r="C1772">
        <v>-1.0389744192331634</v>
      </c>
    </row>
    <row r="1773" spans="1:3" x14ac:dyDescent="0.2">
      <c r="A1773">
        <v>0.85865529663860796</v>
      </c>
      <c r="B1773">
        <v>0.68614581295826238</v>
      </c>
      <c r="C1773">
        <v>1.2514181102943482</v>
      </c>
    </row>
    <row r="1774" spans="1:3" x14ac:dyDescent="0.2">
      <c r="A1774">
        <v>0.11409435123205185</v>
      </c>
      <c r="B1774">
        <v>0.49734012765004582</v>
      </c>
      <c r="C1774">
        <v>0.22940910030958636</v>
      </c>
    </row>
    <row r="1775" spans="1:3" x14ac:dyDescent="0.2">
      <c r="A1775">
        <v>-0.36285732425749301</v>
      </c>
      <c r="B1775">
        <v>0.43901788901692718</v>
      </c>
      <c r="C1775">
        <v>-0.82652058910406345</v>
      </c>
    </row>
    <row r="1776" spans="1:3" x14ac:dyDescent="0.2">
      <c r="A1776">
        <v>-0.1769641399383545</v>
      </c>
      <c r="B1776">
        <v>0.40569769825845564</v>
      </c>
      <c r="C1776">
        <v>-0.43619705188866248</v>
      </c>
    </row>
    <row r="1777" spans="1:3" x14ac:dyDescent="0.2">
      <c r="A1777">
        <v>0.45456176102161405</v>
      </c>
      <c r="B1777">
        <v>0.31862789636383027</v>
      </c>
      <c r="C1777">
        <v>1.4266226096617904</v>
      </c>
    </row>
    <row r="1778" spans="1:3" x14ac:dyDescent="0.2">
      <c r="A1778">
        <v>0.40811232924461366</v>
      </c>
      <c r="B1778">
        <v>0.31235878140210399</v>
      </c>
      <c r="C1778">
        <v>1.306549882838878</v>
      </c>
    </row>
    <row r="1779" spans="1:3" x14ac:dyDescent="0.2">
      <c r="A1779">
        <v>-8.8447988033294678E-2</v>
      </c>
      <c r="B1779">
        <v>0.47275166272226921</v>
      </c>
      <c r="C1779">
        <v>-0.1870918602887196</v>
      </c>
    </row>
    <row r="1780" spans="1:3" x14ac:dyDescent="0.2">
      <c r="A1780">
        <v>8.6007583141326907E-2</v>
      </c>
      <c r="B1780">
        <v>0.64779978334526056</v>
      </c>
      <c r="C1780">
        <v>0.13276877416843327</v>
      </c>
    </row>
    <row r="1781" spans="1:3" x14ac:dyDescent="0.2">
      <c r="A1781">
        <v>0.42040517926216125</v>
      </c>
      <c r="B1781">
        <v>0.43526376305957093</v>
      </c>
      <c r="C1781">
        <v>0.96586303511010152</v>
      </c>
    </row>
    <row r="1782" spans="1:3" x14ac:dyDescent="0.2">
      <c r="A1782">
        <v>-0.34801200032234192</v>
      </c>
      <c r="B1782">
        <v>0.18482497318358085</v>
      </c>
      <c r="C1782">
        <v>-1.882927368135866</v>
      </c>
    </row>
    <row r="1783" spans="1:3" x14ac:dyDescent="0.2">
      <c r="A1783">
        <v>-5.7582481205463408E-2</v>
      </c>
      <c r="B1783">
        <v>0.24874568050705301</v>
      </c>
      <c r="C1783">
        <v>-0.23149138143056397</v>
      </c>
    </row>
    <row r="1784" spans="1:3" x14ac:dyDescent="0.2">
      <c r="A1784">
        <v>0.51596806049346922</v>
      </c>
      <c r="B1784">
        <v>0.65454006190358505</v>
      </c>
      <c r="C1784">
        <v>0.78829103140438828</v>
      </c>
    </row>
    <row r="1785" spans="1:3" x14ac:dyDescent="0.2">
      <c r="A1785">
        <v>-0.85158389508724208</v>
      </c>
      <c r="B1785">
        <v>0.2276374873171623</v>
      </c>
      <c r="C1785">
        <v>-3.740965098163946</v>
      </c>
    </row>
    <row r="1786" spans="1:3" x14ac:dyDescent="0.2">
      <c r="A1786">
        <v>0.2466244250535965</v>
      </c>
      <c r="B1786">
        <v>0.58189596652929776</v>
      </c>
      <c r="C1786">
        <v>0.42382906780499097</v>
      </c>
    </row>
    <row r="1787" spans="1:3" x14ac:dyDescent="0.2">
      <c r="A1787">
        <v>-0.43403539657592771</v>
      </c>
      <c r="B1787">
        <v>0.52663992615940336</v>
      </c>
      <c r="C1787">
        <v>-0.82415968675446361</v>
      </c>
    </row>
    <row r="1788" spans="1:3" x14ac:dyDescent="0.2">
      <c r="A1788">
        <v>-0.24444772601127623</v>
      </c>
      <c r="B1788">
        <v>0.52614952311837959</v>
      </c>
      <c r="C1788">
        <v>-0.4645974485778967</v>
      </c>
    </row>
    <row r="1789" spans="1:3" x14ac:dyDescent="0.2">
      <c r="A1789">
        <v>-3.3384466916322707E-2</v>
      </c>
      <c r="B1789">
        <v>0.51542269474355873</v>
      </c>
      <c r="C1789">
        <v>-6.4771045700524846E-2</v>
      </c>
    </row>
    <row r="1790" spans="1:3" x14ac:dyDescent="0.2">
      <c r="A1790">
        <v>-0.70315443873405459</v>
      </c>
      <c r="B1790">
        <v>0.23001282466926484</v>
      </c>
      <c r="C1790">
        <v>-3.0570227540360824</v>
      </c>
    </row>
    <row r="1791" spans="1:3" x14ac:dyDescent="0.2">
      <c r="A1791">
        <v>0.51213477626442905</v>
      </c>
      <c r="B1791">
        <v>0.47592366228833388</v>
      </c>
      <c r="C1791">
        <v>1.0760859710189341</v>
      </c>
    </row>
    <row r="1792" spans="1:3" x14ac:dyDescent="0.2">
      <c r="A1792">
        <v>0.29360804557800291</v>
      </c>
      <c r="B1792">
        <v>0.2913501638422803</v>
      </c>
      <c r="C1792">
        <v>1.0077497184348414</v>
      </c>
    </row>
    <row r="1793" spans="1:3" x14ac:dyDescent="0.2">
      <c r="A1793">
        <v>0.59908286705613134</v>
      </c>
      <c r="B1793">
        <v>0.44280292232924379</v>
      </c>
      <c r="C1793">
        <v>1.3529334086252629</v>
      </c>
    </row>
    <row r="1794" spans="1:3" x14ac:dyDescent="0.2">
      <c r="A1794">
        <v>-2.0321992039680482E-2</v>
      </c>
      <c r="B1794">
        <v>0.37346954492527445</v>
      </c>
      <c r="C1794">
        <v>-5.4414054146628213E-2</v>
      </c>
    </row>
    <row r="1795" spans="1:3" x14ac:dyDescent="0.2">
      <c r="A1795">
        <v>-0.26021057963371275</v>
      </c>
      <c r="B1795">
        <v>0.29364011907449694</v>
      </c>
      <c r="C1795">
        <v>-0.88615472726905187</v>
      </c>
    </row>
    <row r="1796" spans="1:3" x14ac:dyDescent="0.2">
      <c r="A1796">
        <v>-0.18544425666332245</v>
      </c>
      <c r="B1796">
        <v>0.26561905588189066</v>
      </c>
      <c r="C1796">
        <v>-0.69815870720428097</v>
      </c>
    </row>
    <row r="1797" spans="1:3" x14ac:dyDescent="0.2">
      <c r="A1797">
        <v>0.71422468461096289</v>
      </c>
      <c r="B1797">
        <v>0.40874263921517234</v>
      </c>
      <c r="C1797">
        <v>1.7473701446522616</v>
      </c>
    </row>
    <row r="1798" spans="1:3" x14ac:dyDescent="0.2">
      <c r="A1798">
        <v>-0.19115170240402221</v>
      </c>
      <c r="B1798">
        <v>0.36469829599666775</v>
      </c>
      <c r="C1798">
        <v>-0.52413653834502361</v>
      </c>
    </row>
    <row r="1799" spans="1:3" x14ac:dyDescent="0.2">
      <c r="A1799">
        <v>-5.8914506435394288E-2</v>
      </c>
      <c r="B1799">
        <v>0.35698846166790466</v>
      </c>
      <c r="C1799">
        <v>-0.16503196254617505</v>
      </c>
    </row>
    <row r="1800" spans="1:3" x14ac:dyDescent="0.2">
      <c r="A1800">
        <v>0.14131467491388322</v>
      </c>
      <c r="B1800">
        <v>0.20012924709660312</v>
      </c>
      <c r="C1800">
        <v>0.7061170566722319</v>
      </c>
    </row>
    <row r="1801" spans="1:3" x14ac:dyDescent="0.2">
      <c r="A1801">
        <v>0.25761242136359214</v>
      </c>
      <c r="B1801">
        <v>0.48281350105777088</v>
      </c>
      <c r="C1801">
        <v>0.53356507388298491</v>
      </c>
    </row>
    <row r="1802" spans="1:3" x14ac:dyDescent="0.2">
      <c r="A1802">
        <v>-2.8033706545829772E-2</v>
      </c>
      <c r="B1802">
        <v>0.22939056489688914</v>
      </c>
      <c r="C1802">
        <v>-0.12220950132988644</v>
      </c>
    </row>
    <row r="1803" spans="1:3" x14ac:dyDescent="0.2">
      <c r="A1803">
        <v>0.49168802052736282</v>
      </c>
      <c r="B1803">
        <v>0.4148817924069414</v>
      </c>
      <c r="C1803">
        <v>1.1851279798875463</v>
      </c>
    </row>
    <row r="1804" spans="1:3" x14ac:dyDescent="0.2">
      <c r="A1804">
        <v>0.57131690979003902</v>
      </c>
      <c r="B1804">
        <v>0.804470853530589</v>
      </c>
      <c r="C1804">
        <v>0.71017726407699544</v>
      </c>
    </row>
    <row r="1805" spans="1:3" x14ac:dyDescent="0.2">
      <c r="A1805">
        <v>-0.73053296376019716</v>
      </c>
      <c r="B1805">
        <v>0.55182144151447687</v>
      </c>
      <c r="C1805">
        <v>-1.3238575176695664</v>
      </c>
    </row>
    <row r="1806" spans="1:3" x14ac:dyDescent="0.2">
      <c r="A1806">
        <v>-0.4331100732088089</v>
      </c>
      <c r="B1806">
        <v>0.27535840064273637</v>
      </c>
      <c r="C1806">
        <v>-1.5728958048777577</v>
      </c>
    </row>
    <row r="1807" spans="1:3" x14ac:dyDescent="0.2">
      <c r="A1807">
        <v>0.53092224486172201</v>
      </c>
      <c r="B1807">
        <v>0.42489902080091374</v>
      </c>
      <c r="C1807">
        <v>1.2495256963900734</v>
      </c>
    </row>
    <row r="1808" spans="1:3" x14ac:dyDescent="0.2">
      <c r="A1808">
        <v>-0.32297545671463013</v>
      </c>
      <c r="B1808">
        <v>0.49406586414624049</v>
      </c>
      <c r="C1808">
        <v>-0.65370931317576586</v>
      </c>
    </row>
    <row r="1809" spans="1:3" x14ac:dyDescent="0.2">
      <c r="A1809">
        <v>0.77658428549766545</v>
      </c>
      <c r="B1809">
        <v>0.70741259910034093</v>
      </c>
      <c r="C1809">
        <v>1.0977812474435631</v>
      </c>
    </row>
    <row r="1810" spans="1:3" x14ac:dyDescent="0.2">
      <c r="A1810">
        <v>0.21651594638824462</v>
      </c>
      <c r="B1810">
        <v>0.71727594901060698</v>
      </c>
      <c r="C1810">
        <v>0.30185864545842006</v>
      </c>
    </row>
    <row r="1811" spans="1:3" x14ac:dyDescent="0.2">
      <c r="A1811">
        <v>-0.58597916960716245</v>
      </c>
      <c r="B1811">
        <v>0.32809908961087125</v>
      </c>
      <c r="C1811">
        <v>-1.7859823088876581</v>
      </c>
    </row>
    <row r="1812" spans="1:3" x14ac:dyDescent="0.2">
      <c r="A1812">
        <v>0.14206912517547607</v>
      </c>
      <c r="B1812">
        <v>0.54571625551532554</v>
      </c>
      <c r="C1812">
        <v>0.26033515355213072</v>
      </c>
    </row>
    <row r="1813" spans="1:3" x14ac:dyDescent="0.2">
      <c r="A1813">
        <v>-0.30012737959623337</v>
      </c>
      <c r="B1813">
        <v>0.48311321131204832</v>
      </c>
      <c r="C1813">
        <v>-0.62123612554734642</v>
      </c>
    </row>
    <row r="1814" spans="1:3" x14ac:dyDescent="0.2">
      <c r="A1814">
        <v>0.32581805884838105</v>
      </c>
      <c r="B1814">
        <v>0.22104156023243229</v>
      </c>
      <c r="C1814">
        <v>1.4740126630746404</v>
      </c>
    </row>
    <row r="1815" spans="1:3" x14ac:dyDescent="0.2">
      <c r="A1815">
        <v>0.26892092227935793</v>
      </c>
      <c r="B1815">
        <v>0.53581595137498106</v>
      </c>
      <c r="C1815">
        <v>0.50189047487158234</v>
      </c>
    </row>
    <row r="1816" spans="1:3" x14ac:dyDescent="0.2">
      <c r="A1816">
        <v>0.23657264113426207</v>
      </c>
      <c r="B1816">
        <v>0.38503726359132401</v>
      </c>
      <c r="C1816">
        <v>0.61441492422759036</v>
      </c>
    </row>
    <row r="1817" spans="1:3" x14ac:dyDescent="0.2">
      <c r="A1817">
        <v>-8.7231716513633734E-2</v>
      </c>
      <c r="B1817">
        <v>0.36773280006864922</v>
      </c>
      <c r="C1817">
        <v>-0.23721494655181455</v>
      </c>
    </row>
    <row r="1818" spans="1:3" x14ac:dyDescent="0.2">
      <c r="A1818">
        <v>-1.4015904664993286</v>
      </c>
      <c r="B1818">
        <v>0.50755215817165455</v>
      </c>
      <c r="C1818">
        <v>-2.7614708043962439</v>
      </c>
    </row>
    <row r="1819" spans="1:3" x14ac:dyDescent="0.2">
      <c r="A1819">
        <v>-0.30977251529693606</v>
      </c>
      <c r="B1819">
        <v>0.18203322634422364</v>
      </c>
      <c r="C1819">
        <v>-1.7017361144341763</v>
      </c>
    </row>
    <row r="1820" spans="1:3" x14ac:dyDescent="0.2">
      <c r="A1820">
        <v>-0.10576870441436767</v>
      </c>
      <c r="B1820">
        <v>0.49521155805357453</v>
      </c>
      <c r="C1820">
        <v>-0.21358286714892277</v>
      </c>
    </row>
    <row r="1821" spans="1:3" x14ac:dyDescent="0.2">
      <c r="A1821">
        <v>0.35757154822349546</v>
      </c>
      <c r="B1821">
        <v>0.44864938288441714</v>
      </c>
      <c r="C1821">
        <v>0.79699552003087115</v>
      </c>
    </row>
    <row r="1822" spans="1:3" x14ac:dyDescent="0.2">
      <c r="A1822">
        <v>7.3974192142486576E-3</v>
      </c>
      <c r="B1822">
        <v>0.30620324076432465</v>
      </c>
      <c r="C1822">
        <v>2.4158526852242648E-2</v>
      </c>
    </row>
    <row r="1823" spans="1:3" x14ac:dyDescent="0.2">
      <c r="A1823">
        <v>0.66524558067321782</v>
      </c>
      <c r="B1823">
        <v>0.37775716217652994</v>
      </c>
      <c r="C1823">
        <v>1.7610402853522642</v>
      </c>
    </row>
    <row r="1824" spans="1:3" x14ac:dyDescent="0.2">
      <c r="A1824">
        <v>6.2741481512784955E-2</v>
      </c>
      <c r="B1824">
        <v>0.53593572800853162</v>
      </c>
      <c r="C1824">
        <v>0.11706904062157648</v>
      </c>
    </row>
    <row r="1825" spans="1:3" x14ac:dyDescent="0.2">
      <c r="A1825">
        <v>-0.29728902429342269</v>
      </c>
      <c r="B1825">
        <v>0.47189695514401181</v>
      </c>
      <c r="C1825">
        <v>-0.62998716362282337</v>
      </c>
    </row>
    <row r="1826" spans="1:3" x14ac:dyDescent="0.2">
      <c r="A1826">
        <v>-0.25739938020706177</v>
      </c>
      <c r="B1826">
        <v>0.23476710033737791</v>
      </c>
      <c r="C1826">
        <v>-1.0964031154159146</v>
      </c>
    </row>
    <row r="1827" spans="1:3" x14ac:dyDescent="0.2">
      <c r="A1827">
        <v>0.10671686455607414</v>
      </c>
      <c r="B1827">
        <v>0.119721976114589</v>
      </c>
      <c r="C1827">
        <v>0.89137239477180585</v>
      </c>
    </row>
    <row r="1828" spans="1:3" x14ac:dyDescent="0.2">
      <c r="A1828">
        <v>-0.44139472842216493</v>
      </c>
      <c r="B1828">
        <v>0.31473921255616971</v>
      </c>
      <c r="C1828">
        <v>-1.4024141600830615</v>
      </c>
    </row>
    <row r="1829" spans="1:3" x14ac:dyDescent="0.2">
      <c r="A1829">
        <v>0.83467972353100772</v>
      </c>
      <c r="B1829">
        <v>0.65403224636967161</v>
      </c>
      <c r="C1829">
        <v>1.2762057653335195</v>
      </c>
    </row>
    <row r="1830" spans="1:3" x14ac:dyDescent="0.2">
      <c r="A1830">
        <v>0.51146792918443684</v>
      </c>
      <c r="B1830">
        <v>0.48351203860980141</v>
      </c>
      <c r="C1830">
        <v>1.0578183961148402</v>
      </c>
    </row>
    <row r="1831" spans="1:3" x14ac:dyDescent="0.2">
      <c r="A1831">
        <v>-0.29039730727672575</v>
      </c>
      <c r="B1831">
        <v>0.70212335707303108</v>
      </c>
      <c r="C1831">
        <v>-0.4135986993614858</v>
      </c>
    </row>
    <row r="1832" spans="1:3" x14ac:dyDescent="0.2">
      <c r="A1832">
        <v>0.93830082416534422</v>
      </c>
      <c r="B1832">
        <v>0.19173418643167833</v>
      </c>
      <c r="C1832">
        <v>4.8937586020930803</v>
      </c>
    </row>
    <row r="1833" spans="1:3" x14ac:dyDescent="0.2">
      <c r="A1833">
        <v>0.34659484028816223</v>
      </c>
      <c r="B1833">
        <v>0.43880287185146444</v>
      </c>
      <c r="C1833">
        <v>0.78986456680594652</v>
      </c>
    </row>
    <row r="1834" spans="1:3" x14ac:dyDescent="0.2">
      <c r="A1834">
        <v>-0.78331667184829712</v>
      </c>
      <c r="B1834">
        <v>0.41413135717900201</v>
      </c>
      <c r="C1834">
        <v>-1.8914691154616441</v>
      </c>
    </row>
    <row r="1835" spans="1:3" x14ac:dyDescent="0.2">
      <c r="A1835">
        <v>-0.12896387279033661</v>
      </c>
      <c r="B1835">
        <v>0.54914052042351968</v>
      </c>
      <c r="C1835">
        <v>-0.23484676142797545</v>
      </c>
    </row>
    <row r="1836" spans="1:3" x14ac:dyDescent="0.2">
      <c r="A1836">
        <v>0.35489175021648406</v>
      </c>
      <c r="B1836">
        <v>0.53896490586155399</v>
      </c>
      <c r="C1836">
        <v>0.65846912546036251</v>
      </c>
    </row>
    <row r="1837" spans="1:3" x14ac:dyDescent="0.2">
      <c r="A1837">
        <v>-0.41132340133190154</v>
      </c>
      <c r="B1837">
        <v>0.44001001904968084</v>
      </c>
      <c r="C1837">
        <v>-0.93480462608616111</v>
      </c>
    </row>
    <row r="1838" spans="1:3" x14ac:dyDescent="0.2">
      <c r="A1838">
        <v>0.52686702609062197</v>
      </c>
      <c r="B1838">
        <v>0.19459497441168422</v>
      </c>
      <c r="C1838">
        <v>2.7075058216867642</v>
      </c>
    </row>
    <row r="1839" spans="1:3" x14ac:dyDescent="0.2">
      <c r="A1839">
        <v>-0.50020211935043335</v>
      </c>
      <c r="B1839">
        <v>0.5400675057609049</v>
      </c>
      <c r="C1839">
        <v>-0.92618443808370787</v>
      </c>
    </row>
    <row r="1840" spans="1:3" x14ac:dyDescent="0.2">
      <c r="A1840">
        <v>0.29634489528834818</v>
      </c>
      <c r="B1840">
        <v>0.49194241322416371</v>
      </c>
      <c r="C1840">
        <v>0.60239753134136154</v>
      </c>
    </row>
    <row r="1841" spans="1:3" x14ac:dyDescent="0.2">
      <c r="A1841">
        <v>0.47575373649597169</v>
      </c>
      <c r="B1841">
        <v>0.24054784704620696</v>
      </c>
      <c r="C1841">
        <v>1.9777925362374327</v>
      </c>
    </row>
    <row r="1842" spans="1:3" x14ac:dyDescent="0.2">
      <c r="A1842">
        <v>0.17255687862634658</v>
      </c>
      <c r="B1842">
        <v>0.53846841202164997</v>
      </c>
      <c r="C1842">
        <v>0.32045868387802229</v>
      </c>
    </row>
    <row r="1843" spans="1:3" x14ac:dyDescent="0.2">
      <c r="A1843">
        <v>-0.48528075069189069</v>
      </c>
      <c r="B1843">
        <v>0.26327168739461437</v>
      </c>
      <c r="C1843">
        <v>-1.843269800464757</v>
      </c>
    </row>
    <row r="1844" spans="1:3" x14ac:dyDescent="0.2">
      <c r="A1844">
        <v>0.7670292627066374</v>
      </c>
      <c r="B1844">
        <v>0.38033634272881939</v>
      </c>
      <c r="C1844">
        <v>2.0167130419443793</v>
      </c>
    </row>
    <row r="1845" spans="1:3" x14ac:dyDescent="0.2">
      <c r="A1845">
        <v>-0.4418085515499115</v>
      </c>
      <c r="B1845">
        <v>0.29664229869473241</v>
      </c>
      <c r="C1845">
        <v>-1.4893646438620889</v>
      </c>
    </row>
    <row r="1846" spans="1:3" x14ac:dyDescent="0.2">
      <c r="A1846">
        <v>-0.16666295304894446</v>
      </c>
      <c r="B1846">
        <v>0.43108208413195409</v>
      </c>
      <c r="C1846">
        <v>-0.3866153551348448</v>
      </c>
    </row>
    <row r="1847" spans="1:3" x14ac:dyDescent="0.2">
      <c r="A1847">
        <v>-0.27258796691894532</v>
      </c>
      <c r="B1847">
        <v>0.31536961030572713</v>
      </c>
      <c r="C1847">
        <v>-0.86434443272670369</v>
      </c>
    </row>
    <row r="1848" spans="1:3" x14ac:dyDescent="0.2">
      <c r="A1848">
        <v>0.83594146072864528</v>
      </c>
      <c r="B1848">
        <v>0.30852774856813769</v>
      </c>
      <c r="C1848">
        <v>2.7094530868234998</v>
      </c>
    </row>
    <row r="1849" spans="1:3" x14ac:dyDescent="0.2">
      <c r="A1849">
        <v>-0.70402464866638181</v>
      </c>
      <c r="B1849">
        <v>0.43278023840277824</v>
      </c>
      <c r="C1849">
        <v>-1.6267486040135752</v>
      </c>
    </row>
    <row r="1850" spans="1:3" x14ac:dyDescent="0.2">
      <c r="A1850">
        <v>3.3413136005401613E-2</v>
      </c>
      <c r="B1850">
        <v>0.35264688969599151</v>
      </c>
      <c r="C1850">
        <v>9.4749555381606468E-2</v>
      </c>
    </row>
    <row r="1851" spans="1:3" x14ac:dyDescent="0.2">
      <c r="A1851">
        <v>0.14148063559550791</v>
      </c>
      <c r="B1851">
        <v>0.35161065968850952</v>
      </c>
      <c r="C1851">
        <v>0.40237868704221041</v>
      </c>
    </row>
    <row r="1852" spans="1:3" x14ac:dyDescent="0.2">
      <c r="A1852">
        <v>4.5427894592285155E-2</v>
      </c>
      <c r="B1852">
        <v>0.24849236212543904</v>
      </c>
      <c r="C1852">
        <v>0.18281404789960159</v>
      </c>
    </row>
    <row r="1853" spans="1:3" x14ac:dyDescent="0.2">
      <c r="A1853">
        <v>1.3054767251014709E-2</v>
      </c>
      <c r="B1853">
        <v>0.24866715690614979</v>
      </c>
      <c r="C1853">
        <v>5.2498960511869072E-2</v>
      </c>
    </row>
    <row r="1854" spans="1:3" x14ac:dyDescent="0.2">
      <c r="A1854">
        <v>-0.6108313649892807</v>
      </c>
      <c r="B1854">
        <v>0.2579491539610686</v>
      </c>
      <c r="C1854">
        <v>-2.3680301160494266</v>
      </c>
    </row>
    <row r="1855" spans="1:3" x14ac:dyDescent="0.2">
      <c r="A1855">
        <v>-1.611078381538391E-2</v>
      </c>
      <c r="B1855">
        <v>0.53182957093803107</v>
      </c>
      <c r="C1855">
        <v>-3.0293132792462086E-2</v>
      </c>
    </row>
    <row r="1856" spans="1:3" x14ac:dyDescent="0.2">
      <c r="A1856">
        <v>6.6031715273857122E-2</v>
      </c>
      <c r="B1856">
        <v>0.82034710522041587</v>
      </c>
      <c r="C1856">
        <v>8.049240968079642E-2</v>
      </c>
    </row>
    <row r="1857" spans="1:3" x14ac:dyDescent="0.2">
      <c r="A1857">
        <v>-0.78107052445411684</v>
      </c>
      <c r="B1857">
        <v>0.3890291382277038</v>
      </c>
      <c r="C1857">
        <v>-2.0077429881279127</v>
      </c>
    </row>
    <row r="1858" spans="1:3" x14ac:dyDescent="0.2">
      <c r="A1858">
        <v>1.2591067910194398</v>
      </c>
      <c r="B1858">
        <v>0.36320071665478798</v>
      </c>
      <c r="C1858">
        <v>3.4666968793902058</v>
      </c>
    </row>
    <row r="1859" spans="1:3" x14ac:dyDescent="0.2">
      <c r="A1859">
        <v>0.211840158700943</v>
      </c>
      <c r="B1859">
        <v>0.34165014878011085</v>
      </c>
      <c r="C1859">
        <v>0.6200499530216369</v>
      </c>
    </row>
    <row r="1860" spans="1:3" x14ac:dyDescent="0.2">
      <c r="A1860">
        <v>2.0001178979873656E-2</v>
      </c>
      <c r="B1860">
        <v>0.52044053612374597</v>
      </c>
      <c r="C1860">
        <v>3.8431247359867339E-2</v>
      </c>
    </row>
    <row r="1861" spans="1:3" x14ac:dyDescent="0.2">
      <c r="A1861">
        <v>0.56763004660606386</v>
      </c>
      <c r="B1861">
        <v>0.63269638002632989</v>
      </c>
      <c r="C1861">
        <v>0.8971602565237401</v>
      </c>
    </row>
    <row r="1862" spans="1:3" x14ac:dyDescent="0.2">
      <c r="A1862">
        <v>-0.61846977323293684</v>
      </c>
      <c r="B1862">
        <v>0.61311771267010029</v>
      </c>
      <c r="C1862">
        <v>-1.0087292545170952</v>
      </c>
    </row>
    <row r="1863" spans="1:3" x14ac:dyDescent="0.2">
      <c r="A1863">
        <v>-0.18146301284432412</v>
      </c>
      <c r="B1863">
        <v>0.57707092682150241</v>
      </c>
      <c r="C1863">
        <v>-0.31445530247697545</v>
      </c>
    </row>
    <row r="1864" spans="1:3" x14ac:dyDescent="0.2">
      <c r="A1864">
        <v>-0.35504868207499385</v>
      </c>
      <c r="B1864">
        <v>0.23916017878664211</v>
      </c>
      <c r="C1864">
        <v>-1.4845643780511528</v>
      </c>
    </row>
    <row r="1865" spans="1:3" x14ac:dyDescent="0.2">
      <c r="A1865">
        <v>1.4221096038818359E-2</v>
      </c>
      <c r="B1865">
        <v>0.26128549448963001</v>
      </c>
      <c r="C1865">
        <v>5.4427422642027955E-2</v>
      </c>
    </row>
    <row r="1866" spans="1:3" x14ac:dyDescent="0.2">
      <c r="A1866">
        <v>-0.52070814669132237</v>
      </c>
      <c r="B1866">
        <v>0.8596575363133222</v>
      </c>
      <c r="C1866">
        <v>-0.60571579343607151</v>
      </c>
    </row>
    <row r="1867" spans="1:3" x14ac:dyDescent="0.2">
      <c r="A1867">
        <v>-0.77224245248362422</v>
      </c>
      <c r="B1867">
        <v>0.4802287060511396</v>
      </c>
      <c r="C1867">
        <v>-1.6080722429812182</v>
      </c>
    </row>
    <row r="1868" spans="1:3" x14ac:dyDescent="0.2">
      <c r="A1868">
        <v>-2.0919196680188178E-2</v>
      </c>
      <c r="B1868">
        <v>0.68264185844840009</v>
      </c>
      <c r="C1868">
        <v>-3.0644468136976147E-2</v>
      </c>
    </row>
    <row r="1869" spans="1:3" x14ac:dyDescent="0.2">
      <c r="A1869">
        <v>-0.12768609523773194</v>
      </c>
      <c r="B1869">
        <v>0.5042527146721667</v>
      </c>
      <c r="C1869">
        <v>-0.25321845876575078</v>
      </c>
    </row>
    <row r="1870" spans="1:3" x14ac:dyDescent="0.2">
      <c r="A1870">
        <v>0.2373243123292923</v>
      </c>
      <c r="B1870">
        <v>0.41384267521111051</v>
      </c>
      <c r="C1870">
        <v>0.57346505458439678</v>
      </c>
    </row>
    <row r="1871" spans="1:3" x14ac:dyDescent="0.2">
      <c r="A1871">
        <v>-0.14604900069534779</v>
      </c>
      <c r="B1871">
        <v>0.34981435943809253</v>
      </c>
      <c r="C1871">
        <v>-0.41750430408273287</v>
      </c>
    </row>
    <row r="1872" spans="1:3" x14ac:dyDescent="0.2">
      <c r="A1872">
        <v>-0.15331221595406533</v>
      </c>
      <c r="B1872">
        <v>0.26112384857886101</v>
      </c>
      <c r="C1872">
        <v>-0.58712452649748725</v>
      </c>
    </row>
    <row r="1873" spans="1:3" x14ac:dyDescent="0.2">
      <c r="A1873">
        <v>-0.25916396379470824</v>
      </c>
      <c r="B1873">
        <v>0.5112304611227193</v>
      </c>
      <c r="C1873">
        <v>-0.50694155278923558</v>
      </c>
    </row>
    <row r="1874" spans="1:3" x14ac:dyDescent="0.2">
      <c r="A1874">
        <v>0.11179600656032562</v>
      </c>
      <c r="B1874">
        <v>0.45855090754700845</v>
      </c>
      <c r="C1874">
        <v>0.24380282476894855</v>
      </c>
    </row>
    <row r="1875" spans="1:3" x14ac:dyDescent="0.2">
      <c r="A1875">
        <v>-0.40368367135524752</v>
      </c>
      <c r="B1875">
        <v>0.48257348639776809</v>
      </c>
      <c r="C1875">
        <v>-0.83652269081046338</v>
      </c>
    </row>
    <row r="1876" spans="1:3" x14ac:dyDescent="0.2">
      <c r="A1876">
        <v>-0.49227095134556292</v>
      </c>
      <c r="B1876">
        <v>0.35765413056764389</v>
      </c>
      <c r="C1876">
        <v>-1.3763882736773221</v>
      </c>
    </row>
    <row r="1877" spans="1:3" x14ac:dyDescent="0.2">
      <c r="A1877">
        <v>0.19558995515108107</v>
      </c>
      <c r="B1877">
        <v>0.394693789661131</v>
      </c>
      <c r="C1877">
        <v>0.49554860064813061</v>
      </c>
    </row>
    <row r="1878" spans="1:3" x14ac:dyDescent="0.2">
      <c r="A1878">
        <v>-0.52235330939292912</v>
      </c>
      <c r="B1878">
        <v>0.59142647387111114</v>
      </c>
      <c r="C1878">
        <v>-0.88320921106883854</v>
      </c>
    </row>
    <row r="1879" spans="1:3" x14ac:dyDescent="0.2">
      <c r="A1879">
        <v>0.2196395754814148</v>
      </c>
      <c r="B1879">
        <v>0.59848854214459035</v>
      </c>
      <c r="C1879">
        <v>0.36699044345004606</v>
      </c>
    </row>
    <row r="1880" spans="1:3" x14ac:dyDescent="0.2">
      <c r="A1880">
        <v>9.9770033359527582E-2</v>
      </c>
      <c r="B1880">
        <v>0.58273033417120679</v>
      </c>
      <c r="C1880">
        <v>0.17121132624994778</v>
      </c>
    </row>
    <row r="1881" spans="1:3" x14ac:dyDescent="0.2">
      <c r="A1881">
        <v>-0.60126234889030461</v>
      </c>
      <c r="B1881">
        <v>0.36230130141560729</v>
      </c>
      <c r="C1881">
        <v>-1.6595644192858627</v>
      </c>
    </row>
    <row r="1882" spans="1:3" x14ac:dyDescent="0.2">
      <c r="A1882">
        <v>-0.61645347625017166</v>
      </c>
      <c r="B1882">
        <v>0.3934946491791077</v>
      </c>
      <c r="C1882">
        <v>-1.5666120938015078</v>
      </c>
    </row>
    <row r="1883" spans="1:3" x14ac:dyDescent="0.2">
      <c r="A1883">
        <v>-0.35577375516295434</v>
      </c>
      <c r="B1883">
        <v>0.43236657875935175</v>
      </c>
      <c r="C1883">
        <v>-0.82285211818134596</v>
      </c>
    </row>
    <row r="1884" spans="1:3" x14ac:dyDescent="0.2">
      <c r="A1884">
        <v>-0.33761228322982789</v>
      </c>
      <c r="B1884">
        <v>0.65612573116190909</v>
      </c>
      <c r="C1884">
        <v>-0.51455424958256502</v>
      </c>
    </row>
    <row r="1885" spans="1:3" x14ac:dyDescent="0.2">
      <c r="A1885">
        <v>-0.74453088343143459</v>
      </c>
      <c r="B1885">
        <v>0.37142807095388275</v>
      </c>
      <c r="C1885">
        <v>-2.0045089255622712</v>
      </c>
    </row>
    <row r="1886" spans="1:3" x14ac:dyDescent="0.2">
      <c r="A1886">
        <v>0.51010952293872835</v>
      </c>
      <c r="B1886">
        <v>0.38853870251354972</v>
      </c>
      <c r="C1886">
        <v>1.3128924342381028</v>
      </c>
    </row>
    <row r="1887" spans="1:3" x14ac:dyDescent="0.2">
      <c r="A1887">
        <v>-0.13832627944648265</v>
      </c>
      <c r="B1887">
        <v>0.30282600697772305</v>
      </c>
      <c r="C1887">
        <v>-0.45678467588372756</v>
      </c>
    </row>
    <row r="1888" spans="1:3" x14ac:dyDescent="0.2">
      <c r="A1888">
        <v>-0.13909784555435181</v>
      </c>
      <c r="B1888">
        <v>0.35359439598801684</v>
      </c>
      <c r="C1888">
        <v>-0.39338249455476604</v>
      </c>
    </row>
    <row r="1889" spans="1:3" x14ac:dyDescent="0.2">
      <c r="A1889">
        <v>0.19940431155264376</v>
      </c>
      <c r="B1889">
        <v>0.42264078457986226</v>
      </c>
      <c r="C1889">
        <v>0.47180565347205461</v>
      </c>
    </row>
    <row r="1890" spans="1:3" x14ac:dyDescent="0.2">
      <c r="A1890">
        <v>-0.15497380793094634</v>
      </c>
      <c r="B1890">
        <v>0.53685279924982621</v>
      </c>
      <c r="C1890">
        <v>-0.28867095067307036</v>
      </c>
    </row>
    <row r="1891" spans="1:3" x14ac:dyDescent="0.2">
      <c r="A1891">
        <v>-2.8280556201934814E-2</v>
      </c>
      <c r="B1891">
        <v>0.25637662726529131</v>
      </c>
      <c r="C1891">
        <v>-0.11030863656955317</v>
      </c>
    </row>
    <row r="1892" spans="1:3" x14ac:dyDescent="0.2">
      <c r="A1892">
        <v>-8.5193787515163419E-2</v>
      </c>
      <c r="B1892">
        <v>0.3008444588775368</v>
      </c>
      <c r="C1892">
        <v>-0.28318217271817131</v>
      </c>
    </row>
    <row r="1893" spans="1:3" x14ac:dyDescent="0.2">
      <c r="A1893">
        <v>-0.19310364089906215</v>
      </c>
      <c r="B1893">
        <v>0.23325973077739723</v>
      </c>
      <c r="C1893">
        <v>-0.82784816845794718</v>
      </c>
    </row>
    <row r="1894" spans="1:3" x14ac:dyDescent="0.2">
      <c r="A1894">
        <v>0.37713492214679717</v>
      </c>
      <c r="B1894">
        <v>0.29602341283226152</v>
      </c>
      <c r="C1894">
        <v>1.2740036963241708</v>
      </c>
    </row>
    <row r="1895" spans="1:3" x14ac:dyDescent="0.2">
      <c r="A1895">
        <v>-0.1378817617893219</v>
      </c>
      <c r="B1895">
        <v>0.3638469784616718</v>
      </c>
      <c r="C1895">
        <v>-0.37895535747549591</v>
      </c>
    </row>
    <row r="1896" spans="1:3" x14ac:dyDescent="0.2">
      <c r="A1896">
        <v>8.2429585605859751E-2</v>
      </c>
      <c r="B1896">
        <v>0.4623828230999345</v>
      </c>
      <c r="C1896">
        <v>0.17827129704609354</v>
      </c>
    </row>
    <row r="1897" spans="1:3" x14ac:dyDescent="0.2">
      <c r="A1897">
        <v>3.1862439215183259E-2</v>
      </c>
      <c r="B1897">
        <v>0.42063064691157109</v>
      </c>
      <c r="C1897">
        <v>7.5749210023400126E-2</v>
      </c>
    </row>
    <row r="1898" spans="1:3" x14ac:dyDescent="0.2">
      <c r="A1898">
        <v>-0.46292131543159487</v>
      </c>
      <c r="B1898">
        <v>0.27719423524512476</v>
      </c>
      <c r="C1898">
        <v>-1.6700250458752519</v>
      </c>
    </row>
    <row r="1899" spans="1:3" x14ac:dyDescent="0.2">
      <c r="A1899">
        <v>0.37319907620549203</v>
      </c>
      <c r="B1899">
        <v>0.35690434193240456</v>
      </c>
      <c r="C1899">
        <v>1.0456557468168139</v>
      </c>
    </row>
    <row r="1900" spans="1:3" x14ac:dyDescent="0.2">
      <c r="A1900">
        <v>7.1432054042816162E-2</v>
      </c>
      <c r="B1900">
        <v>0.47823607541510488</v>
      </c>
      <c r="C1900">
        <v>0.14936567464262027</v>
      </c>
    </row>
    <row r="1901" spans="1:3" x14ac:dyDescent="0.2">
      <c r="A1901">
        <v>-0.75187236964702608</v>
      </c>
      <c r="B1901">
        <v>0.48389445520731383</v>
      </c>
      <c r="C1901">
        <v>-1.5537941415859025</v>
      </c>
    </row>
    <row r="1902" spans="1:3" x14ac:dyDescent="0.2">
      <c r="A1902">
        <v>0.37757496535778046</v>
      </c>
      <c r="B1902">
        <v>0.27722008233626511</v>
      </c>
      <c r="C1902">
        <v>1.3620043763632748</v>
      </c>
    </row>
    <row r="1903" spans="1:3" x14ac:dyDescent="0.2">
      <c r="A1903">
        <v>-0.77269342541694641</v>
      </c>
      <c r="B1903">
        <v>0.14831423357052978</v>
      </c>
      <c r="C1903">
        <v>-5.2098399918541709</v>
      </c>
    </row>
    <row r="1904" spans="1:3" x14ac:dyDescent="0.2">
      <c r="A1904">
        <v>0.13485617637634278</v>
      </c>
      <c r="B1904">
        <v>0.29106919068917009</v>
      </c>
      <c r="C1904">
        <v>0.46331312516120732</v>
      </c>
    </row>
    <row r="1905" spans="1:3" x14ac:dyDescent="0.2">
      <c r="A1905">
        <v>7.4816143512725836E-2</v>
      </c>
      <c r="B1905">
        <v>0.43542369296867756</v>
      </c>
      <c r="C1905">
        <v>0.17182377698061502</v>
      </c>
    </row>
    <row r="1906" spans="1:3" x14ac:dyDescent="0.2">
      <c r="A1906">
        <v>-0.51508053243160246</v>
      </c>
      <c r="B1906">
        <v>0.50329770326893308</v>
      </c>
      <c r="C1906">
        <v>-1.0234112516034537</v>
      </c>
    </row>
    <row r="1907" spans="1:3" x14ac:dyDescent="0.2">
      <c r="A1907">
        <v>-0.49483240246772764</v>
      </c>
      <c r="B1907">
        <v>0.55069443410340724</v>
      </c>
      <c r="C1907">
        <v>-0.898560747710063</v>
      </c>
    </row>
    <row r="1908" spans="1:3" x14ac:dyDescent="0.2">
      <c r="A1908">
        <v>-0.42632338106632234</v>
      </c>
      <c r="B1908">
        <v>0.32038403789508818</v>
      </c>
      <c r="C1908">
        <v>-1.3306636119179092</v>
      </c>
    </row>
    <row r="1909" spans="1:3" x14ac:dyDescent="0.2">
      <c r="A1909">
        <v>-0.35982510745525359</v>
      </c>
      <c r="B1909">
        <v>0.29371418996953019</v>
      </c>
      <c r="C1909">
        <v>-1.2250858819336639</v>
      </c>
    </row>
    <row r="1910" spans="1:3" x14ac:dyDescent="0.2">
      <c r="A1910">
        <v>-0.52865970134735107</v>
      </c>
      <c r="B1910">
        <v>7.2142479785003044E-2</v>
      </c>
      <c r="C1910">
        <v>-7.3279945868626584</v>
      </c>
    </row>
    <row r="1911" spans="1:3" x14ac:dyDescent="0.2">
      <c r="A1911">
        <v>0.1184125930070877</v>
      </c>
      <c r="B1911">
        <v>0.76251738581169737</v>
      </c>
      <c r="C1911">
        <v>0.15529166312849099</v>
      </c>
    </row>
    <row r="1912" spans="1:3" x14ac:dyDescent="0.2">
      <c r="A1912">
        <v>0.3014997184276581</v>
      </c>
      <c r="B1912">
        <v>0.3478303926283407</v>
      </c>
      <c r="C1912">
        <v>0.86680096051817057</v>
      </c>
    </row>
    <row r="1913" spans="1:3" x14ac:dyDescent="0.2">
      <c r="A1913">
        <v>-0.31223863363265991</v>
      </c>
      <c r="B1913">
        <v>0.55104436309255678</v>
      </c>
      <c r="C1913">
        <v>-0.56663066450824828</v>
      </c>
    </row>
    <row r="1914" spans="1:3" x14ac:dyDescent="0.2">
      <c r="A1914">
        <v>-0.60774893583729861</v>
      </c>
      <c r="B1914">
        <v>0.44868380774852973</v>
      </c>
      <c r="C1914">
        <v>-1.3545149732212285</v>
      </c>
    </row>
    <row r="1915" spans="1:3" x14ac:dyDescent="0.2">
      <c r="A1915">
        <v>-0.35237362235784531</v>
      </c>
      <c r="B1915">
        <v>0.30789783061946746</v>
      </c>
      <c r="C1915">
        <v>-1.144449837950777</v>
      </c>
    </row>
    <row r="1916" spans="1:3" x14ac:dyDescent="0.2">
      <c r="A1916">
        <v>-2.7437064051628112E-2</v>
      </c>
      <c r="B1916">
        <v>0.71702159647524444</v>
      </c>
      <c r="C1916">
        <v>-3.8265324484651544E-2</v>
      </c>
    </row>
    <row r="1917" spans="1:3" x14ac:dyDescent="0.2">
      <c r="A1917">
        <v>-0.45164010226726531</v>
      </c>
      <c r="B1917">
        <v>0.25887247081530534</v>
      </c>
      <c r="C1917">
        <v>-1.7446432246922523</v>
      </c>
    </row>
    <row r="1918" spans="1:3" x14ac:dyDescent="0.2">
      <c r="A1918">
        <v>-0.4767475388944149</v>
      </c>
      <c r="B1918">
        <v>0.30233350764268246</v>
      </c>
      <c r="C1918">
        <v>-1.5768928247869447</v>
      </c>
    </row>
    <row r="1919" spans="1:3" x14ac:dyDescent="0.2">
      <c r="A1919">
        <v>0.13395598456263541</v>
      </c>
      <c r="B1919">
        <v>0.43283817713803641</v>
      </c>
      <c r="C1919">
        <v>0.30948283131669208</v>
      </c>
    </row>
    <row r="1920" spans="1:3" x14ac:dyDescent="0.2">
      <c r="A1920">
        <v>-0.50822433829307556</v>
      </c>
      <c r="B1920">
        <v>0.36981925265310567</v>
      </c>
      <c r="C1920">
        <v>-1.3742506228300539</v>
      </c>
    </row>
    <row r="1921" spans="1:3" x14ac:dyDescent="0.2">
      <c r="A1921">
        <v>-0.39197903722524641</v>
      </c>
      <c r="B1921">
        <v>0.35654286075677905</v>
      </c>
      <c r="C1921">
        <v>-1.099388265391859</v>
      </c>
    </row>
    <row r="1922" spans="1:3" x14ac:dyDescent="0.2">
      <c r="A1922">
        <v>9.961003959178924E-2</v>
      </c>
      <c r="B1922">
        <v>0.27430866099020473</v>
      </c>
      <c r="C1922">
        <v>0.36313122317106206</v>
      </c>
    </row>
    <row r="1923" spans="1:3" x14ac:dyDescent="0.2">
      <c r="A1923">
        <v>-0.12575726509094237</v>
      </c>
      <c r="B1923">
        <v>0.49906198628786214</v>
      </c>
      <c r="C1923">
        <v>-0.2519872652019719</v>
      </c>
    </row>
    <row r="1924" spans="1:3" x14ac:dyDescent="0.2">
      <c r="A1924">
        <v>-0.36482103466987609</v>
      </c>
      <c r="B1924">
        <v>0.36914026176624587</v>
      </c>
      <c r="C1924">
        <v>-0.98829922513544488</v>
      </c>
    </row>
    <row r="1925" spans="1:3" x14ac:dyDescent="0.2">
      <c r="A1925">
        <v>-0.75937912017107012</v>
      </c>
      <c r="B1925">
        <v>0.47136123404674735</v>
      </c>
      <c r="C1925">
        <v>-1.6110343094013508</v>
      </c>
    </row>
    <row r="1926" spans="1:3" x14ac:dyDescent="0.2">
      <c r="A1926">
        <v>0.93995620012283321</v>
      </c>
      <c r="B1926">
        <v>0.11255671606318476</v>
      </c>
      <c r="C1926">
        <v>8.3509561490331681</v>
      </c>
    </row>
    <row r="1927" spans="1:3" x14ac:dyDescent="0.2">
      <c r="A1927">
        <v>0.24454794228076934</v>
      </c>
      <c r="B1927">
        <v>0.37276850023007391</v>
      </c>
      <c r="C1927">
        <v>0.65603167147930574</v>
      </c>
    </row>
    <row r="1928" spans="1:3" x14ac:dyDescent="0.2">
      <c r="A1928">
        <v>-3.6814779043197632E-2</v>
      </c>
      <c r="B1928">
        <v>0.53096922187386075</v>
      </c>
      <c r="C1928">
        <v>-6.9335052817700804E-2</v>
      </c>
    </row>
    <row r="1929" spans="1:3" x14ac:dyDescent="0.2">
      <c r="A1929">
        <v>-0.48611289858818052</v>
      </c>
      <c r="B1929">
        <v>0.39708246899171068</v>
      </c>
      <c r="C1929">
        <v>-1.2242114335154102</v>
      </c>
    </row>
    <row r="1930" spans="1:3" x14ac:dyDescent="0.2">
      <c r="A1930">
        <v>-0.16431859135627747</v>
      </c>
      <c r="B1930">
        <v>0.30702576911310475</v>
      </c>
      <c r="C1930">
        <v>-0.53519478782168406</v>
      </c>
    </row>
    <row r="1931" spans="1:3" x14ac:dyDescent="0.2">
      <c r="A1931">
        <v>0.3504133462905884</v>
      </c>
      <c r="B1931">
        <v>0.48786395307091324</v>
      </c>
      <c r="C1931">
        <v>0.71826037583812685</v>
      </c>
    </row>
    <row r="1932" spans="1:3" x14ac:dyDescent="0.2">
      <c r="A1932">
        <v>-0.12384527921676636</v>
      </c>
      <c r="B1932">
        <v>0.47181835997546817</v>
      </c>
      <c r="C1932">
        <v>-0.26248507841705354</v>
      </c>
    </row>
    <row r="1933" spans="1:3" x14ac:dyDescent="0.2">
      <c r="A1933">
        <v>0.36819986701011659</v>
      </c>
      <c r="B1933">
        <v>0.38249137983504872</v>
      </c>
      <c r="C1933">
        <v>0.96263572572251066</v>
      </c>
    </row>
    <row r="1934" spans="1:3" x14ac:dyDescent="0.2">
      <c r="A1934">
        <v>0.52924640402197842</v>
      </c>
      <c r="B1934">
        <v>0.51210877022197498</v>
      </c>
      <c r="C1934">
        <v>1.0334648316852202</v>
      </c>
    </row>
    <row r="1935" spans="1:3" x14ac:dyDescent="0.2">
      <c r="A1935">
        <v>0.11443971171975136</v>
      </c>
      <c r="B1935">
        <v>0.31592758060338355</v>
      </c>
      <c r="C1935">
        <v>0.36223400154296537</v>
      </c>
    </row>
    <row r="1936" spans="1:3" x14ac:dyDescent="0.2">
      <c r="A1936">
        <v>-1.1395459026098251</v>
      </c>
      <c r="B1936">
        <v>0.31247211288458876</v>
      </c>
      <c r="C1936">
        <v>-3.6468723307500892</v>
      </c>
    </row>
    <row r="1937" spans="1:3" x14ac:dyDescent="0.2">
      <c r="A1937">
        <v>-0.43063959181308747</v>
      </c>
      <c r="B1937">
        <v>0.33127730256344923</v>
      </c>
      <c r="C1937">
        <v>-1.2999369062738837</v>
      </c>
    </row>
    <row r="1938" spans="1:3" x14ac:dyDescent="0.2">
      <c r="A1938">
        <v>-0.25996656119823458</v>
      </c>
      <c r="B1938">
        <v>0.3320687873311054</v>
      </c>
      <c r="C1938">
        <v>-0.78286960749196288</v>
      </c>
    </row>
    <row r="1939" spans="1:3" x14ac:dyDescent="0.2">
      <c r="A1939">
        <v>-0.54793786406517031</v>
      </c>
      <c r="B1939">
        <v>0.29914390122502477</v>
      </c>
      <c r="C1939">
        <v>-1.8316865622909539</v>
      </c>
    </row>
    <row r="1940" spans="1:3" x14ac:dyDescent="0.2">
      <c r="A1940">
        <v>0.10092670805752277</v>
      </c>
      <c r="B1940">
        <v>0.45581490264338814</v>
      </c>
      <c r="C1940">
        <v>0.22142037803552006</v>
      </c>
    </row>
    <row r="1941" spans="1:3" x14ac:dyDescent="0.2">
      <c r="A1941">
        <v>-0.4967647299170494</v>
      </c>
      <c r="B1941">
        <v>0.45680569943989868</v>
      </c>
      <c r="C1941">
        <v>-1.0874748947444077</v>
      </c>
    </row>
    <row r="1942" spans="1:3" x14ac:dyDescent="0.2">
      <c r="A1942">
        <v>0.51743256151676176</v>
      </c>
      <c r="B1942">
        <v>0.28844240056600856</v>
      </c>
      <c r="C1942">
        <v>1.7938852280434754</v>
      </c>
    </row>
    <row r="1943" spans="1:3" x14ac:dyDescent="0.2">
      <c r="A1943">
        <v>-0.49752876460552214</v>
      </c>
      <c r="B1943">
        <v>0.60873948631759744</v>
      </c>
      <c r="C1943">
        <v>-0.81730982758352988</v>
      </c>
    </row>
    <row r="1944" spans="1:3" x14ac:dyDescent="0.2">
      <c r="A1944">
        <v>0.30521023869514463</v>
      </c>
      <c r="B1944">
        <v>0.41528674316432551</v>
      </c>
      <c r="C1944">
        <v>0.7349385544300302</v>
      </c>
    </row>
    <row r="1945" spans="1:3" x14ac:dyDescent="0.2">
      <c r="A1945">
        <v>0.22223490476608276</v>
      </c>
      <c r="B1945">
        <v>0.32447530572039823</v>
      </c>
      <c r="C1945">
        <v>0.68490544842134626</v>
      </c>
    </row>
    <row r="1946" spans="1:3" x14ac:dyDescent="0.2">
      <c r="A1946">
        <v>-0.16242026686668395</v>
      </c>
      <c r="B1946">
        <v>0.5048392279212649</v>
      </c>
      <c r="C1946">
        <v>-0.32172671591997432</v>
      </c>
    </row>
    <row r="1947" spans="1:3" x14ac:dyDescent="0.2">
      <c r="A1947">
        <v>-0.15652190446853637</v>
      </c>
      <c r="B1947">
        <v>0.32553340310848455</v>
      </c>
      <c r="C1947">
        <v>-0.48081672410242698</v>
      </c>
    </row>
    <row r="1948" spans="1:3" x14ac:dyDescent="0.2">
      <c r="A1948">
        <v>-0.42476367950439453</v>
      </c>
      <c r="B1948">
        <v>0.33525062091147489</v>
      </c>
      <c r="C1948">
        <v>-1.2670034088215936</v>
      </c>
    </row>
    <row r="1949" spans="1:3" x14ac:dyDescent="0.2">
      <c r="A1949">
        <v>-1.4178953737020492</v>
      </c>
      <c r="B1949">
        <v>0.38555353500545303</v>
      </c>
      <c r="C1949">
        <v>-3.6775577059149396</v>
      </c>
    </row>
    <row r="1950" spans="1:3" x14ac:dyDescent="0.2">
      <c r="A1950">
        <v>-0.23354243040084838</v>
      </c>
      <c r="B1950">
        <v>0.50241157349331178</v>
      </c>
      <c r="C1950">
        <v>-0.46484285538449555</v>
      </c>
    </row>
    <row r="1951" spans="1:3" x14ac:dyDescent="0.2">
      <c r="A1951">
        <v>-0.78363328576087954</v>
      </c>
      <c r="B1951">
        <v>0.26968771343623849</v>
      </c>
      <c r="C1951">
        <v>-2.9057062918298344</v>
      </c>
    </row>
    <row r="1952" spans="1:3" x14ac:dyDescent="0.2">
      <c r="A1952">
        <v>0.6423676192760468</v>
      </c>
      <c r="B1952">
        <v>0.38366735327219037</v>
      </c>
      <c r="C1952">
        <v>1.6742827186036942</v>
      </c>
    </row>
    <row r="1953" spans="1:3" x14ac:dyDescent="0.2">
      <c r="A1953">
        <v>-0.70629042983055113</v>
      </c>
      <c r="B1953">
        <v>0.39238960737302375</v>
      </c>
      <c r="C1953">
        <v>-1.7999723146569442</v>
      </c>
    </row>
    <row r="1954" spans="1:3" x14ac:dyDescent="0.2">
      <c r="A1954">
        <v>-0.25567499697208407</v>
      </c>
      <c r="B1954">
        <v>0.47700971682108928</v>
      </c>
      <c r="C1954">
        <v>-0.53599536436273343</v>
      </c>
    </row>
    <row r="1955" spans="1:3" x14ac:dyDescent="0.2">
      <c r="A1955">
        <v>-2.0473466813564302E-2</v>
      </c>
      <c r="B1955">
        <v>0.48553571231960663</v>
      </c>
      <c r="C1955">
        <v>-4.2166757859589794E-2</v>
      </c>
    </row>
    <row r="1956" spans="1:3" x14ac:dyDescent="0.2">
      <c r="A1956">
        <v>-0.53948484510183337</v>
      </c>
      <c r="B1956">
        <v>0.50678969695459009</v>
      </c>
      <c r="C1956">
        <v>-1.0645142321237302</v>
      </c>
    </row>
    <row r="1957" spans="1:3" x14ac:dyDescent="0.2">
      <c r="A1957">
        <v>-1.6531914472579956E-3</v>
      </c>
      <c r="B1957">
        <v>0.33844409668941983</v>
      </c>
      <c r="C1957">
        <v>-4.8846809958546294E-3</v>
      </c>
    </row>
    <row r="1958" spans="1:3" x14ac:dyDescent="0.2">
      <c r="A1958">
        <v>4.9443808197975156E-2</v>
      </c>
      <c r="B1958">
        <v>0.52833132801366434</v>
      </c>
      <c r="C1958">
        <v>9.358485021864231E-2</v>
      </c>
    </row>
    <row r="1959" spans="1:3" x14ac:dyDescent="0.2">
      <c r="A1959">
        <v>0.31904211658984422</v>
      </c>
      <c r="B1959">
        <v>0.42968970607090967</v>
      </c>
      <c r="C1959">
        <v>0.74249420473013195</v>
      </c>
    </row>
    <row r="1960" spans="1:3" x14ac:dyDescent="0.2">
      <c r="A1960">
        <v>-0.56908238083124163</v>
      </c>
      <c r="B1960">
        <v>0.36461045111359885</v>
      </c>
      <c r="C1960">
        <v>-1.5607955808538714</v>
      </c>
    </row>
    <row r="1961" spans="1:3" x14ac:dyDescent="0.2">
      <c r="A1961">
        <v>-0.23597632944583893</v>
      </c>
      <c r="B1961">
        <v>0.19002655342045727</v>
      </c>
      <c r="C1961">
        <v>-1.2418071327311404</v>
      </c>
    </row>
    <row r="1962" spans="1:3" x14ac:dyDescent="0.2">
      <c r="A1962">
        <v>0.18990970849990846</v>
      </c>
      <c r="B1962">
        <v>0.36416047937525964</v>
      </c>
      <c r="C1962">
        <v>0.52150005081745987</v>
      </c>
    </row>
    <row r="1963" spans="1:3" x14ac:dyDescent="0.2">
      <c r="A1963">
        <v>-6.628765761852265E-2</v>
      </c>
      <c r="B1963">
        <v>0.40006827454916472</v>
      </c>
      <c r="C1963">
        <v>-0.16569086287389806</v>
      </c>
    </row>
    <row r="1964" spans="1:3" x14ac:dyDescent="0.2">
      <c r="A1964">
        <v>0.71188433766365056</v>
      </c>
      <c r="B1964">
        <v>0.21298639239790476</v>
      </c>
      <c r="C1964">
        <v>3.3423935193648253</v>
      </c>
    </row>
    <row r="1965" spans="1:3" x14ac:dyDescent="0.2">
      <c r="A1965">
        <v>-0.25328685641288756</v>
      </c>
      <c r="B1965">
        <v>0.47049586215381323</v>
      </c>
      <c r="C1965">
        <v>-0.53834024225718635</v>
      </c>
    </row>
    <row r="1966" spans="1:3" x14ac:dyDescent="0.2">
      <c r="A1966">
        <v>-0.24543190598487855</v>
      </c>
      <c r="B1966">
        <v>0.30381835498828741</v>
      </c>
      <c r="C1966">
        <v>-0.80782448445005983</v>
      </c>
    </row>
    <row r="1967" spans="1:3" x14ac:dyDescent="0.2">
      <c r="A1967">
        <v>-0.70296755135059352</v>
      </c>
      <c r="B1967">
        <v>0.1845242815422666</v>
      </c>
      <c r="C1967">
        <v>-3.8096208557223066</v>
      </c>
    </row>
    <row r="1968" spans="1:3" x14ac:dyDescent="0.2">
      <c r="A1968">
        <v>0.18512130081653594</v>
      </c>
      <c r="B1968">
        <v>0.37479956201793024</v>
      </c>
      <c r="C1968">
        <v>0.49392080348183498</v>
      </c>
    </row>
    <row r="1969" spans="1:3" x14ac:dyDescent="0.2">
      <c r="A1969">
        <v>0.23237087875604628</v>
      </c>
      <c r="B1969">
        <v>6.8815007421328969E-2</v>
      </c>
      <c r="C1969">
        <v>3.3767471292028626</v>
      </c>
    </row>
    <row r="1970" spans="1:3" x14ac:dyDescent="0.2">
      <c r="A1970">
        <v>0.21599714756011962</v>
      </c>
      <c r="B1970">
        <v>0.35542148083976455</v>
      </c>
      <c r="C1970">
        <v>0.60772114012292378</v>
      </c>
    </row>
    <row r="1971" spans="1:3" x14ac:dyDescent="0.2">
      <c r="A1971">
        <v>-0.27267752438783643</v>
      </c>
      <c r="B1971">
        <v>0.32969262112591996</v>
      </c>
      <c r="C1971">
        <v>-0.82706589991800983</v>
      </c>
    </row>
    <row r="1972" spans="1:3" x14ac:dyDescent="0.2">
      <c r="A1972">
        <v>-0.5185222059488297</v>
      </c>
      <c r="B1972">
        <v>0.18649559181009906</v>
      </c>
      <c r="C1972">
        <v>-2.7803456420397321</v>
      </c>
    </row>
    <row r="1973" spans="1:3" x14ac:dyDescent="0.2">
      <c r="A1973">
        <v>-0.47845489382743833</v>
      </c>
      <c r="B1973">
        <v>0.37204875477707844</v>
      </c>
      <c r="C1973">
        <v>-1.286000524619725</v>
      </c>
    </row>
    <row r="1974" spans="1:3" x14ac:dyDescent="0.2">
      <c r="A1974">
        <v>-0.18646077252924442</v>
      </c>
      <c r="B1974">
        <v>0.50937859653421269</v>
      </c>
      <c r="C1974">
        <v>-0.36605537373952202</v>
      </c>
    </row>
    <row r="1975" spans="1:3" x14ac:dyDescent="0.2">
      <c r="A1975">
        <v>0.21481120884418486</v>
      </c>
      <c r="B1975">
        <v>0.4952642773322769</v>
      </c>
      <c r="C1975">
        <v>0.43373047214561417</v>
      </c>
    </row>
    <row r="1976" spans="1:3" x14ac:dyDescent="0.2">
      <c r="A1976">
        <v>-0.12510212287306785</v>
      </c>
      <c r="B1976">
        <v>0.27880133042060873</v>
      </c>
      <c r="C1976">
        <v>-0.44871422487236601</v>
      </c>
    </row>
    <row r="1977" spans="1:3" x14ac:dyDescent="0.2">
      <c r="A1977">
        <v>-0.17945191860198975</v>
      </c>
      <c r="B1977">
        <v>0.63659934430837761</v>
      </c>
      <c r="C1977">
        <v>-0.28189145999977772</v>
      </c>
    </row>
    <row r="1978" spans="1:3" x14ac:dyDescent="0.2">
      <c r="A1978">
        <v>-1.2193511962890624</v>
      </c>
      <c r="B1978">
        <v>0.27773669123833983</v>
      </c>
      <c r="C1978">
        <v>-4.3903136847074906</v>
      </c>
    </row>
    <row r="1979" spans="1:3" x14ac:dyDescent="0.2">
      <c r="A1979">
        <v>-0.41758824586868287</v>
      </c>
      <c r="B1979">
        <v>0.37714165703131558</v>
      </c>
      <c r="C1979">
        <v>-1.1072450843954607</v>
      </c>
    </row>
    <row r="1980" spans="1:3" x14ac:dyDescent="0.2">
      <c r="A1980">
        <v>-7.5817245244979861E-2</v>
      </c>
      <c r="B1980">
        <v>0.28371147810561076</v>
      </c>
      <c r="C1980">
        <v>-0.26723361970134007</v>
      </c>
    </row>
    <row r="1981" spans="1:3" x14ac:dyDescent="0.2">
      <c r="A1981">
        <v>-6.9021546840667719E-2</v>
      </c>
      <c r="B1981">
        <v>0.52939231052161584</v>
      </c>
      <c r="C1981">
        <v>-0.13037882392485084</v>
      </c>
    </row>
    <row r="1982" spans="1:3" x14ac:dyDescent="0.2">
      <c r="A1982">
        <v>-0.16518331766128541</v>
      </c>
      <c r="B1982">
        <v>0.75293021617277556</v>
      </c>
      <c r="C1982">
        <v>-0.2193872873118704</v>
      </c>
    </row>
    <row r="1983" spans="1:3" x14ac:dyDescent="0.2">
      <c r="A1983">
        <v>-0.33285157680511473</v>
      </c>
      <c r="B1983">
        <v>0.3153489206418334</v>
      </c>
      <c r="C1983">
        <v>-1.0555025085472243</v>
      </c>
    </row>
    <row r="1984" spans="1:3" x14ac:dyDescent="0.2">
      <c r="A1984">
        <v>0.11770508885383606</v>
      </c>
      <c r="B1984">
        <v>0.44213165607540866</v>
      </c>
      <c r="C1984">
        <v>0.2662218079986578</v>
      </c>
    </row>
    <row r="1985" spans="1:3" x14ac:dyDescent="0.2">
      <c r="A1985">
        <v>-0.34337154030799866</v>
      </c>
      <c r="B1985">
        <v>0.4494067410353576</v>
      </c>
      <c r="C1985">
        <v>-0.76405516196069589</v>
      </c>
    </row>
    <row r="1986" spans="1:3" x14ac:dyDescent="0.2">
      <c r="A1986">
        <v>-0.22768448963761329</v>
      </c>
      <c r="B1986">
        <v>0.20533386462061293</v>
      </c>
      <c r="C1986">
        <v>-1.1088501648683071</v>
      </c>
    </row>
    <row r="1987" spans="1:3" x14ac:dyDescent="0.2">
      <c r="A1987">
        <v>0.22558662593364714</v>
      </c>
      <c r="B1987">
        <v>0.36887637688001462</v>
      </c>
      <c r="C1987">
        <v>0.61155075269844206</v>
      </c>
    </row>
    <row r="1988" spans="1:3" x14ac:dyDescent="0.2">
      <c r="A1988">
        <v>-0.82039240300655369</v>
      </c>
      <c r="B1988">
        <v>0.32928517686700964</v>
      </c>
      <c r="C1988">
        <v>-2.4914343573318227</v>
      </c>
    </row>
    <row r="1989" spans="1:3" x14ac:dyDescent="0.2">
      <c r="A1989">
        <v>0.28838738799095154</v>
      </c>
      <c r="B1989">
        <v>0.44636232224529077</v>
      </c>
      <c r="C1989">
        <v>0.64608362672795938</v>
      </c>
    </row>
    <row r="1990" spans="1:3" x14ac:dyDescent="0.2">
      <c r="A1990">
        <v>0.37142207622528078</v>
      </c>
      <c r="B1990">
        <v>0.22897082597320392</v>
      </c>
      <c r="C1990">
        <v>1.6221371200746233</v>
      </c>
    </row>
    <row r="1991" spans="1:3" x14ac:dyDescent="0.2">
      <c r="A1991">
        <v>0.19056083559989928</v>
      </c>
      <c r="B1991">
        <v>0.44805182538895932</v>
      </c>
      <c r="C1991">
        <v>0.42530980748593328</v>
      </c>
    </row>
    <row r="1992" spans="1:3" x14ac:dyDescent="0.2">
      <c r="A1992">
        <v>7.0443791523575786E-2</v>
      </c>
      <c r="B1992">
        <v>0.3809407396337241</v>
      </c>
      <c r="C1992">
        <v>0.18492060363852852</v>
      </c>
    </row>
    <row r="1993" spans="1:3" x14ac:dyDescent="0.2">
      <c r="A1993">
        <v>0.83930556774139409</v>
      </c>
      <c r="B1993">
        <v>0.2084663721818005</v>
      </c>
      <c r="C1993">
        <v>4.0260957148975942</v>
      </c>
    </row>
    <row r="1994" spans="1:3" x14ac:dyDescent="0.2">
      <c r="A1994">
        <v>-3.6171984672546384E-2</v>
      </c>
      <c r="B1994">
        <v>0.45014822670012905</v>
      </c>
      <c r="C1994">
        <v>-8.0355719576437945E-2</v>
      </c>
    </row>
    <row r="1995" spans="1:3" x14ac:dyDescent="0.2">
      <c r="A1995">
        <v>0.14987993240356445</v>
      </c>
      <c r="B1995">
        <v>0.16396540885103947</v>
      </c>
      <c r="C1995">
        <v>0.91409482923150276</v>
      </c>
    </row>
    <row r="1996" spans="1:3" x14ac:dyDescent="0.2">
      <c r="A1996">
        <v>9.321564435958862E-3</v>
      </c>
      <c r="B1996">
        <v>0.82815296791871296</v>
      </c>
      <c r="C1996">
        <v>1.1255848613795968E-2</v>
      </c>
    </row>
    <row r="1997" spans="1:3" x14ac:dyDescent="0.2">
      <c r="A1997">
        <v>-0.24007378220558168</v>
      </c>
      <c r="B1997">
        <v>0.45842149034435647</v>
      </c>
      <c r="C1997">
        <v>-0.52369661384164901</v>
      </c>
    </row>
    <row r="1998" spans="1:3" x14ac:dyDescent="0.2">
      <c r="A1998">
        <v>0.14274660944938661</v>
      </c>
      <c r="B1998">
        <v>0.48252389876801427</v>
      </c>
      <c r="C1998">
        <v>0.29583324227846319</v>
      </c>
    </row>
    <row r="1999" spans="1:3" x14ac:dyDescent="0.2">
      <c r="A1999">
        <v>-7.1741676330566412E-2</v>
      </c>
      <c r="B1999">
        <v>0.29664422136645791</v>
      </c>
      <c r="C1999">
        <v>-0.24184417279425344</v>
      </c>
    </row>
    <row r="2000" spans="1:3" x14ac:dyDescent="0.2">
      <c r="A2000">
        <v>-0.48334972560405731</v>
      </c>
      <c r="B2000">
        <v>0.50967519381226489</v>
      </c>
      <c r="C2000">
        <v>-0.94834853936818364</v>
      </c>
    </row>
    <row r="2001" spans="1:3" x14ac:dyDescent="0.2">
      <c r="A2001">
        <v>-0.73792644739151003</v>
      </c>
      <c r="B2001">
        <v>0.59058076455806419</v>
      </c>
      <c r="C2001">
        <v>-1.2494928580068225</v>
      </c>
    </row>
    <row r="2002" spans="1:3" x14ac:dyDescent="0.2">
      <c r="A2002">
        <v>8.4409672021865848E-2</v>
      </c>
      <c r="B2002">
        <v>0.29279330613190391</v>
      </c>
      <c r="C2002">
        <v>0.28829098976681911</v>
      </c>
    </row>
    <row r="2003" spans="1:3" x14ac:dyDescent="0.2">
      <c r="A2003">
        <v>-0.18750372529029846</v>
      </c>
      <c r="B2003">
        <v>0.45130171503581684</v>
      </c>
      <c r="C2003">
        <v>-0.41547310600274923</v>
      </c>
    </row>
    <row r="2004" spans="1:3" x14ac:dyDescent="0.2">
      <c r="A2004">
        <v>0.24173366278409958</v>
      </c>
      <c r="B2004">
        <v>0.3454142001195068</v>
      </c>
      <c r="C2004">
        <v>0.69983707299950115</v>
      </c>
    </row>
    <row r="2005" spans="1:3" x14ac:dyDescent="0.2">
      <c r="A2005">
        <v>-0.27306388914585111</v>
      </c>
      <c r="B2005">
        <v>0.42450064001372267</v>
      </c>
      <c r="C2005">
        <v>-0.64325907526788151</v>
      </c>
    </row>
    <row r="2006" spans="1:3" x14ac:dyDescent="0.2">
      <c r="A2006">
        <v>8.2915598899126058E-2</v>
      </c>
      <c r="B2006">
        <v>0.24149475595671197</v>
      </c>
      <c r="C2006">
        <v>0.34334326876227789</v>
      </c>
    </row>
    <row r="2007" spans="1:3" x14ac:dyDescent="0.2">
      <c r="A2007">
        <v>-0.25464341863989831</v>
      </c>
      <c r="B2007">
        <v>0.21822579235682327</v>
      </c>
      <c r="C2007">
        <v>-1.1668804859854889</v>
      </c>
    </row>
    <row r="2008" spans="1:3" x14ac:dyDescent="0.2">
      <c r="A2008">
        <v>-0.63604681491851811</v>
      </c>
      <c r="B2008">
        <v>0.42429819430097759</v>
      </c>
      <c r="C2008">
        <v>-1.4990561436783674</v>
      </c>
    </row>
    <row r="2009" spans="1:3" x14ac:dyDescent="0.2">
      <c r="A2009">
        <v>-0.15497858673334122</v>
      </c>
      <c r="B2009">
        <v>0.21802565107164701</v>
      </c>
      <c r="C2009">
        <v>-0.71082730849138742</v>
      </c>
    </row>
    <row r="2010" spans="1:3" x14ac:dyDescent="0.2">
      <c r="A2010">
        <v>0.81328133642673495</v>
      </c>
      <c r="B2010">
        <v>0.27511333357441248</v>
      </c>
      <c r="C2010">
        <v>2.9561683756296717</v>
      </c>
    </row>
    <row r="2011" spans="1:3" x14ac:dyDescent="0.2">
      <c r="A2011">
        <v>-0.83762669563293457</v>
      </c>
      <c r="B2011">
        <v>0.71737764739454246</v>
      </c>
      <c r="C2011">
        <v>-1.1676230764578837</v>
      </c>
    </row>
    <row r="2012" spans="1:3" x14ac:dyDescent="0.2">
      <c r="A2012">
        <v>0.2051512248814106</v>
      </c>
      <c r="B2012">
        <v>0.42501614250829051</v>
      </c>
      <c r="C2012">
        <v>0.48269043069913248</v>
      </c>
    </row>
    <row r="2013" spans="1:3" x14ac:dyDescent="0.2">
      <c r="A2013">
        <v>-0.26433272808790209</v>
      </c>
      <c r="B2013">
        <v>0.20640836955657513</v>
      </c>
      <c r="C2013">
        <v>-1.2806298923622392</v>
      </c>
    </row>
    <row r="2014" spans="1:3" x14ac:dyDescent="0.2">
      <c r="A2014">
        <v>0.543214350938797</v>
      </c>
      <c r="B2014">
        <v>0.48722759460094001</v>
      </c>
      <c r="C2014">
        <v>1.1149088371805225</v>
      </c>
    </row>
    <row r="2015" spans="1:3" x14ac:dyDescent="0.2">
      <c r="A2015">
        <v>0.59546134471893308</v>
      </c>
      <c r="B2015">
        <v>0.50264160977750993</v>
      </c>
      <c r="C2015">
        <v>1.1846638502182678</v>
      </c>
    </row>
    <row r="2016" spans="1:3" x14ac:dyDescent="0.2">
      <c r="A2016">
        <v>-0.6587360739707947</v>
      </c>
      <c r="B2016">
        <v>0.44929135397700992</v>
      </c>
      <c r="C2016">
        <v>-1.466166816120174</v>
      </c>
    </row>
    <row r="2017" spans="1:3" x14ac:dyDescent="0.2">
      <c r="A2017">
        <v>0.61829947829246523</v>
      </c>
      <c r="B2017">
        <v>0.47126775596835657</v>
      </c>
      <c r="C2017">
        <v>1.3119918994287849</v>
      </c>
    </row>
    <row r="2018" spans="1:3" x14ac:dyDescent="0.2">
      <c r="A2018">
        <v>0.19327723979949951</v>
      </c>
      <c r="B2018">
        <v>0.7223061742173027</v>
      </c>
      <c r="C2018">
        <v>0.26758353548470831</v>
      </c>
    </row>
    <row r="2019" spans="1:3" x14ac:dyDescent="0.2">
      <c r="A2019">
        <v>-0.45560034960508344</v>
      </c>
      <c r="B2019">
        <v>0.57942446313658291</v>
      </c>
      <c r="C2019">
        <v>-0.78629809162491049</v>
      </c>
    </row>
    <row r="2020" spans="1:3" x14ac:dyDescent="0.2">
      <c r="A2020">
        <v>-0.62911152541637416</v>
      </c>
      <c r="B2020">
        <v>0.43265357896758394</v>
      </c>
      <c r="C2020">
        <v>-1.4540767856759358</v>
      </c>
    </row>
    <row r="2021" spans="1:3" x14ac:dyDescent="0.2">
      <c r="A2021">
        <v>8.6525857448577874E-3</v>
      </c>
      <c r="B2021">
        <v>0.29927458766390935</v>
      </c>
      <c r="C2021">
        <v>2.8911862555382729E-2</v>
      </c>
    </row>
    <row r="2022" spans="1:3" x14ac:dyDescent="0.2">
      <c r="A2022">
        <v>-0.22356150373816491</v>
      </c>
      <c r="B2022">
        <v>0.54985688420067591</v>
      </c>
      <c r="C2022">
        <v>-0.40658125807255302</v>
      </c>
    </row>
    <row r="2023" spans="1:3" x14ac:dyDescent="0.2">
      <c r="A2023">
        <v>-0.64877513647079466</v>
      </c>
      <c r="B2023">
        <v>0.54357956225555115</v>
      </c>
      <c r="C2023">
        <v>-1.1935237847772289</v>
      </c>
    </row>
    <row r="2024" spans="1:3" x14ac:dyDescent="0.2">
      <c r="A2024">
        <v>0.62624697387218475</v>
      </c>
      <c r="B2024">
        <v>0.3380797459505468</v>
      </c>
      <c r="C2024">
        <v>1.8523646606259285</v>
      </c>
    </row>
    <row r="2025" spans="1:3" x14ac:dyDescent="0.2">
      <c r="A2025">
        <v>-0.34831925407052039</v>
      </c>
      <c r="B2025">
        <v>0.42786235017012675</v>
      </c>
      <c r="C2025">
        <v>-0.81409185438265741</v>
      </c>
    </row>
    <row r="2026" spans="1:3" x14ac:dyDescent="0.2">
      <c r="A2026">
        <v>-7.5916194915771479E-2</v>
      </c>
      <c r="B2026">
        <v>0.75951722075638983</v>
      </c>
      <c r="C2026">
        <v>-9.9953224023239237E-2</v>
      </c>
    </row>
    <row r="2027" spans="1:3" x14ac:dyDescent="0.2">
      <c r="A2027">
        <v>-2.8090426325798036E-2</v>
      </c>
      <c r="B2027">
        <v>0.41607396236329469</v>
      </c>
      <c r="C2027">
        <v>-6.7513059856581223E-2</v>
      </c>
    </row>
    <row r="2028" spans="1:3" x14ac:dyDescent="0.2">
      <c r="A2028">
        <v>-3.365342258475721E-2</v>
      </c>
      <c r="B2028">
        <v>0.47786126769146531</v>
      </c>
      <c r="C2028">
        <v>-7.0425089581618472E-2</v>
      </c>
    </row>
    <row r="2029" spans="1:3" x14ac:dyDescent="0.2">
      <c r="A2029">
        <v>0.4641770303249359</v>
      </c>
      <c r="B2029">
        <v>0.31640689781304648</v>
      </c>
      <c r="C2029">
        <v>1.4670256354499627</v>
      </c>
    </row>
    <row r="2030" spans="1:3" x14ac:dyDescent="0.2">
      <c r="A2030">
        <v>6.1739981174468994E-2</v>
      </c>
      <c r="B2030">
        <v>0.4963041394743824</v>
      </c>
      <c r="C2030">
        <v>0.1243994886680888</v>
      </c>
    </row>
    <row r="2031" spans="1:3" x14ac:dyDescent="0.2">
      <c r="A2031">
        <v>0.21302977968007325</v>
      </c>
      <c r="B2031">
        <v>0.57338946224955012</v>
      </c>
      <c r="C2031">
        <v>0.37152719696714376</v>
      </c>
    </row>
    <row r="2032" spans="1:3" x14ac:dyDescent="0.2">
      <c r="A2032">
        <v>-0.39284255616366864</v>
      </c>
      <c r="B2032">
        <v>0.60782097115978417</v>
      </c>
      <c r="C2032">
        <v>-0.64631293555746383</v>
      </c>
    </row>
    <row r="2033" spans="1:3" x14ac:dyDescent="0.2">
      <c r="A2033">
        <v>0.90095762014389036</v>
      </c>
      <c r="B2033">
        <v>0.18931490550004559</v>
      </c>
      <c r="C2033">
        <v>4.7590421777099499</v>
      </c>
    </row>
    <row r="2034" spans="1:3" x14ac:dyDescent="0.2">
      <c r="A2034">
        <v>-0.36219914853572843</v>
      </c>
      <c r="B2034">
        <v>0.39238997032921036</v>
      </c>
      <c r="C2034">
        <v>-0.92305913994653788</v>
      </c>
    </row>
    <row r="2035" spans="1:3" x14ac:dyDescent="0.2">
      <c r="A2035">
        <v>-0.46754642613232134</v>
      </c>
      <c r="B2035">
        <v>0.30369372716737508</v>
      </c>
      <c r="C2035">
        <v>-1.539532707814679</v>
      </c>
    </row>
    <row r="2036" spans="1:3" x14ac:dyDescent="0.2">
      <c r="A2036">
        <v>0.33160405009984972</v>
      </c>
      <c r="B2036">
        <v>0.13682642950571275</v>
      </c>
      <c r="C2036">
        <v>2.4235379911452317</v>
      </c>
    </row>
    <row r="2037" spans="1:3" x14ac:dyDescent="0.2">
      <c r="A2037">
        <v>3.0944570899009705E-2</v>
      </c>
      <c r="B2037">
        <v>0.5072467603443932</v>
      </c>
      <c r="C2037">
        <v>6.1004965074592118E-2</v>
      </c>
    </row>
    <row r="2038" spans="1:3" x14ac:dyDescent="0.2">
      <c r="A2038">
        <v>-0.20584681630134583</v>
      </c>
      <c r="B2038">
        <v>0.43931337152832683</v>
      </c>
      <c r="C2038">
        <v>-0.46856487792580853</v>
      </c>
    </row>
    <row r="2039" spans="1:3" x14ac:dyDescent="0.2">
      <c r="A2039">
        <v>-0.25295175313949586</v>
      </c>
      <c r="B2039">
        <v>0.76906288345314511</v>
      </c>
      <c r="C2039">
        <v>-0.32890906398151104</v>
      </c>
    </row>
    <row r="2040" spans="1:3" x14ac:dyDescent="0.2">
      <c r="A2040">
        <v>0.27904801964759829</v>
      </c>
      <c r="B2040">
        <v>0.4708361033541964</v>
      </c>
      <c r="C2040">
        <v>0.59266487352962927</v>
      </c>
    </row>
    <row r="2041" spans="1:3" x14ac:dyDescent="0.2">
      <c r="A2041">
        <v>-0.16655251979827881</v>
      </c>
      <c r="B2041">
        <v>0.2086937132922366</v>
      </c>
      <c r="C2041">
        <v>-0.79807157183049926</v>
      </c>
    </row>
    <row r="2042" spans="1:3" x14ac:dyDescent="0.2">
      <c r="A2042">
        <v>0.25049390643835068</v>
      </c>
      <c r="B2042">
        <v>0.35244574955067831</v>
      </c>
      <c r="C2042">
        <v>0.71073039399027305</v>
      </c>
    </row>
    <row r="2043" spans="1:3" x14ac:dyDescent="0.2">
      <c r="A2043">
        <v>-8.1352770328521729E-2</v>
      </c>
      <c r="B2043">
        <v>0.24205208048213858</v>
      </c>
      <c r="C2043">
        <v>-0.33609614165049445</v>
      </c>
    </row>
    <row r="2044" spans="1:3" x14ac:dyDescent="0.2">
      <c r="A2044">
        <v>0.47554597705602647</v>
      </c>
      <c r="B2044">
        <v>0.24257347380501745</v>
      </c>
      <c r="C2044">
        <v>1.9604203608770274</v>
      </c>
    </row>
    <row r="2045" spans="1:3" x14ac:dyDescent="0.2">
      <c r="A2045">
        <v>0.25847318470478059</v>
      </c>
      <c r="B2045">
        <v>0.52218169413761362</v>
      </c>
      <c r="C2045">
        <v>0.4949870660089889</v>
      </c>
    </row>
    <row r="2046" spans="1:3" x14ac:dyDescent="0.2">
      <c r="A2046">
        <v>-0.29668210744857787</v>
      </c>
      <c r="B2046">
        <v>0.59602672952068692</v>
      </c>
      <c r="C2046">
        <v>-0.49776644696314853</v>
      </c>
    </row>
    <row r="2047" spans="1:3" x14ac:dyDescent="0.2">
      <c r="A2047">
        <v>0.2184305027127266</v>
      </c>
      <c r="B2047">
        <v>0.255485918911669</v>
      </c>
      <c r="C2047">
        <v>0.8549610234615167</v>
      </c>
    </row>
    <row r="2048" spans="1:3" x14ac:dyDescent="0.2">
      <c r="A2048">
        <v>6.5795442461967474E-2</v>
      </c>
      <c r="B2048">
        <v>0.22480271772985488</v>
      </c>
      <c r="C2048">
        <v>0.29268081421076841</v>
      </c>
    </row>
    <row r="2049" spans="1:3" x14ac:dyDescent="0.2">
      <c r="A2049">
        <v>-0.37425420284271238</v>
      </c>
      <c r="B2049">
        <v>0.67104242918322565</v>
      </c>
      <c r="C2049">
        <v>-0.55772062475728146</v>
      </c>
    </row>
    <row r="2050" spans="1:3" x14ac:dyDescent="0.2">
      <c r="A2050">
        <v>9.7386270761489868E-2</v>
      </c>
      <c r="B2050">
        <v>0.20089285908637494</v>
      </c>
      <c r="C2050">
        <v>0.48476720976736226</v>
      </c>
    </row>
    <row r="2051" spans="1:3" x14ac:dyDescent="0.2">
      <c r="A2051">
        <v>-5.6510376930236819E-2</v>
      </c>
      <c r="B2051">
        <v>0.29899794384704742</v>
      </c>
      <c r="C2051">
        <v>-0.18899921585796836</v>
      </c>
    </row>
    <row r="2052" spans="1:3" x14ac:dyDescent="0.2">
      <c r="A2052">
        <v>0.24382701814174651</v>
      </c>
      <c r="B2052">
        <v>0.25522723960307747</v>
      </c>
      <c r="C2052">
        <v>0.9553330534818294</v>
      </c>
    </row>
    <row r="2053" spans="1:3" x14ac:dyDescent="0.2">
      <c r="A2053">
        <v>-0.39498977959156034</v>
      </c>
      <c r="B2053">
        <v>0.47139869592757544</v>
      </c>
      <c r="C2053">
        <v>-0.83791020850054621</v>
      </c>
    </row>
    <row r="2054" spans="1:3" x14ac:dyDescent="0.2">
      <c r="A2054">
        <v>-0.1324729636311531</v>
      </c>
      <c r="B2054">
        <v>0.45430088658681683</v>
      </c>
      <c r="C2054">
        <v>-0.29159741383387666</v>
      </c>
    </row>
    <row r="2055" spans="1:3" x14ac:dyDescent="0.2">
      <c r="A2055">
        <v>-0.18213422298431398</v>
      </c>
      <c r="B2055">
        <v>0.57596784226885422</v>
      </c>
      <c r="C2055">
        <v>-0.31622290276979753</v>
      </c>
    </row>
    <row r="2056" spans="1:3" x14ac:dyDescent="0.2">
      <c r="A2056">
        <v>0.19059154987335206</v>
      </c>
      <c r="B2056">
        <v>0.58035396228656921</v>
      </c>
      <c r="C2056">
        <v>0.32840570110425316</v>
      </c>
    </row>
    <row r="2057" spans="1:3" x14ac:dyDescent="0.2">
      <c r="A2057">
        <v>0.32980420589447024</v>
      </c>
      <c r="B2057">
        <v>0.55920732862966938</v>
      </c>
      <c r="C2057">
        <v>0.58977089356581103</v>
      </c>
    </row>
    <row r="2058" spans="1:3" x14ac:dyDescent="0.2">
      <c r="A2058">
        <v>0.292315524071455</v>
      </c>
      <c r="B2058">
        <v>0.43215614503628741</v>
      </c>
      <c r="C2058">
        <v>0.67641181880431156</v>
      </c>
    </row>
    <row r="2059" spans="1:3" x14ac:dyDescent="0.2">
      <c r="A2059">
        <v>-0.12988597750663758</v>
      </c>
      <c r="B2059">
        <v>0.4828653441607621</v>
      </c>
      <c r="C2059">
        <v>-0.26899005919007135</v>
      </c>
    </row>
    <row r="2060" spans="1:3" x14ac:dyDescent="0.2">
      <c r="A2060">
        <v>0.40772695243358614</v>
      </c>
      <c r="B2060">
        <v>0.50982299135676101</v>
      </c>
      <c r="C2060">
        <v>0.79974218374994643</v>
      </c>
    </row>
    <row r="2061" spans="1:3" x14ac:dyDescent="0.2">
      <c r="A2061">
        <v>-4.7294448316097262E-2</v>
      </c>
      <c r="B2061">
        <v>0.17223826929631833</v>
      </c>
      <c r="C2061">
        <v>-0.27458734060275536</v>
      </c>
    </row>
    <row r="2062" spans="1:3" x14ac:dyDescent="0.2">
      <c r="A2062">
        <v>-0.29436310529708865</v>
      </c>
      <c r="B2062">
        <v>0.35743137273445547</v>
      </c>
      <c r="C2062">
        <v>-0.82355139406237354</v>
      </c>
    </row>
    <row r="2063" spans="1:3" x14ac:dyDescent="0.2">
      <c r="A2063">
        <v>0.2473047912120819</v>
      </c>
      <c r="B2063">
        <v>0.46359550545704759</v>
      </c>
      <c r="C2063">
        <v>0.5334495013455105</v>
      </c>
    </row>
    <row r="2064" spans="1:3" x14ac:dyDescent="0.2">
      <c r="A2064">
        <v>3.6538794636726381E-3</v>
      </c>
      <c r="B2064">
        <v>0.17921273795699694</v>
      </c>
      <c r="C2064">
        <v>2.0388503101545195E-2</v>
      </c>
    </row>
    <row r="2065" spans="1:3" x14ac:dyDescent="0.2">
      <c r="A2065">
        <v>-0.25485736653208735</v>
      </c>
      <c r="B2065">
        <v>0.64122849938169235</v>
      </c>
      <c r="C2065">
        <v>-0.39745171460381873</v>
      </c>
    </row>
    <row r="2066" spans="1:3" x14ac:dyDescent="0.2">
      <c r="A2066">
        <v>-4.9832400679588315E-2</v>
      </c>
      <c r="B2066">
        <v>0.28861946405631544</v>
      </c>
      <c r="C2066">
        <v>-0.17265779646054991</v>
      </c>
    </row>
    <row r="2067" spans="1:3" x14ac:dyDescent="0.2">
      <c r="A2067">
        <v>0.37129726111888883</v>
      </c>
      <c r="B2067">
        <v>0.72086237882051152</v>
      </c>
      <c r="C2067">
        <v>0.51507371174843708</v>
      </c>
    </row>
    <row r="2068" spans="1:3" x14ac:dyDescent="0.2">
      <c r="A2068">
        <v>-0.81949033737182619</v>
      </c>
      <c r="B2068">
        <v>0.23528214178990151</v>
      </c>
      <c r="C2068">
        <v>-3.4830112100203574</v>
      </c>
    </row>
    <row r="2069" spans="1:3" x14ac:dyDescent="0.2">
      <c r="A2069">
        <v>-0.41475687623023988</v>
      </c>
      <c r="B2069">
        <v>0.4448522307463848</v>
      </c>
      <c r="C2069">
        <v>-0.93234752478221783</v>
      </c>
    </row>
    <row r="2070" spans="1:3" x14ac:dyDescent="0.2">
      <c r="A2070">
        <v>-0.18335539400577544</v>
      </c>
      <c r="B2070">
        <v>0.46728474208062404</v>
      </c>
      <c r="C2070">
        <v>-0.39238472283381298</v>
      </c>
    </row>
    <row r="2071" spans="1:3" x14ac:dyDescent="0.2">
      <c r="A2071">
        <v>0.24583891332149505</v>
      </c>
      <c r="B2071">
        <v>0.28703076931236199</v>
      </c>
      <c r="C2071">
        <v>0.85648975512433723</v>
      </c>
    </row>
    <row r="2072" spans="1:3" x14ac:dyDescent="0.2">
      <c r="A2072">
        <v>8.7151584774255747E-2</v>
      </c>
      <c r="B2072">
        <v>0.4493593076684701</v>
      </c>
      <c r="C2072">
        <v>0.19394632154488442</v>
      </c>
    </row>
    <row r="2073" spans="1:3" x14ac:dyDescent="0.2">
      <c r="A2073">
        <v>-1.0303347408771515</v>
      </c>
      <c r="B2073">
        <v>0.2606292830558482</v>
      </c>
      <c r="C2073">
        <v>-3.9532577797728474</v>
      </c>
    </row>
    <row r="2074" spans="1:3" x14ac:dyDescent="0.2">
      <c r="A2074">
        <v>0.11408349573612213</v>
      </c>
      <c r="B2074">
        <v>0.33180253823109379</v>
      </c>
      <c r="C2074">
        <v>0.34382948468183588</v>
      </c>
    </row>
    <row r="2075" spans="1:3" x14ac:dyDescent="0.2">
      <c r="A2075">
        <v>0.51803850010037422</v>
      </c>
      <c r="B2075">
        <v>0.39676933588830848</v>
      </c>
      <c r="C2075">
        <v>1.3056414728738093</v>
      </c>
    </row>
    <row r="2076" spans="1:3" x14ac:dyDescent="0.2">
      <c r="A2076">
        <v>0.45252867182716727</v>
      </c>
      <c r="B2076">
        <v>0.29057945471287577</v>
      </c>
      <c r="C2076">
        <v>1.5573319602871269</v>
      </c>
    </row>
    <row r="2077" spans="1:3" x14ac:dyDescent="0.2">
      <c r="A2077">
        <v>5.6806385517120361E-2</v>
      </c>
      <c r="B2077">
        <v>0.46889800747021998</v>
      </c>
      <c r="C2077">
        <v>0.12114870315529795</v>
      </c>
    </row>
    <row r="2078" spans="1:3" x14ac:dyDescent="0.2">
      <c r="A2078">
        <v>-0.76364344432950015</v>
      </c>
      <c r="B2078">
        <v>0.26895781497890359</v>
      </c>
      <c r="C2078">
        <v>-2.8392684718583046</v>
      </c>
    </row>
    <row r="2079" spans="1:3" x14ac:dyDescent="0.2">
      <c r="A2079">
        <v>-0.3049285739660263</v>
      </c>
      <c r="B2079">
        <v>0.20246786563030272</v>
      </c>
      <c r="C2079">
        <v>-1.5060591122287634</v>
      </c>
    </row>
    <row r="2080" spans="1:3" x14ac:dyDescent="0.2">
      <c r="A2080">
        <v>0.5017486765980721</v>
      </c>
      <c r="B2080">
        <v>0.51869726893086643</v>
      </c>
      <c r="C2080">
        <v>0.96732469332694082</v>
      </c>
    </row>
    <row r="2081" spans="1:3" x14ac:dyDescent="0.2">
      <c r="A2081">
        <v>0.1527723789215088</v>
      </c>
      <c r="B2081">
        <v>0.57599566446741179</v>
      </c>
      <c r="C2081">
        <v>0.2652318209074857</v>
      </c>
    </row>
    <row r="2082" spans="1:3" x14ac:dyDescent="0.2">
      <c r="A2082">
        <v>0.53065110445022579</v>
      </c>
      <c r="B2082">
        <v>0.39283933593533721</v>
      </c>
      <c r="C2082">
        <v>1.3508094936235533</v>
      </c>
    </row>
    <row r="2083" spans="1:3" x14ac:dyDescent="0.2">
      <c r="A2083">
        <v>0.63534548282623293</v>
      </c>
      <c r="B2083">
        <v>0.23872167471208053</v>
      </c>
      <c r="C2083">
        <v>2.6614486664963115</v>
      </c>
    </row>
    <row r="2084" spans="1:3" x14ac:dyDescent="0.2">
      <c r="A2084">
        <v>-0.40411741137504575</v>
      </c>
      <c r="B2084">
        <v>0.54648690922185328</v>
      </c>
      <c r="C2084">
        <v>-0.73948232712558748</v>
      </c>
    </row>
    <row r="2085" spans="1:3" x14ac:dyDescent="0.2">
      <c r="A2085">
        <v>1.1735270917415618E-2</v>
      </c>
      <c r="B2085">
        <v>0.4615873386261613</v>
      </c>
      <c r="C2085">
        <v>2.5423727939210203E-2</v>
      </c>
    </row>
    <row r="2086" spans="1:3" x14ac:dyDescent="0.2">
      <c r="A2086">
        <v>-0.11683796644210816</v>
      </c>
      <c r="B2086">
        <v>0.62048577296415619</v>
      </c>
      <c r="C2086">
        <v>-0.18830079839535269</v>
      </c>
    </row>
    <row r="2087" spans="1:3" x14ac:dyDescent="0.2">
      <c r="A2087">
        <v>0.33207921832799914</v>
      </c>
      <c r="B2087">
        <v>0.38617465334867029</v>
      </c>
      <c r="C2087">
        <v>0.85991976803348269</v>
      </c>
    </row>
    <row r="2088" spans="1:3" x14ac:dyDescent="0.2">
      <c r="A2088">
        <v>0.48520812243223188</v>
      </c>
      <c r="B2088">
        <v>0.43237839840443038</v>
      </c>
      <c r="C2088">
        <v>1.1221840041564393</v>
      </c>
    </row>
    <row r="2089" spans="1:3" x14ac:dyDescent="0.2">
      <c r="A2089">
        <v>1.762903332710266E-2</v>
      </c>
      <c r="B2089">
        <v>0.36305641472224809</v>
      </c>
      <c r="C2089">
        <v>4.8557283695399071E-2</v>
      </c>
    </row>
    <row r="2090" spans="1:3" x14ac:dyDescent="0.2">
      <c r="A2090">
        <v>-0.44120340496301652</v>
      </c>
      <c r="B2090">
        <v>0.36418449909031703</v>
      </c>
      <c r="C2090">
        <v>-1.2114832071795536</v>
      </c>
    </row>
    <row r="2091" spans="1:3" x14ac:dyDescent="0.2">
      <c r="A2091">
        <v>-0.36431031823158266</v>
      </c>
      <c r="B2091">
        <v>0.33977965705667074</v>
      </c>
      <c r="C2091">
        <v>-1.0721957912001205</v>
      </c>
    </row>
    <row r="2092" spans="1:3" x14ac:dyDescent="0.2">
      <c r="A2092">
        <v>-0.52502065896987915</v>
      </c>
      <c r="B2092">
        <v>0.20579526923460426</v>
      </c>
      <c r="C2092">
        <v>-2.5511794363521623</v>
      </c>
    </row>
    <row r="2093" spans="1:3" x14ac:dyDescent="0.2">
      <c r="A2093">
        <v>0.20307538509368897</v>
      </c>
      <c r="B2093">
        <v>0.14419342400269974</v>
      </c>
      <c r="C2093">
        <v>1.4083539974048107</v>
      </c>
    </row>
    <row r="2094" spans="1:3" x14ac:dyDescent="0.2">
      <c r="A2094">
        <v>0.15971173346042633</v>
      </c>
      <c r="B2094">
        <v>0.52499826924296245</v>
      </c>
      <c r="C2094">
        <v>0.30421382853457329</v>
      </c>
    </row>
    <row r="2095" spans="1:3" x14ac:dyDescent="0.2">
      <c r="A2095">
        <v>0.28653912544250487</v>
      </c>
      <c r="B2095">
        <v>0.40652684786670662</v>
      </c>
      <c r="C2095">
        <v>0.70484674492262878</v>
      </c>
    </row>
    <row r="2096" spans="1:3" x14ac:dyDescent="0.2">
      <c r="A2096">
        <v>0.71094278469681738</v>
      </c>
      <c r="B2096">
        <v>0.28304562215302242</v>
      </c>
      <c r="C2096">
        <v>2.5117603985143488</v>
      </c>
    </row>
    <row r="2097" spans="1:3" x14ac:dyDescent="0.2">
      <c r="A2097">
        <v>-0.23996524810791015</v>
      </c>
      <c r="B2097">
        <v>0.60183080173437276</v>
      </c>
      <c r="C2097">
        <v>-0.39872543481718054</v>
      </c>
    </row>
    <row r="2098" spans="1:3" x14ac:dyDescent="0.2">
      <c r="A2098">
        <v>0.64848750978708269</v>
      </c>
      <c r="B2098">
        <v>0.34444835200107643</v>
      </c>
      <c r="C2098">
        <v>1.8826843154269355</v>
      </c>
    </row>
    <row r="2099" spans="1:3" x14ac:dyDescent="0.2">
      <c r="A2099">
        <v>0.3766353577375412</v>
      </c>
      <c r="B2099">
        <v>0.46054491812541565</v>
      </c>
      <c r="C2099">
        <v>0.8178037427284689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5135" r:id="rId3" name="button2">
          <controlPr defaultSize="0" autoLine="0" r:id="rId4">
            <anchor moveWithCells="1">
              <from>
                <xdr:col>2</xdr:col>
                <xdr:colOff>95250</xdr:colOff>
                <xdr:row>32</xdr:row>
                <xdr:rowOff>142875</xdr:rowOff>
              </from>
              <to>
                <xdr:col>3</xdr:col>
                <xdr:colOff>495300</xdr:colOff>
                <xdr:row>34</xdr:row>
                <xdr:rowOff>66675</xdr:rowOff>
              </to>
            </anchor>
          </controlPr>
        </control>
      </mc:Choice>
      <mc:Fallback>
        <control shapeId="5135" r:id="rId3" name="button2"/>
      </mc:Fallback>
    </mc:AlternateContent>
    <mc:AlternateContent xmlns:mc="http://schemas.openxmlformats.org/markup-compatibility/2006">
      <mc:Choice Requires="x14">
        <control shapeId="5133" r:id="rId5" name="button1">
          <controlPr defaultSize="0" autoLine="0" r:id="rId6">
            <anchor moveWithCells="1">
              <from>
                <xdr:col>2</xdr:col>
                <xdr:colOff>85725</xdr:colOff>
                <xdr:row>34</xdr:row>
                <xdr:rowOff>76200</xdr:rowOff>
              </from>
              <to>
                <xdr:col>3</xdr:col>
                <xdr:colOff>485775</xdr:colOff>
                <xdr:row>36</xdr:row>
                <xdr:rowOff>0</xdr:rowOff>
              </to>
            </anchor>
          </controlPr>
        </control>
      </mc:Choice>
      <mc:Fallback>
        <control shapeId="5133" r:id="rId5" name="button1"/>
      </mc:Fallback>
    </mc:AlternateContent>
    <mc:AlternateContent xmlns:mc="http://schemas.openxmlformats.org/markup-compatibility/2006">
      <mc:Choice Requires="x14">
        <control shapeId="5122" r:id="rId7" name="Button 2">
          <controlPr defaultSize="0" print="0" autoFill="0" autoPict="0" macro="[0]!resample3">
            <anchor moveWithCells="1" sizeWithCells="1">
              <from>
                <xdr:col>5</xdr:col>
                <xdr:colOff>9525</xdr:colOff>
                <xdr:row>26</xdr:row>
                <xdr:rowOff>0</xdr:rowOff>
              </from>
              <to>
                <xdr:col>7</xdr:col>
                <xdr:colOff>19050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6" r:id="rId8" name="Button 16">
          <controlPr defaultSize="0" print="0" autoFill="0" autoPict="0" macro="[0]!Sheet4.s1">
            <anchor moveWithCells="1" sizeWithCells="1">
              <from>
                <xdr:col>0</xdr:col>
                <xdr:colOff>28575</xdr:colOff>
                <xdr:row>0</xdr:row>
                <xdr:rowOff>38100</xdr:rowOff>
              </from>
              <to>
                <xdr:col>0</xdr:col>
                <xdr:colOff>752475</xdr:colOff>
                <xdr:row>0</xdr:row>
                <xdr:rowOff>171450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contents</vt:lpstr>
      <vt:lpstr>Fig 1 - single value test</vt:lpstr>
      <vt:lpstr>Fig 2 - 1-sample t test</vt:lpstr>
      <vt:lpstr>Table 1 - One-sample t test</vt:lpstr>
      <vt:lpstr>Fig 3a - t dist</vt:lpstr>
      <vt:lpstr>Fig 3b - t dist P value</vt:lpstr>
      <vt:lpstr>Table 2 - t vs z P value</vt:lpstr>
      <vt:lpstr>Fig 4 - t dist simulation</vt:lpstr>
      <vt:lpstr>mu</vt:lpstr>
      <vt:lpstr>onevalue</vt:lpstr>
      <vt:lpstr>'Table 1 - One-sample t test'!reference</vt:lpstr>
      <vt:lpstr>'Table 1 - One-sample t test'!sample</vt:lpstr>
      <vt:lpstr>samplet</vt:lpstr>
      <vt:lpstr>sigma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martink</dc:creator>
  <cp:lastModifiedBy>Nawy, Tal</cp:lastModifiedBy>
  <cp:lastPrinted>2013-09-20T21:44:14Z</cp:lastPrinted>
  <dcterms:created xsi:type="dcterms:W3CDTF">2013-09-10T20:50:15Z</dcterms:created>
  <dcterms:modified xsi:type="dcterms:W3CDTF">2013-10-29T13:57:26Z</dcterms:modified>
</cp:coreProperties>
</file>